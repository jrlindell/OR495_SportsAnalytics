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60" windowWidth="5910" windowHeight="1170" tabRatio="760"/>
  </bookViews>
  <sheets>
    <sheet name="ReadMe" sheetId="18" r:id="rId1"/>
    <sheet name="Model" sheetId="17" r:id="rId2"/>
  </sheets>
  <definedNames>
    <definedName name="DefStrat">Model!$E$2:$G$2</definedName>
    <definedName name="DefSum">Model!$H$2</definedName>
    <definedName name="ExpValGame">Model!$A$14</definedName>
    <definedName name="MasterBound">Model!$B$7</definedName>
    <definedName name="MaxIter">Model!$J$2</definedName>
    <definedName name="OffStrat">Model!$B$2:$B$5</definedName>
    <definedName name="OffSum">Model!$B$6</definedName>
    <definedName name="OpenSolver_ChosenSolver" localSheetId="1" hidden="1">CBC</definedName>
    <definedName name="OpenSolver_DualsNewSheet" localSheetId="1" hidden="1">FALSE</definedName>
    <definedName name="OpenSolver_UpdateSensitivity" localSheetId="1" hidden="1">TRUE</definedName>
    <definedName name="PayoffMatrix">Model!$E$7:$G$10</definedName>
    <definedName name="solver_adj" localSheetId="1" hidden="1">Model!$E$2:$G$2</definedName>
    <definedName name="solver_cvg" localSheetId="1" hidden="1">0.0001</definedName>
    <definedName name="solver_drv" localSheetId="1" hidden="1">2</definedName>
    <definedName name="solver_eng" localSheetId="1" hidden="1">2</definedName>
    <definedName name="solver_est" localSheetId="1" hidden="1">1</definedName>
    <definedName name="solver_itr" localSheetId="1" hidden="1">2147483647</definedName>
    <definedName name="solver_lhs1" localSheetId="1" hidden="1">Model!$H$2</definedName>
    <definedName name="solver_lhs10" localSheetId="1" hidden="1">Model!$M$8</definedName>
    <definedName name="solver_lhs11" localSheetId="1" hidden="1">Model!$M$9</definedName>
    <definedName name="solver_lhs12" localSheetId="1" hidden="1">Model!$M$10</definedName>
    <definedName name="solver_lhs2" localSheetId="1" hidden="1">Model!$B$2:$B$5</definedName>
    <definedName name="solver_lhs3" localSheetId="1" hidden="1">Model!$M$1</definedName>
    <definedName name="solver_lhs4" localSheetId="1" hidden="1">Model!$M$2</definedName>
    <definedName name="solver_lhs5" localSheetId="1" hidden="1">Model!$M$3</definedName>
    <definedName name="solver_lhs6" localSheetId="1" hidden="1">Model!$M$4</definedName>
    <definedName name="solver_lhs7" localSheetId="1" hidden="1">Model!$M$5</definedName>
    <definedName name="solver_lhs8" localSheetId="1" hidden="1">Model!$M$6</definedName>
    <definedName name="solver_lhs9" localSheetId="1" hidden="1">Model!$M$7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1</definedName>
    <definedName name="solver_nwt" localSheetId="1" hidden="1">1</definedName>
    <definedName name="solver_opt" localSheetId="1" hidden="1">Model!$A$14</definedName>
    <definedName name="solver_pre" localSheetId="1" hidden="1">0.000001</definedName>
    <definedName name="solver_rbv" localSheetId="1" hidden="1">2</definedName>
    <definedName name="solver_rel1" localSheetId="1" hidden="1">2</definedName>
    <definedName name="solver_rel10" localSheetId="1" hidden="1">3</definedName>
    <definedName name="solver_rel11" localSheetId="1" hidden="1">3</definedName>
    <definedName name="solver_rel12" localSheetId="1" hidden="1">3</definedName>
    <definedName name="solver_rel2" localSheetId="1" hidden="1">3</definedName>
    <definedName name="solver_rel3" localSheetId="1" hidden="1">3</definedName>
    <definedName name="solver_rel4" localSheetId="1" hidden="1">3</definedName>
    <definedName name="solver_rel5" localSheetId="1" hidden="1">3</definedName>
    <definedName name="solver_rel6" localSheetId="1" hidden="1">3</definedName>
    <definedName name="solver_rel7" localSheetId="1" hidden="1">3</definedName>
    <definedName name="solver_rel8" localSheetId="1" hidden="1">3</definedName>
    <definedName name="solver_rel9" localSheetId="1" hidden="1">3</definedName>
    <definedName name="solver_rhs1" localSheetId="1" hidden="1">1</definedName>
    <definedName name="solver_rhs10" localSheetId="1" hidden="1">MasterBound</definedName>
    <definedName name="solver_rhs11" localSheetId="1" hidden="1">MasterBound</definedName>
    <definedName name="solver_rhs12" localSheetId="1" hidden="1">MasterBound</definedName>
    <definedName name="solver_rhs2" localSheetId="1" hidden="1">0</definedName>
    <definedName name="solver_rhs3" localSheetId="1" hidden="1">MasterBound</definedName>
    <definedName name="solver_rhs4" localSheetId="1" hidden="1">MasterBound</definedName>
    <definedName name="solver_rhs5" localSheetId="1" hidden="1">MasterBound</definedName>
    <definedName name="solver_rhs6" localSheetId="1" hidden="1">MasterBound</definedName>
    <definedName name="solver_rhs7" localSheetId="1" hidden="1">MasterBound</definedName>
    <definedName name="solver_rhs8" localSheetId="1" hidden="1">MasterBound</definedName>
    <definedName name="solver_rhs9" localSheetId="1" hidden="1">MasterBound</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s>
  <calcPr calcId="145621"/>
</workbook>
</file>

<file path=xl/calcChain.xml><?xml version="1.0" encoding="utf-8"?>
<calcChain xmlns="http://schemas.openxmlformats.org/spreadsheetml/2006/main">
  <c r="M4" i="17" l="1"/>
  <c r="M3" i="17"/>
  <c r="M2" i="17"/>
  <c r="M1" i="17"/>
  <c r="D9" i="17"/>
  <c r="A14" i="17" l="1" a="1"/>
  <c r="A14" i="17" s="1"/>
  <c r="F6" i="17"/>
  <c r="G6" i="17"/>
  <c r="D8" i="17" l="1"/>
  <c r="D10" i="17"/>
  <c r="E6" i="17" l="1"/>
  <c r="H2" i="17"/>
  <c r="B6" i="17"/>
  <c r="D7" i="17"/>
</calcChain>
</file>

<file path=xl/sharedStrings.xml><?xml version="1.0" encoding="utf-8"?>
<sst xmlns="http://schemas.openxmlformats.org/spreadsheetml/2006/main" count="17" uniqueCount="16">
  <si>
    <t>Payoff Matrix</t>
  </si>
  <si>
    <t>Off. Strategy</t>
  </si>
  <si>
    <t>Off. Plays</t>
  </si>
  <si>
    <t>Def. Plays</t>
  </si>
  <si>
    <t>Def. Strategy</t>
  </si>
  <si>
    <t>Sum</t>
  </si>
  <si>
    <t>Run</t>
  </si>
  <si>
    <t>Pass</t>
  </si>
  <si>
    <t>Run D</t>
  </si>
  <si>
    <t xml:space="preserve">MasterBound (UB) </t>
  </si>
  <si>
    <t>Expected Value of the Game (LB)</t>
  </si>
  <si>
    <t>Play Action Pass</t>
  </si>
  <si>
    <t>Blitz</t>
  </si>
  <si>
    <t>Prevent</t>
  </si>
  <si>
    <t>Fumble Ruskie!</t>
  </si>
  <si>
    <t>Max Iterations</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</si>
</sst>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
    <xf numFmtId="0" fontId="0" fillId="0" borderId="0" xfId="0"/>
    <xf numFmtId="0" fontId="1" fillId="0" borderId="0" xfId="0" applyFont="1"/>
    <xf numFmtId="0" fontId="0" fillId="2" borderId="1" xfId="0" applyFill="1" applyBorder="1"/>
    <xf numFmtId="0" fontId="0" fillId="4" borderId="1" xfId="0" applyFill="1" applyBorder="1"/>
    <xf numFmtId="0" fontId="0" fillId="5" borderId="1" xfId="0" applyFill="1" applyBorder="1"/>
    <xf numFmtId="0" fontId="0" fillId="3" borderId="0" xfId="0" applyFill="1"/>
    <xf numFmtId="0" fontId="0" fillId="0" borderId="0" xfId="0" applyFill="1" applyBorder="1"/>
  </cellXfs>
  <cellStyles count="1">
    <cellStyle name="Normal" xfId="0" builtinId="0"/>
  </cellStyles>
  <dxfs count="0"/>
  <tableStyles count="0" defaultTableStyle="TableStyleMedium2" defaultPivotStyle="PivotStyleLight16"/>
  <colors>
    <mruColors>
      <color rgb="FFFFFFFF"/>
      <color rgb="FFDA9694"/>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0</xdr:col>
      <xdr:colOff>438150</xdr:colOff>
      <xdr:row>0</xdr:row>
      <xdr:rowOff>104775</xdr:rowOff>
    </xdr:from>
    <xdr:to>
      <xdr:col>12</xdr:col>
      <xdr:colOff>238125</xdr:colOff>
      <xdr:row>23</xdr:row>
      <xdr:rowOff>47625</xdr:rowOff>
    </xdr:to>
    <xdr:sp macro="" textlink="">
      <xdr:nvSpPr>
        <xdr:cNvPr id="2" name="TextBox 1"/>
        <xdr:cNvSpPr txBox="1"/>
      </xdr:nvSpPr>
      <xdr:spPr>
        <a:xfrm>
          <a:off x="438150" y="104775"/>
          <a:ext cx="7115175" cy="4324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Excel model implements a Max/Min Decomposition algorithm for solving a Two-Person</a:t>
          </a:r>
          <a:r>
            <a:rPr lang="en-US" sz="1100" baseline="0"/>
            <a:t> Zero Sum Game (TPZSG) applied to football offense/defense play calling.</a:t>
          </a:r>
        </a:p>
        <a:p>
          <a:endParaRPr lang="en-US" sz="1100" baseline="0"/>
        </a:p>
        <a:p>
          <a:r>
            <a:rPr lang="en-US" sz="1100" baseline="0"/>
            <a:t>The mixed strategy solution provided is for the offense only.  Think about how you could get the mixed strategy solution for the defense...</a:t>
          </a:r>
        </a:p>
        <a:p>
          <a:endParaRPr lang="en-US" sz="1100" baseline="0"/>
        </a:p>
        <a:p>
          <a:r>
            <a:rPr lang="en-US" sz="1100" baseline="0"/>
            <a:t>The model IS scalable.  You can increase and decrease the play options for the offense and defense.  As the model is scaled, you must ensure that all named ranges refer to the correct cells:</a:t>
          </a:r>
        </a:p>
        <a:p>
          <a:r>
            <a:rPr lang="en-US" sz="1100" baseline="0"/>
            <a:t>	</a:t>
          </a:r>
          <a:r>
            <a:rPr lang="en-US" sz="1100" b="1" baseline="0"/>
            <a:t>OffStrat</a:t>
          </a:r>
          <a:r>
            <a:rPr lang="en-US" sz="1100" baseline="0"/>
            <a:t> - strategy mix for offense play options</a:t>
          </a:r>
        </a:p>
        <a:p>
          <a:r>
            <a:rPr lang="en-US" sz="1100" baseline="0"/>
            <a:t>	</a:t>
          </a:r>
          <a:r>
            <a:rPr lang="en-US" sz="1100" b="1" baseline="0"/>
            <a:t>DefStrat</a:t>
          </a:r>
          <a:r>
            <a:rPr lang="en-US" sz="1100" baseline="0"/>
            <a:t> </a:t>
          </a:r>
          <a:r>
            <a:rPr lang="en-US" sz="1100" baseline="0">
              <a:solidFill>
                <a:schemeClr val="dk1"/>
              </a:solidFill>
              <a:effectLst/>
              <a:latin typeface="+mn-lt"/>
              <a:ea typeface="+mn-ea"/>
              <a:cs typeface="+mn-cs"/>
            </a:rPr>
            <a:t>- strategy mix for offense play options</a:t>
          </a:r>
          <a:endParaRPr lang="en-US" sz="1100" baseline="0"/>
        </a:p>
        <a:p>
          <a:r>
            <a:rPr lang="en-US" sz="1100" baseline="0"/>
            <a:t>	</a:t>
          </a:r>
          <a:r>
            <a:rPr lang="en-US" sz="1100" b="1" baseline="0"/>
            <a:t>PayoffMatrix</a:t>
          </a:r>
          <a:r>
            <a:rPr lang="en-US" sz="1100" baseline="0"/>
            <a:t> - outcomes for all offense/defense plays</a:t>
          </a:r>
        </a:p>
        <a:p>
          <a:r>
            <a:rPr lang="en-US" sz="1100" baseline="0"/>
            <a:t>	</a:t>
          </a:r>
          <a:r>
            <a:rPr lang="en-US" sz="1100" b="1" baseline="0"/>
            <a:t>OffSum</a:t>
          </a:r>
          <a:r>
            <a:rPr lang="en-US" sz="1100" baseline="0"/>
            <a:t> - cell that sums OffStrat</a:t>
          </a:r>
        </a:p>
        <a:p>
          <a:r>
            <a:rPr lang="en-US" sz="1100" baseline="0"/>
            <a:t>	</a:t>
          </a:r>
          <a:r>
            <a:rPr lang="en-US" sz="1100" b="1" baseline="0"/>
            <a:t>DefSum</a:t>
          </a:r>
          <a:r>
            <a:rPr lang="en-US" sz="1100" baseline="0"/>
            <a:t> - cell that sums DefStrat</a:t>
          </a:r>
        </a:p>
        <a:p>
          <a:r>
            <a:rPr lang="en-US" sz="1100" baseline="0"/>
            <a:t>	</a:t>
          </a:r>
          <a:r>
            <a:rPr lang="en-US" sz="1100" b="1" baseline="0"/>
            <a:t>MasterBound</a:t>
          </a:r>
          <a:r>
            <a:rPr lang="en-US" sz="1100" baseline="0"/>
            <a:t> - UB value in the Master Problem (no formula, but Solver will use this cell)</a:t>
          </a:r>
        </a:p>
        <a:p>
          <a:r>
            <a:rPr lang="en-US" sz="1100" baseline="0"/>
            <a:t>	</a:t>
          </a:r>
          <a:r>
            <a:rPr lang="en-US" sz="1100" b="1" baseline="0"/>
            <a:t>ExpValGame</a:t>
          </a:r>
          <a:r>
            <a:rPr lang="en-US" sz="1100" baseline="0"/>
            <a:t> - calculates x'Py for Subproblem objective function with given x</a:t>
          </a:r>
        </a:p>
        <a:p>
          <a:r>
            <a:rPr lang="en-US" sz="1100" baseline="0"/>
            <a:t>	</a:t>
          </a:r>
        </a:p>
        <a:p>
          <a:r>
            <a:rPr lang="en-US" sz="1100" baseline="0"/>
            <a:t>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9525</xdr:colOff>
      <xdr:row>3</xdr:row>
      <xdr:rowOff>57150</xdr:rowOff>
    </xdr:from>
    <xdr:to>
      <xdr:col>10</xdr:col>
      <xdr:colOff>561975</xdr:colOff>
      <xdr:row>7</xdr:row>
      <xdr:rowOff>38100</xdr:rowOff>
    </xdr:to>
    <xdr:sp macro="[0]!Solve_TPZSG" textlink="">
      <xdr:nvSpPr>
        <xdr:cNvPr id="2" name="Rectangle 1"/>
        <xdr:cNvSpPr/>
      </xdr:nvSpPr>
      <xdr:spPr>
        <a:xfrm>
          <a:off x="7534275" y="628650"/>
          <a:ext cx="1476375" cy="74295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600" b="1"/>
            <a:t>Solve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tabSelected="1" workbookViewId="0"/>
  </sheetViews>
  <sheetFormatPr defaultRowHeight="15" x14ac:dyDescent="0.25"/>
  <cols>
    <col min="1" max="16384" width="9.140625" style="5"/>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1"/>
  <sheetViews>
    <sheetView workbookViewId="0">
      <selection activeCell="B2" sqref="B2"/>
    </sheetView>
  </sheetViews>
  <sheetFormatPr defaultRowHeight="15" x14ac:dyDescent="0.25"/>
  <cols>
    <col min="1" max="1" width="30.5703125" bestFit="1" customWidth="1"/>
    <col min="2" max="2" width="12.140625" bestFit="1" customWidth="1"/>
    <col min="4" max="4" width="15.28515625" bestFit="1" customWidth="1"/>
    <col min="10" max="10" width="13.85546875" bestFit="1" customWidth="1"/>
  </cols>
  <sheetData>
    <row r="1" spans="1:17" x14ac:dyDescent="0.25">
      <c r="A1" t="s">
        <v>2</v>
      </c>
      <c r="B1" t="s">
        <v>1</v>
      </c>
      <c r="D1" t="s">
        <v>3</v>
      </c>
      <c r="E1" t="s">
        <v>8</v>
      </c>
      <c r="F1" t="s">
        <v>12</v>
      </c>
      <c r="G1" t="s">
        <v>13</v>
      </c>
      <c r="H1" t="s">
        <v>5</v>
      </c>
      <c r="J1" t="s">
        <v>15</v>
      </c>
      <c r="M1">
        <f>MMULT($N$1:$Q$1,OffStrat)</f>
        <v>3.5692541856925413</v>
      </c>
      <c r="N1">
        <v>5</v>
      </c>
      <c r="O1">
        <v>-7</v>
      </c>
      <c r="P1">
        <v>-15</v>
      </c>
      <c r="Q1">
        <v>5</v>
      </c>
    </row>
    <row r="2" spans="1:17" x14ac:dyDescent="0.25">
      <c r="A2" t="s">
        <v>6</v>
      </c>
      <c r="B2" s="3">
        <v>0.47031963470319627</v>
      </c>
      <c r="D2" t="s">
        <v>4</v>
      </c>
      <c r="E2" s="3">
        <v>1</v>
      </c>
      <c r="F2" s="3">
        <v>0</v>
      </c>
      <c r="G2" s="3">
        <v>0</v>
      </c>
      <c r="H2" s="2">
        <f>SUM(DefStrat)</f>
        <v>1</v>
      </c>
      <c r="J2" s="3">
        <v>10</v>
      </c>
      <c r="M2">
        <f>MMULT($N$2:$Q$2,OffStrat)</f>
        <v>3.5692541856925422</v>
      </c>
      <c r="N2">
        <v>-2</v>
      </c>
      <c r="O2">
        <v>20</v>
      </c>
      <c r="P2">
        <v>-1</v>
      </c>
      <c r="Q2">
        <v>10</v>
      </c>
    </row>
    <row r="3" spans="1:17" x14ac:dyDescent="0.25">
      <c r="A3" t="s">
        <v>11</v>
      </c>
      <c r="B3" s="3">
        <v>0</v>
      </c>
      <c r="E3" s="6"/>
      <c r="F3" s="6"/>
      <c r="G3" s="6"/>
      <c r="H3" s="6"/>
      <c r="M3">
        <f>MMULT($N$3:$Q$3,OffStrat)</f>
        <v>3.5692541856925413</v>
      </c>
      <c r="N3">
        <v>4</v>
      </c>
      <c r="O3">
        <v>-4</v>
      </c>
      <c r="P3">
        <v>30</v>
      </c>
      <c r="Q3">
        <v>-1</v>
      </c>
    </row>
    <row r="4" spans="1:17" x14ac:dyDescent="0.25">
      <c r="A4" t="s">
        <v>14</v>
      </c>
      <c r="B4" s="3">
        <v>7.1537290715372889E-2</v>
      </c>
      <c r="M4">
        <f>MMULT($N$4:$Q$4,OffStrat)</f>
        <v>3.5692541856925422</v>
      </c>
      <c r="N4">
        <v>-2</v>
      </c>
      <c r="O4">
        <v>20</v>
      </c>
      <c r="P4">
        <v>-1</v>
      </c>
      <c r="Q4">
        <v>10</v>
      </c>
    </row>
    <row r="5" spans="1:17" x14ac:dyDescent="0.25">
      <c r="A5" t="s">
        <v>7</v>
      </c>
      <c r="B5" s="3">
        <v>0.45814307458143072</v>
      </c>
    </row>
    <row r="6" spans="1:17" x14ac:dyDescent="0.25">
      <c r="A6" t="s">
        <v>5</v>
      </c>
      <c r="B6" s="2">
        <f>SUM(OffStrat)</f>
        <v>0.99999999999999978</v>
      </c>
      <c r="D6" t="s">
        <v>0</v>
      </c>
      <c r="E6" t="str">
        <f>E1</f>
        <v>Run D</v>
      </c>
      <c r="F6" t="str">
        <f t="shared" ref="F6:G6" si="0">F1</f>
        <v>Blitz</v>
      </c>
      <c r="G6" t="str">
        <f t="shared" si="0"/>
        <v>Prevent</v>
      </c>
    </row>
    <row r="7" spans="1:17" x14ac:dyDescent="0.25">
      <c r="A7" t="s">
        <v>9</v>
      </c>
      <c r="B7" s="4">
        <v>3.5692541856925413</v>
      </c>
      <c r="D7" t="str">
        <f>A2</f>
        <v>Run</v>
      </c>
      <c r="E7" s="2">
        <v>-2</v>
      </c>
      <c r="F7" s="2">
        <v>5</v>
      </c>
      <c r="G7" s="2">
        <v>4</v>
      </c>
    </row>
    <row r="8" spans="1:17" x14ac:dyDescent="0.25">
      <c r="D8" t="str">
        <f t="shared" ref="D8:D9" si="1">A3</f>
        <v>Play Action Pass</v>
      </c>
      <c r="E8" s="2">
        <v>20</v>
      </c>
      <c r="F8" s="2">
        <v>-7</v>
      </c>
      <c r="G8" s="2">
        <v>-4</v>
      </c>
    </row>
    <row r="9" spans="1:17" x14ac:dyDescent="0.25">
      <c r="D9" t="str">
        <f t="shared" si="1"/>
        <v>Fumble Ruskie!</v>
      </c>
      <c r="E9" s="2">
        <v>-1</v>
      </c>
      <c r="F9" s="2">
        <v>-15</v>
      </c>
      <c r="G9" s="2">
        <v>30</v>
      </c>
    </row>
    <row r="10" spans="1:17" x14ac:dyDescent="0.25">
      <c r="D10" t="str">
        <f>A5</f>
        <v>Pass</v>
      </c>
      <c r="E10" s="2">
        <v>10</v>
      </c>
      <c r="F10" s="2">
        <v>5</v>
      </c>
      <c r="G10" s="2">
        <v>-1</v>
      </c>
    </row>
    <row r="13" spans="1:17" x14ac:dyDescent="0.25">
      <c r="A13" t="s">
        <v>10</v>
      </c>
    </row>
    <row r="14" spans="1:17" x14ac:dyDescent="0.25">
      <c r="A14" s="4">
        <f t="array" ref="A14">MMULT(MMULT(TRANSPOSE(OffStrat),PayoffMatrix),TRANSPOSE(DefStrat))</f>
        <v>3.5692541856925422</v>
      </c>
    </row>
    <row r="15" spans="1:17" x14ac:dyDescent="0.25">
      <c r="E15" s="1"/>
      <c r="F15" s="1"/>
      <c r="G15" s="1"/>
    </row>
    <row r="21" spans="5:6" x14ac:dyDescent="0.25">
      <c r="E21" s="1"/>
      <c r="F21" s="1"/>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ADE3E5E9D81754FB1E562C0B8A18FFD" ma:contentTypeVersion="1" ma:contentTypeDescription="Create a new document." ma:contentTypeScope="" ma:versionID="8bd2d4c3b83540ce13971e839c0eb419">
  <xsd:schema xmlns:xsd="http://www.w3.org/2001/XMLSchema" xmlns:xs="http://www.w3.org/2001/XMLSchema" xmlns:p="http://schemas.microsoft.com/office/2006/metadata/properties" targetNamespace="http://schemas.microsoft.com/office/2006/metadata/properties" ma:root="true" ma:fieldsID="413230e19d225c99bc6f3651f473b3f3">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4"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C62CC07-EFDD-4FAA-9270-A8C0868BA723}">
  <ds:schemaRefs>
    <ds:schemaRef ds:uri="http://schemas.microsoft.com/sharepoint/v3/contenttype/forms"/>
  </ds:schemaRefs>
</ds:datastoreItem>
</file>

<file path=customXml/itemProps2.xml><?xml version="1.0" encoding="utf-8"?>
<ds:datastoreItem xmlns:ds="http://schemas.openxmlformats.org/officeDocument/2006/customXml" ds:itemID="{51107E0E-DB18-4594-8099-66378343F2F5}">
  <ds:schemaRefs>
    <ds:schemaRef ds:uri="http://schemas.microsoft.com/office/2006/documentManagement/types"/>
    <ds:schemaRef ds:uri="http://www.w3.org/XML/1998/namespace"/>
    <ds:schemaRef ds:uri="http://purl.org/dc/terms/"/>
    <ds:schemaRef ds:uri="http://purl.org/dc/elements/1.1/"/>
    <ds:schemaRef ds:uri="http://schemas.openxmlformats.org/package/2006/metadata/core-properties"/>
    <ds:schemaRef ds:uri="http://schemas.microsoft.com/office/2006/metadata/properties"/>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77D7372F-0C8D-4D5F-89D4-AA1458B9BEF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8</vt:i4>
      </vt:variant>
    </vt:vector>
  </HeadingPairs>
  <TitlesOfParts>
    <vt:vector size="10" baseType="lpstr">
      <vt:lpstr>ReadMe</vt:lpstr>
      <vt:lpstr>Model</vt:lpstr>
      <vt:lpstr>DefStrat</vt:lpstr>
      <vt:lpstr>DefSum</vt:lpstr>
      <vt:lpstr>ExpValGame</vt:lpstr>
      <vt:lpstr>MasterBound</vt:lpstr>
      <vt:lpstr>MaxIter</vt:lpstr>
      <vt:lpstr>OffStrat</vt:lpstr>
      <vt:lpstr>OffSum</vt:lpstr>
      <vt:lpstr>PayoffMatrix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Test</cp:lastModifiedBy>
  <dcterms:created xsi:type="dcterms:W3CDTF">2014-01-15T17:12:21Z</dcterms:created>
  <dcterms:modified xsi:type="dcterms:W3CDTF">2015-04-15T18:15:21Z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0x010100EADE3E5E9D81754FB1E562C0B8A18FFD</vt:lpwstr>
  </property>
</Properties>
</file>