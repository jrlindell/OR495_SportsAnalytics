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705" yWindow="300" windowWidth="13665" windowHeight="10995" activeTab="3"/>
  </bookViews>
  <sheets>
    <sheet name="Schedule" sheetId="1" r:id="rId1"/>
    <sheet name="Player Stats" sheetId="2" r:id="rId2"/>
    <sheet name="Team Stats" sheetId="3" r:id="rId3"/>
    <sheet name="Sim" sheetId="4" r:id="rId4"/>
    <sheet name="Sheet3" sheetId="7" r:id="rId5"/>
  </sheets>
  <functionGroups builtInGroupCount="17"/>
  <definedNames>
    <definedName name="solver_adj" localSheetId="0" hidden="1">Schedule!$B$2:$B$31,Schedule!$B$33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Schedule!$R$3</definedName>
    <definedName name="solver_lhs2" localSheetId="0" hidden="1">Schedule!$R$3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Schedule!$P$1</definedName>
    <definedName name="solver_pre" localSheetId="0" hidden="1">0.000001</definedName>
    <definedName name="solver_rbv" localSheetId="0" hidden="1">1</definedName>
    <definedName name="solver_rel1" localSheetId="0" hidden="1">2</definedName>
    <definedName name="solver_rel2" localSheetId="0" hidden="1">2</definedName>
    <definedName name="solver_rhs1" localSheetId="0" hidden="1">Schedule!$P$3</definedName>
    <definedName name="solver_rhs2" localSheetId="0" hidden="1">Schedule!$P$3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45621"/>
</workbook>
</file>

<file path=xl/calcChain.xml><?xml version="1.0" encoding="utf-8"?>
<calcChain xmlns="http://schemas.openxmlformats.org/spreadsheetml/2006/main">
  <c r="E5" i="4" l="1"/>
  <c r="E6" i="4"/>
  <c r="E7" i="4"/>
  <c r="E8" i="4"/>
  <c r="E9" i="4"/>
  <c r="E10" i="4"/>
  <c r="E11" i="4"/>
  <c r="E4" i="4"/>
  <c r="D5" i="4"/>
  <c r="D6" i="4"/>
  <c r="D7" i="4"/>
  <c r="D8" i="4"/>
  <c r="D9" i="4"/>
  <c r="D10" i="4"/>
  <c r="D11" i="4"/>
  <c r="D4" i="4"/>
  <c r="F7" i="3"/>
  <c r="F12" i="3"/>
  <c r="F22" i="3"/>
  <c r="F21" i="3"/>
  <c r="F27" i="3"/>
  <c r="F31" i="3"/>
  <c r="F3" i="3"/>
  <c r="F13" i="3"/>
  <c r="F23" i="3"/>
  <c r="F30" i="3"/>
  <c r="F19" i="3"/>
  <c r="F17" i="3"/>
  <c r="F26" i="3"/>
  <c r="F32" i="3"/>
  <c r="F9" i="3"/>
  <c r="F25" i="3"/>
  <c r="F11" i="3"/>
  <c r="F16" i="3"/>
  <c r="F24" i="3"/>
  <c r="F18" i="3"/>
  <c r="F10" i="3"/>
  <c r="F5" i="3"/>
  <c r="F29" i="3"/>
  <c r="F15" i="3"/>
  <c r="F14" i="3"/>
  <c r="F8" i="3"/>
  <c r="F20" i="3"/>
  <c r="F4" i="3"/>
  <c r="F6" i="3"/>
  <c r="F28" i="3"/>
  <c r="EE45" i="4" l="1"/>
  <c r="EF45" i="4"/>
  <c r="EG45" i="4"/>
  <c r="EH45" i="4"/>
  <c r="EI45" i="4"/>
  <c r="EJ45" i="4"/>
  <c r="EK45" i="4"/>
  <c r="EL45" i="4"/>
  <c r="EM45" i="4"/>
  <c r="EN45" i="4"/>
  <c r="EO45" i="4"/>
  <c r="EP45" i="4"/>
  <c r="EQ45" i="4"/>
  <c r="ER45" i="4"/>
  <c r="ES45" i="4"/>
  <c r="ED45" i="4"/>
  <c r="FJ11" i="4" l="1"/>
  <c r="FI11" i="4"/>
  <c r="FH11" i="4"/>
  <c r="FG11" i="4"/>
  <c r="FF11" i="4"/>
  <c r="FE11" i="4"/>
  <c r="FD11" i="4"/>
  <c r="FC11" i="4"/>
  <c r="FB11" i="4"/>
  <c r="FA11" i="4"/>
  <c r="EZ11" i="4"/>
  <c r="EY11" i="4"/>
  <c r="EX11" i="4"/>
  <c r="EW11" i="4"/>
  <c r="EV11" i="4"/>
  <c r="EU11" i="4"/>
  <c r="EL33" i="4" l="1"/>
  <c r="EL30" i="4"/>
  <c r="EL27" i="4"/>
  <c r="EL24" i="4"/>
  <c r="EL21" i="4"/>
  <c r="EL18" i="4"/>
  <c r="EL15" i="4"/>
  <c r="EL12" i="4"/>
  <c r="EF33" i="4"/>
  <c r="EF30" i="4"/>
  <c r="EF27" i="4"/>
  <c r="EF24" i="4"/>
  <c r="EF21" i="4"/>
  <c r="EF18" i="4"/>
  <c r="EF15" i="4"/>
  <c r="EF12" i="4"/>
  <c r="K1867" i="1" l="1"/>
  <c r="J1869" i="1"/>
  <c r="K1869" i="1" s="1"/>
  <c r="J1870" i="1"/>
  <c r="K1870" i="1" s="1"/>
  <c r="J1871" i="1"/>
  <c r="K1871" i="1" s="1"/>
  <c r="J1872" i="1"/>
  <c r="K1872" i="1" s="1"/>
  <c r="J1873" i="1"/>
  <c r="K1873" i="1" s="1"/>
  <c r="J1874" i="1"/>
  <c r="K1874" i="1" s="1"/>
  <c r="J1875" i="1"/>
  <c r="K1875" i="1" s="1"/>
  <c r="J1876" i="1"/>
  <c r="K1876" i="1" s="1"/>
  <c r="J1877" i="1"/>
  <c r="K1877" i="1" s="1"/>
  <c r="J1878" i="1"/>
  <c r="K1878" i="1" s="1"/>
  <c r="J1879" i="1"/>
  <c r="K1879" i="1" s="1"/>
  <c r="J1880" i="1"/>
  <c r="K1880" i="1" s="1"/>
  <c r="J1881" i="1"/>
  <c r="K1881" i="1" s="1"/>
  <c r="J1882" i="1"/>
  <c r="K1882" i="1" s="1"/>
  <c r="J1883" i="1"/>
  <c r="K1883" i="1" s="1"/>
  <c r="J1884" i="1"/>
  <c r="K1884" i="1" s="1"/>
  <c r="J1885" i="1"/>
  <c r="K1885" i="1" s="1"/>
  <c r="J1886" i="1"/>
  <c r="K1886" i="1" s="1"/>
  <c r="J1887" i="1"/>
  <c r="K1887" i="1" s="1"/>
  <c r="J1888" i="1"/>
  <c r="K1888" i="1" s="1"/>
  <c r="J1889" i="1"/>
  <c r="K1889" i="1" s="1"/>
  <c r="J1890" i="1"/>
  <c r="K1890" i="1" s="1"/>
  <c r="J1891" i="1"/>
  <c r="K1891" i="1" s="1"/>
  <c r="J1892" i="1"/>
  <c r="K1892" i="1" s="1"/>
  <c r="J1893" i="1"/>
  <c r="K1893" i="1" s="1"/>
  <c r="J1894" i="1"/>
  <c r="K1894" i="1" s="1"/>
  <c r="J1895" i="1"/>
  <c r="K1895" i="1" s="1"/>
  <c r="J1896" i="1"/>
  <c r="K1896" i="1" s="1"/>
  <c r="J1897" i="1"/>
  <c r="K1897" i="1" s="1"/>
  <c r="J1898" i="1"/>
  <c r="K1898" i="1" s="1"/>
  <c r="J1899" i="1"/>
  <c r="K1899" i="1" s="1"/>
  <c r="J1900" i="1"/>
  <c r="K1900" i="1" s="1"/>
  <c r="J1901" i="1"/>
  <c r="K1901" i="1" s="1"/>
  <c r="J1902" i="1"/>
  <c r="K1902" i="1" s="1"/>
  <c r="J1903" i="1"/>
  <c r="K1903" i="1" s="1"/>
  <c r="J1904" i="1"/>
  <c r="K1904" i="1" s="1"/>
  <c r="J1905" i="1"/>
  <c r="K1905" i="1" s="1"/>
  <c r="J1906" i="1"/>
  <c r="K1906" i="1" s="1"/>
  <c r="J1907" i="1"/>
  <c r="K1907" i="1" s="1"/>
  <c r="J1908" i="1"/>
  <c r="K1908" i="1" s="1"/>
  <c r="J1909" i="1"/>
  <c r="K1909" i="1" s="1"/>
  <c r="J1910" i="1"/>
  <c r="K1910" i="1" s="1"/>
  <c r="J1911" i="1"/>
  <c r="K1911" i="1" s="1"/>
  <c r="J1912" i="1"/>
  <c r="K1912" i="1" s="1"/>
  <c r="J1913" i="1"/>
  <c r="K1913" i="1" s="1"/>
  <c r="J1914" i="1"/>
  <c r="K1914" i="1" s="1"/>
  <c r="J1915" i="1"/>
  <c r="K1915" i="1" s="1"/>
  <c r="J1916" i="1"/>
  <c r="K1916" i="1" s="1"/>
  <c r="J1917" i="1"/>
  <c r="K1917" i="1" s="1"/>
  <c r="J1918" i="1"/>
  <c r="K1918" i="1" s="1"/>
  <c r="J1919" i="1"/>
  <c r="K1919" i="1" s="1"/>
  <c r="J1920" i="1"/>
  <c r="K1920" i="1" s="1"/>
  <c r="J1921" i="1"/>
  <c r="K1921" i="1" s="1"/>
  <c r="J1922" i="1"/>
  <c r="K1922" i="1" s="1"/>
  <c r="J1923" i="1"/>
  <c r="K1923" i="1" s="1"/>
  <c r="J1924" i="1"/>
  <c r="K1924" i="1" s="1"/>
  <c r="J1925" i="1"/>
  <c r="K1925" i="1" s="1"/>
  <c r="J1926" i="1"/>
  <c r="K1926" i="1" s="1"/>
  <c r="J1927" i="1"/>
  <c r="K1927" i="1" s="1"/>
  <c r="J1928" i="1"/>
  <c r="K1928" i="1" s="1"/>
  <c r="J1929" i="1"/>
  <c r="K1929" i="1" s="1"/>
  <c r="J1930" i="1"/>
  <c r="K1930" i="1" s="1"/>
  <c r="J1931" i="1"/>
  <c r="K1931" i="1" s="1"/>
  <c r="J1932" i="1"/>
  <c r="K1932" i="1" s="1"/>
  <c r="J1933" i="1"/>
  <c r="K1933" i="1" s="1"/>
  <c r="J1934" i="1"/>
  <c r="K1934" i="1" s="1"/>
  <c r="J1935" i="1"/>
  <c r="K1935" i="1" s="1"/>
  <c r="J1936" i="1"/>
  <c r="K1936" i="1" s="1"/>
  <c r="J1937" i="1"/>
  <c r="K1937" i="1" s="1"/>
  <c r="J1938" i="1"/>
  <c r="K1938" i="1" s="1"/>
  <c r="J1939" i="1"/>
  <c r="K1939" i="1" s="1"/>
  <c r="J1940" i="1"/>
  <c r="K1940" i="1" s="1"/>
  <c r="J1941" i="1"/>
  <c r="K1941" i="1" s="1"/>
  <c r="J1942" i="1"/>
  <c r="K1942" i="1" s="1"/>
  <c r="J1943" i="1"/>
  <c r="K1943" i="1" s="1"/>
  <c r="J1944" i="1"/>
  <c r="K1944" i="1" s="1"/>
  <c r="J1945" i="1"/>
  <c r="K1945" i="1" s="1"/>
  <c r="J1946" i="1"/>
  <c r="K1946" i="1" s="1"/>
  <c r="J1947" i="1"/>
  <c r="K1947" i="1" s="1"/>
  <c r="J1948" i="1"/>
  <c r="K1948" i="1" s="1"/>
  <c r="J1949" i="1"/>
  <c r="K1949" i="1" s="1"/>
  <c r="J1950" i="1"/>
  <c r="K1950" i="1" s="1"/>
  <c r="J1951" i="1"/>
  <c r="K1951" i="1" s="1"/>
  <c r="J1952" i="1"/>
  <c r="K1952" i="1" s="1"/>
  <c r="J1953" i="1"/>
  <c r="K1953" i="1" s="1"/>
  <c r="J1954" i="1"/>
  <c r="K1954" i="1" s="1"/>
  <c r="J1955" i="1"/>
  <c r="K1955" i="1" s="1"/>
  <c r="J1956" i="1"/>
  <c r="K1956" i="1" s="1"/>
  <c r="J1957" i="1"/>
  <c r="K1957" i="1" s="1"/>
  <c r="J1958" i="1"/>
  <c r="K1958" i="1" s="1"/>
  <c r="J1959" i="1"/>
  <c r="K1959" i="1" s="1"/>
  <c r="J1960" i="1"/>
  <c r="K1960" i="1" s="1"/>
  <c r="J1961" i="1"/>
  <c r="K1961" i="1" s="1"/>
  <c r="J1962" i="1"/>
  <c r="K1962" i="1" s="1"/>
  <c r="J1963" i="1"/>
  <c r="K1963" i="1" s="1"/>
  <c r="J1964" i="1"/>
  <c r="K1964" i="1" s="1"/>
  <c r="J1965" i="1"/>
  <c r="K1965" i="1" s="1"/>
  <c r="J1966" i="1"/>
  <c r="K1966" i="1" s="1"/>
  <c r="J1967" i="1"/>
  <c r="K1967" i="1" s="1"/>
  <c r="J1968" i="1"/>
  <c r="K1968" i="1" s="1"/>
  <c r="J1969" i="1"/>
  <c r="K1969" i="1" s="1"/>
  <c r="J1970" i="1"/>
  <c r="K1970" i="1" s="1"/>
  <c r="J1971" i="1"/>
  <c r="K1971" i="1" s="1"/>
  <c r="J1972" i="1"/>
  <c r="K1972" i="1" s="1"/>
  <c r="J1973" i="1"/>
  <c r="K1973" i="1" s="1"/>
  <c r="J1974" i="1"/>
  <c r="K1974" i="1" s="1"/>
  <c r="J1975" i="1"/>
  <c r="K1975" i="1" s="1"/>
  <c r="J1976" i="1"/>
  <c r="K1976" i="1" s="1"/>
  <c r="J1977" i="1"/>
  <c r="K1977" i="1" s="1"/>
  <c r="J1978" i="1"/>
  <c r="K1978" i="1" s="1"/>
  <c r="J1979" i="1"/>
  <c r="K1979" i="1" s="1"/>
  <c r="J1980" i="1"/>
  <c r="K1980" i="1" s="1"/>
  <c r="J1981" i="1"/>
  <c r="K1981" i="1" s="1"/>
  <c r="J1982" i="1"/>
  <c r="K1982" i="1" s="1"/>
  <c r="J1983" i="1"/>
  <c r="K1983" i="1" s="1"/>
  <c r="J1984" i="1"/>
  <c r="K1984" i="1" s="1"/>
  <c r="J1985" i="1"/>
  <c r="K1985" i="1" s="1"/>
  <c r="J1986" i="1"/>
  <c r="K1986" i="1" s="1"/>
  <c r="J1987" i="1"/>
  <c r="K1987" i="1" s="1"/>
  <c r="J1988" i="1"/>
  <c r="K1988" i="1" s="1"/>
  <c r="J1989" i="1"/>
  <c r="K1989" i="1" s="1"/>
  <c r="J1990" i="1"/>
  <c r="K1990" i="1" s="1"/>
  <c r="J1991" i="1"/>
  <c r="K1991" i="1" s="1"/>
  <c r="J1992" i="1"/>
  <c r="K1992" i="1" s="1"/>
  <c r="J1993" i="1"/>
  <c r="K1993" i="1" s="1"/>
  <c r="J1994" i="1"/>
  <c r="K1994" i="1" s="1"/>
  <c r="J1995" i="1"/>
  <c r="K1995" i="1" s="1"/>
  <c r="J1996" i="1"/>
  <c r="K1996" i="1" s="1"/>
  <c r="J1997" i="1"/>
  <c r="K1997" i="1" s="1"/>
  <c r="J1998" i="1"/>
  <c r="K1998" i="1" s="1"/>
  <c r="J1999" i="1"/>
  <c r="K1999" i="1" s="1"/>
  <c r="J2000" i="1"/>
  <c r="K2000" i="1" s="1"/>
  <c r="J2001" i="1"/>
  <c r="K2001" i="1" s="1"/>
  <c r="J2002" i="1"/>
  <c r="K2002" i="1" s="1"/>
  <c r="J2003" i="1"/>
  <c r="K2003" i="1" s="1"/>
  <c r="J2004" i="1"/>
  <c r="K2004" i="1" s="1"/>
  <c r="J2005" i="1"/>
  <c r="K2005" i="1" s="1"/>
  <c r="J2006" i="1"/>
  <c r="K2006" i="1" s="1"/>
  <c r="J2007" i="1"/>
  <c r="K2007" i="1" s="1"/>
  <c r="J2008" i="1"/>
  <c r="K2008" i="1" s="1"/>
  <c r="J2009" i="1"/>
  <c r="K2009" i="1" s="1"/>
  <c r="J2010" i="1"/>
  <c r="K2010" i="1" s="1"/>
  <c r="J2011" i="1"/>
  <c r="K2011" i="1" s="1"/>
  <c r="J2012" i="1"/>
  <c r="K2012" i="1" s="1"/>
  <c r="J2013" i="1"/>
  <c r="K2013" i="1" s="1"/>
  <c r="J2014" i="1"/>
  <c r="K2014" i="1" s="1"/>
  <c r="J2015" i="1"/>
  <c r="K2015" i="1" s="1"/>
  <c r="J2016" i="1"/>
  <c r="K2016" i="1" s="1"/>
  <c r="J2017" i="1"/>
  <c r="K2017" i="1" s="1"/>
  <c r="J2018" i="1"/>
  <c r="K2018" i="1" s="1"/>
  <c r="J2019" i="1"/>
  <c r="K2019" i="1" s="1"/>
  <c r="J2020" i="1"/>
  <c r="K2020" i="1" s="1"/>
  <c r="J2021" i="1"/>
  <c r="K2021" i="1" s="1"/>
  <c r="J2022" i="1"/>
  <c r="K2022" i="1" s="1"/>
  <c r="J2023" i="1"/>
  <c r="K2023" i="1" s="1"/>
  <c r="J2024" i="1"/>
  <c r="K2024" i="1" s="1"/>
  <c r="J2025" i="1"/>
  <c r="K2025" i="1" s="1"/>
  <c r="J2026" i="1"/>
  <c r="K2026" i="1" s="1"/>
  <c r="J2027" i="1"/>
  <c r="K2027" i="1" s="1"/>
  <c r="J2028" i="1"/>
  <c r="K2028" i="1" s="1"/>
  <c r="J2029" i="1"/>
  <c r="K2029" i="1" s="1"/>
  <c r="J2030" i="1"/>
  <c r="K2030" i="1" s="1"/>
  <c r="J2031" i="1"/>
  <c r="K2031" i="1" s="1"/>
  <c r="J2032" i="1"/>
  <c r="K2032" i="1" s="1"/>
  <c r="J2033" i="1"/>
  <c r="K2033" i="1" s="1"/>
  <c r="J2034" i="1"/>
  <c r="K2034" i="1" s="1"/>
  <c r="J2035" i="1"/>
  <c r="K2035" i="1" s="1"/>
  <c r="J2036" i="1"/>
  <c r="K2036" i="1" s="1"/>
  <c r="J2037" i="1"/>
  <c r="K2037" i="1" s="1"/>
  <c r="J2038" i="1"/>
  <c r="K2038" i="1" s="1"/>
  <c r="J2039" i="1"/>
  <c r="K2039" i="1" s="1"/>
  <c r="J2040" i="1"/>
  <c r="K2040" i="1" s="1"/>
  <c r="J2041" i="1"/>
  <c r="K2041" i="1" s="1"/>
  <c r="J2042" i="1"/>
  <c r="K2042" i="1" s="1"/>
  <c r="J2043" i="1"/>
  <c r="K2043" i="1" s="1"/>
  <c r="J2044" i="1"/>
  <c r="K2044" i="1" s="1"/>
  <c r="J2045" i="1"/>
  <c r="K2045" i="1" s="1"/>
  <c r="J2046" i="1"/>
  <c r="K2046" i="1" s="1"/>
  <c r="J2047" i="1"/>
  <c r="K2047" i="1" s="1"/>
  <c r="J2048" i="1"/>
  <c r="K2048" i="1" s="1"/>
  <c r="J2049" i="1"/>
  <c r="K2049" i="1" s="1"/>
  <c r="J2050" i="1"/>
  <c r="K2050" i="1" s="1"/>
  <c r="J2051" i="1"/>
  <c r="K2051" i="1" s="1"/>
  <c r="J2052" i="1"/>
  <c r="K2052" i="1" s="1"/>
  <c r="J2053" i="1"/>
  <c r="K2053" i="1" s="1"/>
  <c r="J2054" i="1"/>
  <c r="K2054" i="1" s="1"/>
  <c r="J2055" i="1"/>
  <c r="K2055" i="1" s="1"/>
  <c r="J2056" i="1"/>
  <c r="K2056" i="1" s="1"/>
  <c r="J2057" i="1"/>
  <c r="K2057" i="1" s="1"/>
  <c r="J2058" i="1"/>
  <c r="K2058" i="1" s="1"/>
  <c r="J2059" i="1"/>
  <c r="K2059" i="1" s="1"/>
  <c r="J2060" i="1"/>
  <c r="K2060" i="1" s="1"/>
  <c r="J2061" i="1"/>
  <c r="K2061" i="1" s="1"/>
  <c r="J2062" i="1"/>
  <c r="K2062" i="1" s="1"/>
  <c r="J2063" i="1"/>
  <c r="K2063" i="1" s="1"/>
  <c r="J2064" i="1"/>
  <c r="K2064" i="1" s="1"/>
  <c r="J2065" i="1"/>
  <c r="K2065" i="1" s="1"/>
  <c r="J2066" i="1"/>
  <c r="K2066" i="1" s="1"/>
  <c r="J2067" i="1"/>
  <c r="K2067" i="1" s="1"/>
  <c r="J2068" i="1"/>
  <c r="K2068" i="1" s="1"/>
  <c r="J2069" i="1"/>
  <c r="K2069" i="1" s="1"/>
  <c r="J2070" i="1"/>
  <c r="K2070" i="1" s="1"/>
  <c r="J2071" i="1"/>
  <c r="K2071" i="1" s="1"/>
  <c r="J2072" i="1"/>
  <c r="K2072" i="1" s="1"/>
  <c r="J2073" i="1"/>
  <c r="K2073" i="1" s="1"/>
  <c r="J2074" i="1"/>
  <c r="K2074" i="1" s="1"/>
  <c r="J2075" i="1"/>
  <c r="K2075" i="1" s="1"/>
  <c r="J2076" i="1"/>
  <c r="K2076" i="1" s="1"/>
  <c r="J2077" i="1"/>
  <c r="K2077" i="1" s="1"/>
  <c r="J2078" i="1"/>
  <c r="K2078" i="1" s="1"/>
  <c r="J2079" i="1"/>
  <c r="K2079" i="1" s="1"/>
  <c r="J2080" i="1"/>
  <c r="K2080" i="1" s="1"/>
  <c r="J2081" i="1"/>
  <c r="K2081" i="1" s="1"/>
  <c r="J2082" i="1"/>
  <c r="K2082" i="1" s="1"/>
  <c r="J2083" i="1"/>
  <c r="K2083" i="1" s="1"/>
  <c r="J2084" i="1"/>
  <c r="K2084" i="1" s="1"/>
  <c r="J2085" i="1"/>
  <c r="K2085" i="1" s="1"/>
  <c r="J2086" i="1"/>
  <c r="K2086" i="1" s="1"/>
  <c r="J2087" i="1"/>
  <c r="K2087" i="1" s="1"/>
  <c r="J2088" i="1"/>
  <c r="K2088" i="1" s="1"/>
  <c r="J2089" i="1"/>
  <c r="K2089" i="1" s="1"/>
  <c r="J2090" i="1"/>
  <c r="K2090" i="1" s="1"/>
  <c r="J2091" i="1"/>
  <c r="K2091" i="1" s="1"/>
  <c r="J2092" i="1"/>
  <c r="K2092" i="1" s="1"/>
  <c r="J2093" i="1"/>
  <c r="K2093" i="1" s="1"/>
  <c r="J2094" i="1"/>
  <c r="K2094" i="1" s="1"/>
  <c r="J2095" i="1"/>
  <c r="K2095" i="1" s="1"/>
  <c r="J2096" i="1"/>
  <c r="K2096" i="1" s="1"/>
  <c r="J2097" i="1"/>
  <c r="K2097" i="1" s="1"/>
  <c r="J2098" i="1"/>
  <c r="K2098" i="1" s="1"/>
  <c r="J2099" i="1"/>
  <c r="K2099" i="1" s="1"/>
  <c r="J2100" i="1"/>
  <c r="K2100" i="1" s="1"/>
  <c r="J2101" i="1"/>
  <c r="K2101" i="1" s="1"/>
  <c r="J2102" i="1"/>
  <c r="K2102" i="1" s="1"/>
  <c r="J2103" i="1"/>
  <c r="K2103" i="1" s="1"/>
  <c r="J2104" i="1"/>
  <c r="K2104" i="1" s="1"/>
  <c r="J2105" i="1"/>
  <c r="K2105" i="1" s="1"/>
  <c r="J2106" i="1"/>
  <c r="K2106" i="1" s="1"/>
  <c r="J2107" i="1"/>
  <c r="K2107" i="1" s="1"/>
  <c r="J2108" i="1"/>
  <c r="K2108" i="1" s="1"/>
  <c r="J2109" i="1"/>
  <c r="K2109" i="1" s="1"/>
  <c r="J2110" i="1"/>
  <c r="K2110" i="1" s="1"/>
  <c r="J2111" i="1"/>
  <c r="K2111" i="1" s="1"/>
  <c r="J2112" i="1"/>
  <c r="K2112" i="1" s="1"/>
  <c r="J2113" i="1"/>
  <c r="K2113" i="1" s="1"/>
  <c r="J2114" i="1"/>
  <c r="K2114" i="1" s="1"/>
  <c r="J2115" i="1"/>
  <c r="K2115" i="1" s="1"/>
  <c r="J2116" i="1"/>
  <c r="K2116" i="1" s="1"/>
  <c r="J2117" i="1"/>
  <c r="K2117" i="1" s="1"/>
  <c r="J2118" i="1"/>
  <c r="K2118" i="1" s="1"/>
  <c r="J2119" i="1"/>
  <c r="K2119" i="1" s="1"/>
  <c r="J2120" i="1"/>
  <c r="K2120" i="1" s="1"/>
  <c r="J2121" i="1"/>
  <c r="K2121" i="1" s="1"/>
  <c r="J2122" i="1"/>
  <c r="K2122" i="1" s="1"/>
  <c r="J2123" i="1"/>
  <c r="K2123" i="1" s="1"/>
  <c r="J2124" i="1"/>
  <c r="K2124" i="1" s="1"/>
  <c r="J2125" i="1"/>
  <c r="K2125" i="1" s="1"/>
  <c r="J2126" i="1"/>
  <c r="K2126" i="1" s="1"/>
  <c r="J2127" i="1"/>
  <c r="K2127" i="1" s="1"/>
  <c r="J2128" i="1"/>
  <c r="K2128" i="1" s="1"/>
  <c r="J2129" i="1"/>
  <c r="K2129" i="1" s="1"/>
  <c r="J2130" i="1"/>
  <c r="K2130" i="1" s="1"/>
  <c r="J2131" i="1"/>
  <c r="K2131" i="1" s="1"/>
  <c r="J2132" i="1"/>
  <c r="K2132" i="1" s="1"/>
  <c r="J2133" i="1"/>
  <c r="K2133" i="1" s="1"/>
  <c r="J2134" i="1"/>
  <c r="K2134" i="1" s="1"/>
  <c r="J2135" i="1"/>
  <c r="K2135" i="1" s="1"/>
  <c r="J2136" i="1"/>
  <c r="K2136" i="1" s="1"/>
  <c r="J2137" i="1"/>
  <c r="K2137" i="1" s="1"/>
  <c r="J2138" i="1"/>
  <c r="K2138" i="1" s="1"/>
  <c r="J2139" i="1"/>
  <c r="K2139" i="1" s="1"/>
  <c r="J2140" i="1"/>
  <c r="K2140" i="1" s="1"/>
  <c r="J2141" i="1"/>
  <c r="K2141" i="1" s="1"/>
  <c r="J2142" i="1"/>
  <c r="K2142" i="1" s="1"/>
  <c r="J2143" i="1"/>
  <c r="K2143" i="1" s="1"/>
  <c r="J2144" i="1"/>
  <c r="K2144" i="1" s="1"/>
  <c r="J2145" i="1"/>
  <c r="K2145" i="1" s="1"/>
  <c r="J2146" i="1"/>
  <c r="K2146" i="1" s="1"/>
  <c r="J2147" i="1"/>
  <c r="K2147" i="1" s="1"/>
  <c r="J2148" i="1"/>
  <c r="K2148" i="1" s="1"/>
  <c r="J2149" i="1"/>
  <c r="K2149" i="1" s="1"/>
  <c r="J2150" i="1"/>
  <c r="K2150" i="1" s="1"/>
  <c r="J2151" i="1"/>
  <c r="K2151" i="1" s="1"/>
  <c r="J2152" i="1"/>
  <c r="K2152" i="1" s="1"/>
  <c r="J2153" i="1"/>
  <c r="K2153" i="1" s="1"/>
  <c r="J2154" i="1"/>
  <c r="K2154" i="1" s="1"/>
  <c r="J2155" i="1"/>
  <c r="K2155" i="1" s="1"/>
  <c r="J2156" i="1"/>
  <c r="K2156" i="1" s="1"/>
  <c r="J2157" i="1"/>
  <c r="K2157" i="1" s="1"/>
  <c r="J2158" i="1"/>
  <c r="K2158" i="1" s="1"/>
  <c r="J2159" i="1"/>
  <c r="K2159" i="1" s="1"/>
  <c r="J2160" i="1"/>
  <c r="K2160" i="1" s="1"/>
  <c r="J2161" i="1"/>
  <c r="K2161" i="1" s="1"/>
  <c r="J2162" i="1"/>
  <c r="K2162" i="1" s="1"/>
  <c r="J2163" i="1"/>
  <c r="K2163" i="1" s="1"/>
  <c r="J2164" i="1"/>
  <c r="K2164" i="1" s="1"/>
  <c r="J2165" i="1"/>
  <c r="K2165" i="1" s="1"/>
  <c r="J2166" i="1"/>
  <c r="K2166" i="1" s="1"/>
  <c r="J2167" i="1"/>
  <c r="K2167" i="1" s="1"/>
  <c r="J2168" i="1"/>
  <c r="K2168" i="1" s="1"/>
  <c r="J2169" i="1"/>
  <c r="K2169" i="1" s="1"/>
  <c r="J2170" i="1"/>
  <c r="K2170" i="1" s="1"/>
  <c r="J2171" i="1"/>
  <c r="K2171" i="1" s="1"/>
  <c r="J2172" i="1"/>
  <c r="K2172" i="1" s="1"/>
  <c r="J2173" i="1"/>
  <c r="K2173" i="1" s="1"/>
  <c r="J2174" i="1"/>
  <c r="K2174" i="1" s="1"/>
  <c r="J2175" i="1"/>
  <c r="K2175" i="1" s="1"/>
  <c r="J2176" i="1"/>
  <c r="K2176" i="1" s="1"/>
  <c r="J2177" i="1"/>
  <c r="K2177" i="1" s="1"/>
  <c r="J2178" i="1"/>
  <c r="K2178" i="1" s="1"/>
  <c r="J2179" i="1"/>
  <c r="K2179" i="1" s="1"/>
  <c r="J2180" i="1"/>
  <c r="K2180" i="1" s="1"/>
  <c r="J2181" i="1"/>
  <c r="K2181" i="1" s="1"/>
  <c r="J2182" i="1"/>
  <c r="K2182" i="1" s="1"/>
  <c r="J2183" i="1"/>
  <c r="K2183" i="1" s="1"/>
  <c r="J2184" i="1"/>
  <c r="K2184" i="1" s="1"/>
  <c r="J2185" i="1"/>
  <c r="K2185" i="1" s="1"/>
  <c r="J2186" i="1"/>
  <c r="K2186" i="1" s="1"/>
  <c r="J2187" i="1"/>
  <c r="K2187" i="1" s="1"/>
  <c r="J2188" i="1"/>
  <c r="K2188" i="1" s="1"/>
  <c r="J2189" i="1"/>
  <c r="K2189" i="1" s="1"/>
  <c r="J2190" i="1"/>
  <c r="K2190" i="1" s="1"/>
  <c r="J2191" i="1"/>
  <c r="K2191" i="1" s="1"/>
  <c r="J2192" i="1"/>
  <c r="K2192" i="1" s="1"/>
  <c r="J2193" i="1"/>
  <c r="K2193" i="1" s="1"/>
  <c r="J2194" i="1"/>
  <c r="K2194" i="1" s="1"/>
  <c r="J2195" i="1"/>
  <c r="K2195" i="1" s="1"/>
  <c r="J2196" i="1"/>
  <c r="K2196" i="1" s="1"/>
  <c r="J2197" i="1"/>
  <c r="K2197" i="1" s="1"/>
  <c r="J2198" i="1"/>
  <c r="K2198" i="1" s="1"/>
  <c r="J2199" i="1"/>
  <c r="K2199" i="1" s="1"/>
  <c r="J2200" i="1"/>
  <c r="K2200" i="1" s="1"/>
  <c r="J2201" i="1"/>
  <c r="K2201" i="1" s="1"/>
  <c r="J2202" i="1"/>
  <c r="K2202" i="1" s="1"/>
  <c r="J2203" i="1"/>
  <c r="K2203" i="1" s="1"/>
  <c r="J2204" i="1"/>
  <c r="K2204" i="1" s="1"/>
  <c r="J2205" i="1"/>
  <c r="K2205" i="1" s="1"/>
  <c r="J2206" i="1"/>
  <c r="K2206" i="1" s="1"/>
  <c r="J2207" i="1"/>
  <c r="K2207" i="1" s="1"/>
  <c r="J2208" i="1"/>
  <c r="K2208" i="1" s="1"/>
  <c r="J2209" i="1"/>
  <c r="K2209" i="1" s="1"/>
  <c r="J2210" i="1"/>
  <c r="K2210" i="1" s="1"/>
  <c r="J2211" i="1"/>
  <c r="K2211" i="1" s="1"/>
  <c r="J2212" i="1"/>
  <c r="K2212" i="1" s="1"/>
  <c r="J2213" i="1"/>
  <c r="K2213" i="1" s="1"/>
  <c r="J2214" i="1"/>
  <c r="K2214" i="1" s="1"/>
  <c r="J2215" i="1"/>
  <c r="K2215" i="1" s="1"/>
  <c r="J2216" i="1"/>
  <c r="K2216" i="1" s="1"/>
  <c r="J2217" i="1"/>
  <c r="K2217" i="1" s="1"/>
  <c r="J2218" i="1"/>
  <c r="K2218" i="1" s="1"/>
  <c r="J2219" i="1"/>
  <c r="K2219" i="1" s="1"/>
  <c r="J2220" i="1"/>
  <c r="K2220" i="1" s="1"/>
  <c r="J2221" i="1"/>
  <c r="K2221" i="1" s="1"/>
  <c r="J2222" i="1"/>
  <c r="K2222" i="1" s="1"/>
  <c r="J2223" i="1"/>
  <c r="K2223" i="1" s="1"/>
  <c r="J2224" i="1"/>
  <c r="K2224" i="1" s="1"/>
  <c r="J2225" i="1"/>
  <c r="K2225" i="1" s="1"/>
  <c r="J2226" i="1"/>
  <c r="K2226" i="1" s="1"/>
  <c r="J2227" i="1"/>
  <c r="K2227" i="1" s="1"/>
  <c r="J2228" i="1"/>
  <c r="K2228" i="1" s="1"/>
  <c r="J2229" i="1"/>
  <c r="K2229" i="1" s="1"/>
  <c r="J2230" i="1"/>
  <c r="K2230" i="1" s="1"/>
  <c r="J2231" i="1"/>
  <c r="K2231" i="1" s="1"/>
  <c r="J2232" i="1"/>
  <c r="K2232" i="1" s="1"/>
  <c r="J2233" i="1"/>
  <c r="K2233" i="1" s="1"/>
  <c r="J2234" i="1"/>
  <c r="K2234" i="1" s="1"/>
  <c r="J2235" i="1"/>
  <c r="K2235" i="1" s="1"/>
  <c r="J2236" i="1"/>
  <c r="K2236" i="1" s="1"/>
  <c r="J2237" i="1"/>
  <c r="K2237" i="1" s="1"/>
  <c r="J2238" i="1"/>
  <c r="K2238" i="1" s="1"/>
  <c r="J2239" i="1"/>
  <c r="K2239" i="1" s="1"/>
  <c r="J2240" i="1"/>
  <c r="K2240" i="1" s="1"/>
  <c r="J2241" i="1"/>
  <c r="K2241" i="1" s="1"/>
  <c r="J2242" i="1"/>
  <c r="K2242" i="1" s="1"/>
  <c r="J2243" i="1"/>
  <c r="K2243" i="1" s="1"/>
  <c r="J2244" i="1"/>
  <c r="K2244" i="1" s="1"/>
  <c r="J2245" i="1"/>
  <c r="K2245" i="1" s="1"/>
  <c r="J2246" i="1"/>
  <c r="K2246" i="1" s="1"/>
  <c r="J2247" i="1"/>
  <c r="K2247" i="1" s="1"/>
  <c r="J2248" i="1"/>
  <c r="K2248" i="1" s="1"/>
  <c r="J2249" i="1"/>
  <c r="K2249" i="1" s="1"/>
  <c r="J2250" i="1"/>
  <c r="K2250" i="1" s="1"/>
  <c r="J2251" i="1"/>
  <c r="K2251" i="1" s="1"/>
  <c r="J2252" i="1"/>
  <c r="K2252" i="1" s="1"/>
  <c r="J2253" i="1"/>
  <c r="K2253" i="1" s="1"/>
  <c r="J2254" i="1"/>
  <c r="K2254" i="1" s="1"/>
  <c r="J2255" i="1"/>
  <c r="K2255" i="1" s="1"/>
  <c r="J2256" i="1"/>
  <c r="K2256" i="1" s="1"/>
  <c r="J2257" i="1"/>
  <c r="K2257" i="1" s="1"/>
  <c r="J2258" i="1"/>
  <c r="K2258" i="1" s="1"/>
  <c r="J2259" i="1"/>
  <c r="K2259" i="1" s="1"/>
  <c r="J2260" i="1"/>
  <c r="K2260" i="1" s="1"/>
  <c r="J2261" i="1"/>
  <c r="K2261" i="1" s="1"/>
  <c r="J2262" i="1"/>
  <c r="K2262" i="1" s="1"/>
  <c r="J2263" i="1"/>
  <c r="K2263" i="1" s="1"/>
  <c r="J2264" i="1"/>
  <c r="K2264" i="1" s="1"/>
  <c r="J2265" i="1"/>
  <c r="K2265" i="1" s="1"/>
  <c r="J2266" i="1"/>
  <c r="K2266" i="1" s="1"/>
  <c r="J2267" i="1"/>
  <c r="K2267" i="1" s="1"/>
  <c r="J2268" i="1"/>
  <c r="K2268" i="1" s="1"/>
  <c r="J2269" i="1"/>
  <c r="K2269" i="1" s="1"/>
  <c r="J2270" i="1"/>
  <c r="K2270" i="1" s="1"/>
  <c r="J2271" i="1"/>
  <c r="K2271" i="1" s="1"/>
  <c r="J2272" i="1"/>
  <c r="K2272" i="1" s="1"/>
  <c r="J2273" i="1"/>
  <c r="K2273" i="1" s="1"/>
  <c r="J2274" i="1"/>
  <c r="K2274" i="1" s="1"/>
  <c r="J2275" i="1"/>
  <c r="K2275" i="1" s="1"/>
  <c r="J2276" i="1"/>
  <c r="K2276" i="1" s="1"/>
  <c r="J2277" i="1"/>
  <c r="K2277" i="1" s="1"/>
  <c r="J2278" i="1"/>
  <c r="K2278" i="1" s="1"/>
  <c r="J2279" i="1"/>
  <c r="K2279" i="1" s="1"/>
  <c r="J2280" i="1"/>
  <c r="K2280" i="1" s="1"/>
  <c r="J2281" i="1"/>
  <c r="K2281" i="1" s="1"/>
  <c r="J2282" i="1"/>
  <c r="K2282" i="1" s="1"/>
  <c r="J2283" i="1"/>
  <c r="K2283" i="1" s="1"/>
  <c r="J2284" i="1"/>
  <c r="K2284" i="1" s="1"/>
  <c r="J2285" i="1"/>
  <c r="K2285" i="1" s="1"/>
  <c r="J2286" i="1"/>
  <c r="K2286" i="1" s="1"/>
  <c r="J2287" i="1"/>
  <c r="K2287" i="1" s="1"/>
  <c r="J2288" i="1"/>
  <c r="K2288" i="1" s="1"/>
  <c r="J2289" i="1"/>
  <c r="K2289" i="1" s="1"/>
  <c r="J2290" i="1"/>
  <c r="K2290" i="1" s="1"/>
  <c r="J2291" i="1"/>
  <c r="K2291" i="1" s="1"/>
  <c r="J2292" i="1"/>
  <c r="K2292" i="1" s="1"/>
  <c r="J2293" i="1"/>
  <c r="K2293" i="1" s="1"/>
  <c r="J2294" i="1"/>
  <c r="K2294" i="1" s="1"/>
  <c r="J2295" i="1"/>
  <c r="K2295" i="1" s="1"/>
  <c r="J2296" i="1"/>
  <c r="K2296" i="1" s="1"/>
  <c r="J2297" i="1"/>
  <c r="K2297" i="1" s="1"/>
  <c r="J2298" i="1"/>
  <c r="K2298" i="1" s="1"/>
  <c r="J2299" i="1"/>
  <c r="K2299" i="1" s="1"/>
  <c r="J1868" i="1"/>
  <c r="K1868" i="1" s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1868" i="1"/>
  <c r="J2" i="1" l="1"/>
  <c r="C18" i="4" l="1"/>
  <c r="I23" i="4" s="1"/>
  <c r="C19" i="4"/>
  <c r="I22" i="4" s="1"/>
  <c r="C20" i="4"/>
  <c r="I20" i="4" s="1"/>
  <c r="M20" i="4" s="1"/>
  <c r="C21" i="4"/>
  <c r="I19" i="4" s="1"/>
  <c r="M19" i="4" s="1"/>
  <c r="C22" i="4"/>
  <c r="I21" i="4" s="1"/>
  <c r="C23" i="4"/>
  <c r="I24" i="4" s="1"/>
  <c r="C24" i="4"/>
  <c r="I18" i="4" s="1"/>
  <c r="C17" i="4"/>
  <c r="I17" i="4" s="1"/>
  <c r="M17" i="4" s="1"/>
  <c r="C5" i="4"/>
  <c r="I10" i="4" s="1"/>
  <c r="C6" i="4"/>
  <c r="I9" i="4" s="1"/>
  <c r="C7" i="4"/>
  <c r="I7" i="4" s="1"/>
  <c r="M7" i="4" s="1"/>
  <c r="C8" i="4"/>
  <c r="I6" i="4" s="1"/>
  <c r="M6" i="4" s="1"/>
  <c r="C9" i="4"/>
  <c r="I8" i="4" s="1"/>
  <c r="C10" i="4"/>
  <c r="I11" i="4" s="1"/>
  <c r="C11" i="4"/>
  <c r="I5" i="4" s="1"/>
  <c r="M5" i="4" s="1"/>
  <c r="C4" i="4"/>
  <c r="I4" i="4" s="1"/>
  <c r="M4" i="4" s="1"/>
  <c r="E18" i="4"/>
  <c r="K23" i="4" s="1"/>
  <c r="E19" i="4"/>
  <c r="K22" i="4" s="1"/>
  <c r="E20" i="4"/>
  <c r="K20" i="4" s="1"/>
  <c r="E21" i="4"/>
  <c r="K19" i="4" s="1"/>
  <c r="E22" i="4"/>
  <c r="K21" i="4" s="1"/>
  <c r="E23" i="4"/>
  <c r="K24" i="4" s="1"/>
  <c r="E24" i="4"/>
  <c r="K18" i="4" s="1"/>
  <c r="E17" i="4"/>
  <c r="K17" i="4" s="1"/>
  <c r="K10" i="4"/>
  <c r="K9" i="4"/>
  <c r="K7" i="4"/>
  <c r="K6" i="4"/>
  <c r="K8" i="4"/>
  <c r="K11" i="4"/>
  <c r="K5" i="4"/>
  <c r="K4" i="4"/>
  <c r="D18" i="4"/>
  <c r="J23" i="4" s="1"/>
  <c r="D19" i="4"/>
  <c r="J22" i="4" s="1"/>
  <c r="D20" i="4"/>
  <c r="J20" i="4" s="1"/>
  <c r="D21" i="4"/>
  <c r="J19" i="4" s="1"/>
  <c r="D22" i="4"/>
  <c r="J21" i="4" s="1"/>
  <c r="D23" i="4"/>
  <c r="J24" i="4" s="1"/>
  <c r="D24" i="4"/>
  <c r="J18" i="4" s="1"/>
  <c r="D17" i="4"/>
  <c r="J17" i="4" s="1"/>
  <c r="J10" i="4"/>
  <c r="J9" i="4"/>
  <c r="J7" i="4"/>
  <c r="J11" i="4"/>
  <c r="J5" i="4"/>
  <c r="N5" i="4"/>
  <c r="N7" i="4"/>
  <c r="N6" i="4"/>
  <c r="N4" i="4"/>
  <c r="O6" i="4" l="1"/>
  <c r="O7" i="4"/>
  <c r="O5" i="4"/>
  <c r="O4" i="4"/>
  <c r="L11" i="4"/>
  <c r="L9" i="4"/>
  <c r="L22" i="4"/>
  <c r="L17" i="4"/>
  <c r="L19" i="4"/>
  <c r="L24" i="4"/>
  <c r="L10" i="4"/>
  <c r="L21" i="4"/>
  <c r="L23" i="4"/>
  <c r="L5" i="4"/>
  <c r="L7" i="4"/>
  <c r="L18" i="4"/>
  <c r="L20" i="4"/>
  <c r="M18" i="4"/>
  <c r="AG18" i="4"/>
  <c r="AC18" i="4"/>
  <c r="Y18" i="4"/>
  <c r="AK18" i="4"/>
  <c r="Q24" i="4"/>
  <c r="AG19" i="4"/>
  <c r="CU4" i="4"/>
  <c r="DG8" i="4"/>
  <c r="U23" i="4"/>
  <c r="AK23" i="4"/>
  <c r="AG23" i="4"/>
  <c r="DG4" i="4"/>
  <c r="Q23" i="4"/>
  <c r="AC19" i="4"/>
  <c r="DK4" i="4"/>
  <c r="M22" i="4"/>
  <c r="M11" i="4"/>
  <c r="M9" i="4"/>
  <c r="AG9" i="4"/>
  <c r="Y9" i="4"/>
  <c r="M24" i="4"/>
  <c r="M23" i="4"/>
  <c r="Y23" i="4"/>
  <c r="AC23" i="4"/>
  <c r="M8" i="4"/>
  <c r="DS8" i="4"/>
  <c r="DC8" i="4"/>
  <c r="DO8" i="4"/>
  <c r="CY8" i="4"/>
  <c r="CU8" i="4"/>
  <c r="M10" i="4"/>
  <c r="M21" i="4"/>
  <c r="AC11" i="4"/>
  <c r="DK8" i="4"/>
  <c r="Q19" i="4"/>
  <c r="Y19" i="4"/>
  <c r="CY4" i="4"/>
  <c r="DO4" i="4"/>
  <c r="U19" i="4"/>
  <c r="AK19" i="4"/>
  <c r="DC4" i="4"/>
  <c r="DS4" i="4"/>
  <c r="AK5" i="4"/>
  <c r="U24" i="4"/>
  <c r="Y24" i="4"/>
  <c r="AC24" i="4"/>
  <c r="AG20" i="4"/>
  <c r="AK20" i="4"/>
  <c r="AK24" i="4"/>
  <c r="AG11" i="4"/>
  <c r="Y5" i="4"/>
  <c r="AG5" i="4"/>
  <c r="Q17" i="4"/>
  <c r="Q21" i="4"/>
  <c r="U18" i="4"/>
  <c r="U22" i="4"/>
  <c r="Y22" i="4"/>
  <c r="AC22" i="4"/>
  <c r="AG22" i="4"/>
  <c r="AK22" i="4"/>
  <c r="Y11" i="4"/>
  <c r="Q20" i="4"/>
  <c r="AC5" i="4"/>
  <c r="U20" i="4"/>
  <c r="Y20" i="4"/>
  <c r="AC20" i="4"/>
  <c r="AG24" i="4"/>
  <c r="AC9" i="4"/>
  <c r="AK9" i="4"/>
  <c r="Q22" i="4"/>
  <c r="U17" i="4"/>
  <c r="U21" i="4"/>
  <c r="Y17" i="4"/>
  <c r="Y21" i="4"/>
  <c r="AC17" i="4"/>
  <c r="AC21" i="4"/>
  <c r="AG17" i="4"/>
  <c r="AG21" i="4"/>
  <c r="AK17" i="4"/>
  <c r="AK21" i="4"/>
  <c r="U11" i="4"/>
  <c r="AK11" i="4"/>
  <c r="Y6" i="4"/>
  <c r="Y10" i="4"/>
  <c r="AC6" i="4"/>
  <c r="AG6" i="4"/>
  <c r="AG10" i="4"/>
  <c r="AK6" i="4"/>
  <c r="AK10" i="4"/>
  <c r="Y7" i="4"/>
  <c r="AC7" i="4"/>
  <c r="AG7" i="4"/>
  <c r="AK7" i="4"/>
  <c r="AC10" i="4"/>
  <c r="Y4" i="4"/>
  <c r="Y8" i="4"/>
  <c r="AC4" i="4"/>
  <c r="AC8" i="4"/>
  <c r="AG4" i="4"/>
  <c r="AG8" i="4"/>
  <c r="AK4" i="4"/>
  <c r="AK8" i="4"/>
  <c r="Q18" i="4"/>
  <c r="Q8" i="4"/>
  <c r="Q9" i="4"/>
  <c r="U8" i="4"/>
  <c r="U9" i="4"/>
  <c r="Q4" i="4"/>
  <c r="U4" i="4"/>
  <c r="U5" i="4"/>
  <c r="Q6" i="4"/>
  <c r="Q10" i="4"/>
  <c r="U6" i="4"/>
  <c r="U10" i="4"/>
  <c r="Q5" i="4"/>
  <c r="Q7" i="4"/>
  <c r="Q11" i="4"/>
  <c r="U7" i="4"/>
  <c r="J4" i="4"/>
  <c r="L4" i="4" s="1"/>
  <c r="J6" i="4"/>
  <c r="L6" i="4" s="1"/>
  <c r="J8" i="4"/>
  <c r="L8" i="4" s="1"/>
  <c r="N10" i="4"/>
  <c r="N8" i="4"/>
  <c r="N11" i="4"/>
  <c r="N9" i="4"/>
  <c r="AH6" i="4"/>
  <c r="AL6" i="4"/>
  <c r="AL17" i="4"/>
  <c r="AL20" i="4"/>
  <c r="R5" i="4"/>
  <c r="R4" i="4"/>
  <c r="AL22" i="4"/>
  <c r="V19" i="4"/>
  <c r="AH17" i="4"/>
  <c r="V5" i="4"/>
  <c r="AD20" i="4"/>
  <c r="V11" i="4"/>
  <c r="AD7" i="4"/>
  <c r="Z22" i="4"/>
  <c r="AL7" i="4"/>
  <c r="Z5" i="4"/>
  <c r="R8" i="4"/>
  <c r="Z4" i="4"/>
  <c r="AD6" i="4"/>
  <c r="R19" i="4"/>
  <c r="V8" i="4"/>
  <c r="Z20" i="4"/>
  <c r="AL11" i="4"/>
  <c r="V7" i="4"/>
  <c r="R23" i="4"/>
  <c r="V6" i="4"/>
  <c r="AH20" i="4"/>
  <c r="V4" i="4"/>
  <c r="N17" i="4"/>
  <c r="N19" i="4"/>
  <c r="AH19" i="4"/>
  <c r="AL19" i="4"/>
  <c r="AH22" i="4"/>
  <c r="AL23" i="4"/>
  <c r="AD24" i="4"/>
  <c r="AL8" i="4"/>
  <c r="AL5" i="4"/>
  <c r="Z18" i="4"/>
  <c r="V18" i="4"/>
  <c r="AH4" i="4"/>
  <c r="V17" i="4"/>
  <c r="AD19" i="4"/>
  <c r="AD4" i="4"/>
  <c r="Z6" i="4"/>
  <c r="AL4" i="4"/>
  <c r="AH18" i="4"/>
  <c r="AH5" i="4"/>
  <c r="AD5" i="4"/>
  <c r="R22" i="4"/>
  <c r="N20" i="4"/>
  <c r="AD23" i="4"/>
  <c r="AD17" i="4"/>
  <c r="V20" i="4"/>
  <c r="R7" i="4"/>
  <c r="Z19" i="4"/>
  <c r="R20" i="4"/>
  <c r="Z17" i="4"/>
  <c r="R21" i="4"/>
  <c r="AH7" i="4"/>
  <c r="V10" i="4"/>
  <c r="R17" i="4"/>
  <c r="AL9" i="4"/>
  <c r="AH8" i="4"/>
  <c r="AH24" i="4"/>
  <c r="Z7" i="4"/>
  <c r="R6" i="4"/>
  <c r="O9" i="4" l="1"/>
  <c r="O11" i="4"/>
  <c r="O8" i="4"/>
  <c r="O10" i="4"/>
  <c r="AB4" i="4"/>
  <c r="AM20" i="4"/>
  <c r="AI20" i="4"/>
  <c r="AE20" i="4"/>
  <c r="AA20" i="4"/>
  <c r="W20" i="4"/>
  <c r="S20" i="4"/>
  <c r="O20" i="4"/>
  <c r="AM19" i="4"/>
  <c r="AI19" i="4"/>
  <c r="AE19" i="4"/>
  <c r="AA19" i="4"/>
  <c r="W19" i="4"/>
  <c r="S19" i="4"/>
  <c r="O19" i="4"/>
  <c r="AM6" i="4"/>
  <c r="AI6" i="4"/>
  <c r="AE6" i="4"/>
  <c r="AA6" i="4"/>
  <c r="AB6" i="4"/>
  <c r="X6" i="4"/>
  <c r="W6" i="4"/>
  <c r="AM17" i="4"/>
  <c r="AI17" i="4"/>
  <c r="AE17" i="4"/>
  <c r="AA17" i="4"/>
  <c r="W17" i="4"/>
  <c r="S17" i="4"/>
  <c r="O17" i="4"/>
  <c r="AM5" i="4"/>
  <c r="AI5" i="4"/>
  <c r="AE5" i="4"/>
  <c r="AA5" i="4"/>
  <c r="W5" i="4"/>
  <c r="AM4" i="4"/>
  <c r="AI4" i="4"/>
  <c r="AE4" i="4"/>
  <c r="AA4" i="4"/>
  <c r="X4" i="4"/>
  <c r="W4" i="4"/>
  <c r="AM7" i="4"/>
  <c r="AI7" i="4"/>
  <c r="AE7" i="4"/>
  <c r="AA7" i="4"/>
  <c r="W7" i="4"/>
  <c r="AM23" i="4"/>
  <c r="AM22" i="4"/>
  <c r="AI24" i="4"/>
  <c r="AI18" i="4"/>
  <c r="AI22" i="4"/>
  <c r="AE24" i="4"/>
  <c r="AE23" i="4"/>
  <c r="AA22" i="4"/>
  <c r="AA18" i="4"/>
  <c r="W18" i="4"/>
  <c r="S21" i="4"/>
  <c r="S23" i="4"/>
  <c r="S22" i="4"/>
  <c r="AM8" i="4"/>
  <c r="AM9" i="4"/>
  <c r="AM11" i="4"/>
  <c r="AI8" i="4"/>
  <c r="X10" i="4"/>
  <c r="W10" i="4"/>
  <c r="W11" i="4"/>
  <c r="W8" i="4"/>
  <c r="T6" i="4"/>
  <c r="S8" i="4"/>
  <c r="S6" i="4"/>
  <c r="S5" i="4"/>
  <c r="S7" i="4"/>
  <c r="S4" i="4"/>
  <c r="T4" i="4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V47" i="2"/>
  <c r="V46" i="2"/>
  <c r="V45" i="2"/>
  <c r="V44" i="2"/>
  <c r="V43" i="2"/>
  <c r="V42" i="2"/>
  <c r="V41" i="2"/>
  <c r="V40" i="2"/>
  <c r="V39" i="2"/>
  <c r="V38" i="2"/>
  <c r="V37" i="2"/>
  <c r="V36" i="2"/>
  <c r="V35" i="2"/>
  <c r="V34" i="2"/>
  <c r="V33" i="2"/>
  <c r="V32" i="2"/>
  <c r="V31" i="2"/>
  <c r="V30" i="2"/>
  <c r="V29" i="2"/>
  <c r="V28" i="2"/>
  <c r="V27" i="2"/>
  <c r="V26" i="2"/>
  <c r="V25" i="2"/>
  <c r="V24" i="2"/>
  <c r="V23" i="2"/>
  <c r="V22" i="2"/>
  <c r="V21" i="2"/>
  <c r="V20" i="2"/>
  <c r="V19" i="2"/>
  <c r="V18" i="2"/>
  <c r="V17" i="2"/>
  <c r="V16" i="2"/>
  <c r="V15" i="2"/>
  <c r="V14" i="2"/>
  <c r="V13" i="2"/>
  <c r="V12" i="2"/>
  <c r="V11" i="2"/>
  <c r="V10" i="2"/>
  <c r="V9" i="2"/>
  <c r="V8" i="2"/>
  <c r="V7" i="2"/>
  <c r="V6" i="2"/>
  <c r="V5" i="2"/>
  <c r="V4" i="2"/>
  <c r="V3" i="2"/>
  <c r="AD11" i="4"/>
  <c r="R10" i="4"/>
  <c r="Z10" i="4"/>
  <c r="V22" i="4"/>
  <c r="V9" i="4"/>
  <c r="N18" i="4"/>
  <c r="R11" i="4"/>
  <c r="AD9" i="4"/>
  <c r="N24" i="4"/>
  <c r="AH21" i="4"/>
  <c r="R18" i="4"/>
  <c r="R24" i="4"/>
  <c r="V21" i="4"/>
  <c r="AH10" i="4"/>
  <c r="R9" i="4"/>
  <c r="AL10" i="4"/>
  <c r="AD18" i="4"/>
  <c r="AL18" i="4"/>
  <c r="AL24" i="4"/>
  <c r="N21" i="4"/>
  <c r="Z8" i="4"/>
  <c r="AH9" i="4"/>
  <c r="Z21" i="4"/>
  <c r="Z23" i="4"/>
  <c r="V23" i="4"/>
  <c r="Z9" i="4"/>
  <c r="AD22" i="4"/>
  <c r="N23" i="4"/>
  <c r="Z24" i="4"/>
  <c r="AH11" i="4"/>
  <c r="AD10" i="4"/>
  <c r="AD8" i="4"/>
  <c r="AD21" i="4"/>
  <c r="N22" i="4"/>
  <c r="Z11" i="4"/>
  <c r="AH23" i="4"/>
  <c r="AL21" i="4"/>
  <c r="V24" i="4"/>
  <c r="P8" i="4" l="1"/>
  <c r="AE8" i="4"/>
  <c r="AI11" i="4"/>
  <c r="AA8" i="4"/>
  <c r="AM24" i="4"/>
  <c r="S11" i="4"/>
  <c r="AE22" i="4"/>
  <c r="AE18" i="4"/>
  <c r="O22" i="4"/>
  <c r="O18" i="4"/>
  <c r="P17" i="4" s="1"/>
  <c r="W22" i="4"/>
  <c r="T8" i="4"/>
  <c r="S9" i="4"/>
  <c r="AA23" i="4"/>
  <c r="AI9" i="4"/>
  <c r="O23" i="4"/>
  <c r="W23" i="4"/>
  <c r="AI23" i="4"/>
  <c r="AA9" i="4"/>
  <c r="AB8" i="4"/>
  <c r="AE21" i="4"/>
  <c r="AA21" i="4"/>
  <c r="AB21" i="4" s="1"/>
  <c r="W21" i="4"/>
  <c r="AE9" i="4"/>
  <c r="AM18" i="4"/>
  <c r="AM21" i="4"/>
  <c r="X8" i="4"/>
  <c r="W9" i="4"/>
  <c r="O21" i="4"/>
  <c r="S18" i="4"/>
  <c r="T17" i="4" s="1"/>
  <c r="AI21" i="4"/>
  <c r="AE11" i="4"/>
  <c r="AA11" i="4"/>
  <c r="AM10" i="4"/>
  <c r="AA24" i="4"/>
  <c r="W24" i="4"/>
  <c r="AE10" i="4"/>
  <c r="S24" i="4"/>
  <c r="T23" i="4" s="1"/>
  <c r="AI10" i="4"/>
  <c r="P10" i="4"/>
  <c r="S10" i="4"/>
  <c r="T10" i="4"/>
  <c r="AB10" i="4"/>
  <c r="AA10" i="4"/>
  <c r="O24" i="4"/>
  <c r="P19" i="4"/>
  <c r="X19" i="4"/>
  <c r="AB19" i="4"/>
  <c r="T19" i="4"/>
  <c r="AB17" i="4"/>
  <c r="X17" i="4"/>
  <c r="T21" i="4"/>
  <c r="P6" i="4"/>
  <c r="R3" i="1"/>
  <c r="J3" i="1"/>
  <c r="K3" i="1" s="1"/>
  <c r="J4" i="1"/>
  <c r="J5" i="1"/>
  <c r="K5" i="1" s="1"/>
  <c r="J6" i="1"/>
  <c r="J7" i="1"/>
  <c r="K7" i="1" s="1"/>
  <c r="J8" i="1"/>
  <c r="J9" i="1"/>
  <c r="K9" i="1" s="1"/>
  <c r="J10" i="1"/>
  <c r="J11" i="1"/>
  <c r="K11" i="1" s="1"/>
  <c r="J12" i="1"/>
  <c r="J13" i="1"/>
  <c r="K13" i="1" s="1"/>
  <c r="J14" i="1"/>
  <c r="J15" i="1"/>
  <c r="K15" i="1" s="1"/>
  <c r="J16" i="1"/>
  <c r="J17" i="1"/>
  <c r="K17" i="1" s="1"/>
  <c r="J18" i="1"/>
  <c r="J19" i="1"/>
  <c r="K19" i="1" s="1"/>
  <c r="J20" i="1"/>
  <c r="J21" i="1"/>
  <c r="K21" i="1" s="1"/>
  <c r="J22" i="1"/>
  <c r="J23" i="1"/>
  <c r="K23" i="1" s="1"/>
  <c r="J24" i="1"/>
  <c r="J25" i="1"/>
  <c r="K25" i="1" s="1"/>
  <c r="J26" i="1"/>
  <c r="J27" i="1"/>
  <c r="K27" i="1" s="1"/>
  <c r="J28" i="1"/>
  <c r="J29" i="1"/>
  <c r="K29" i="1" s="1"/>
  <c r="J30" i="1"/>
  <c r="J31" i="1"/>
  <c r="K31" i="1" s="1"/>
  <c r="J32" i="1"/>
  <c r="J33" i="1"/>
  <c r="K33" i="1" s="1"/>
  <c r="J34" i="1"/>
  <c r="J35" i="1"/>
  <c r="K35" i="1" s="1"/>
  <c r="J36" i="1"/>
  <c r="J37" i="1"/>
  <c r="K37" i="1" s="1"/>
  <c r="J38" i="1"/>
  <c r="J39" i="1"/>
  <c r="K39" i="1" s="1"/>
  <c r="J40" i="1"/>
  <c r="J41" i="1"/>
  <c r="K41" i="1" s="1"/>
  <c r="J42" i="1"/>
  <c r="J43" i="1"/>
  <c r="K43" i="1" s="1"/>
  <c r="J44" i="1"/>
  <c r="J45" i="1"/>
  <c r="K45" i="1" s="1"/>
  <c r="J46" i="1"/>
  <c r="J47" i="1"/>
  <c r="K47" i="1" s="1"/>
  <c r="J48" i="1"/>
  <c r="J49" i="1"/>
  <c r="K49" i="1" s="1"/>
  <c r="J50" i="1"/>
  <c r="J51" i="1"/>
  <c r="K51" i="1" s="1"/>
  <c r="J52" i="1"/>
  <c r="J53" i="1"/>
  <c r="K53" i="1" s="1"/>
  <c r="J54" i="1"/>
  <c r="J55" i="1"/>
  <c r="K55" i="1" s="1"/>
  <c r="J56" i="1"/>
  <c r="J57" i="1"/>
  <c r="K57" i="1" s="1"/>
  <c r="J58" i="1"/>
  <c r="J59" i="1"/>
  <c r="K59" i="1" s="1"/>
  <c r="J60" i="1"/>
  <c r="J61" i="1"/>
  <c r="K61" i="1" s="1"/>
  <c r="J62" i="1"/>
  <c r="J63" i="1"/>
  <c r="K63" i="1" s="1"/>
  <c r="J64" i="1"/>
  <c r="J65" i="1"/>
  <c r="K65" i="1" s="1"/>
  <c r="J66" i="1"/>
  <c r="J67" i="1"/>
  <c r="K67" i="1" s="1"/>
  <c r="J68" i="1"/>
  <c r="J69" i="1"/>
  <c r="K69" i="1" s="1"/>
  <c r="J70" i="1"/>
  <c r="J71" i="1"/>
  <c r="K71" i="1" s="1"/>
  <c r="J72" i="1"/>
  <c r="J73" i="1"/>
  <c r="K73" i="1" s="1"/>
  <c r="J74" i="1"/>
  <c r="J75" i="1"/>
  <c r="K75" i="1" s="1"/>
  <c r="J76" i="1"/>
  <c r="J77" i="1"/>
  <c r="K77" i="1" s="1"/>
  <c r="J78" i="1"/>
  <c r="J79" i="1"/>
  <c r="K79" i="1" s="1"/>
  <c r="J80" i="1"/>
  <c r="J81" i="1"/>
  <c r="K81" i="1" s="1"/>
  <c r="J82" i="1"/>
  <c r="J83" i="1"/>
  <c r="K83" i="1" s="1"/>
  <c r="J84" i="1"/>
  <c r="J85" i="1"/>
  <c r="K85" i="1" s="1"/>
  <c r="J86" i="1"/>
  <c r="J87" i="1"/>
  <c r="K87" i="1" s="1"/>
  <c r="J88" i="1"/>
  <c r="J89" i="1"/>
  <c r="K89" i="1" s="1"/>
  <c r="J90" i="1"/>
  <c r="J91" i="1"/>
  <c r="K91" i="1" s="1"/>
  <c r="J92" i="1"/>
  <c r="J93" i="1"/>
  <c r="K93" i="1" s="1"/>
  <c r="J94" i="1"/>
  <c r="J95" i="1"/>
  <c r="K95" i="1" s="1"/>
  <c r="J96" i="1"/>
  <c r="J97" i="1"/>
  <c r="K97" i="1" s="1"/>
  <c r="J98" i="1"/>
  <c r="J99" i="1"/>
  <c r="K99" i="1" s="1"/>
  <c r="J100" i="1"/>
  <c r="J101" i="1"/>
  <c r="K101" i="1" s="1"/>
  <c r="J102" i="1"/>
  <c r="J103" i="1"/>
  <c r="K103" i="1" s="1"/>
  <c r="J104" i="1"/>
  <c r="J105" i="1"/>
  <c r="K105" i="1" s="1"/>
  <c r="J106" i="1"/>
  <c r="J107" i="1"/>
  <c r="K107" i="1" s="1"/>
  <c r="J108" i="1"/>
  <c r="J109" i="1"/>
  <c r="K109" i="1" s="1"/>
  <c r="J110" i="1"/>
  <c r="J111" i="1"/>
  <c r="K111" i="1" s="1"/>
  <c r="J112" i="1"/>
  <c r="J113" i="1"/>
  <c r="K113" i="1" s="1"/>
  <c r="J114" i="1"/>
  <c r="J115" i="1"/>
  <c r="K115" i="1" s="1"/>
  <c r="J116" i="1"/>
  <c r="J117" i="1"/>
  <c r="K117" i="1" s="1"/>
  <c r="J118" i="1"/>
  <c r="J119" i="1"/>
  <c r="K119" i="1" s="1"/>
  <c r="J120" i="1"/>
  <c r="J121" i="1"/>
  <c r="K121" i="1" s="1"/>
  <c r="J122" i="1"/>
  <c r="J123" i="1"/>
  <c r="K123" i="1" s="1"/>
  <c r="J124" i="1"/>
  <c r="J125" i="1"/>
  <c r="K125" i="1" s="1"/>
  <c r="J126" i="1"/>
  <c r="J127" i="1"/>
  <c r="K127" i="1" s="1"/>
  <c r="J128" i="1"/>
  <c r="J129" i="1"/>
  <c r="K129" i="1" s="1"/>
  <c r="J130" i="1"/>
  <c r="J131" i="1"/>
  <c r="K131" i="1" s="1"/>
  <c r="J132" i="1"/>
  <c r="J133" i="1"/>
  <c r="K133" i="1" s="1"/>
  <c r="J134" i="1"/>
  <c r="J135" i="1"/>
  <c r="K135" i="1" s="1"/>
  <c r="J136" i="1"/>
  <c r="J137" i="1"/>
  <c r="K137" i="1" s="1"/>
  <c r="J138" i="1"/>
  <c r="J139" i="1"/>
  <c r="K139" i="1" s="1"/>
  <c r="J140" i="1"/>
  <c r="J141" i="1"/>
  <c r="K141" i="1" s="1"/>
  <c r="J142" i="1"/>
  <c r="J143" i="1"/>
  <c r="K143" i="1" s="1"/>
  <c r="J144" i="1"/>
  <c r="J145" i="1"/>
  <c r="K145" i="1" s="1"/>
  <c r="J146" i="1"/>
  <c r="J147" i="1"/>
  <c r="K147" i="1" s="1"/>
  <c r="J148" i="1"/>
  <c r="J149" i="1"/>
  <c r="K149" i="1" s="1"/>
  <c r="J150" i="1"/>
  <c r="J151" i="1"/>
  <c r="K151" i="1" s="1"/>
  <c r="J152" i="1"/>
  <c r="J153" i="1"/>
  <c r="K153" i="1" s="1"/>
  <c r="J154" i="1"/>
  <c r="J155" i="1"/>
  <c r="K155" i="1" s="1"/>
  <c r="J156" i="1"/>
  <c r="J157" i="1"/>
  <c r="K157" i="1" s="1"/>
  <c r="J158" i="1"/>
  <c r="J159" i="1"/>
  <c r="K159" i="1" s="1"/>
  <c r="J160" i="1"/>
  <c r="J161" i="1"/>
  <c r="K161" i="1" s="1"/>
  <c r="J162" i="1"/>
  <c r="J163" i="1"/>
  <c r="K163" i="1" s="1"/>
  <c r="J164" i="1"/>
  <c r="J165" i="1"/>
  <c r="K165" i="1" s="1"/>
  <c r="J166" i="1"/>
  <c r="J167" i="1"/>
  <c r="K167" i="1" s="1"/>
  <c r="J168" i="1"/>
  <c r="J169" i="1"/>
  <c r="K169" i="1" s="1"/>
  <c r="J170" i="1"/>
  <c r="J171" i="1"/>
  <c r="K171" i="1" s="1"/>
  <c r="J172" i="1"/>
  <c r="J173" i="1"/>
  <c r="K173" i="1" s="1"/>
  <c r="J174" i="1"/>
  <c r="J175" i="1"/>
  <c r="K175" i="1" s="1"/>
  <c r="J176" i="1"/>
  <c r="J177" i="1"/>
  <c r="K177" i="1" s="1"/>
  <c r="J178" i="1"/>
  <c r="J179" i="1"/>
  <c r="K179" i="1" s="1"/>
  <c r="J180" i="1"/>
  <c r="J181" i="1"/>
  <c r="K181" i="1" s="1"/>
  <c r="J182" i="1"/>
  <c r="J183" i="1"/>
  <c r="K183" i="1" s="1"/>
  <c r="J184" i="1"/>
  <c r="J185" i="1"/>
  <c r="K185" i="1" s="1"/>
  <c r="J186" i="1"/>
  <c r="J187" i="1"/>
  <c r="K187" i="1" s="1"/>
  <c r="J188" i="1"/>
  <c r="J189" i="1"/>
  <c r="K189" i="1" s="1"/>
  <c r="J190" i="1"/>
  <c r="J191" i="1"/>
  <c r="K191" i="1" s="1"/>
  <c r="J192" i="1"/>
  <c r="J193" i="1"/>
  <c r="K193" i="1" s="1"/>
  <c r="J194" i="1"/>
  <c r="J195" i="1"/>
  <c r="K195" i="1" s="1"/>
  <c r="J196" i="1"/>
  <c r="J197" i="1"/>
  <c r="K197" i="1" s="1"/>
  <c r="J198" i="1"/>
  <c r="J199" i="1"/>
  <c r="K199" i="1" s="1"/>
  <c r="J200" i="1"/>
  <c r="J201" i="1"/>
  <c r="K201" i="1" s="1"/>
  <c r="J202" i="1"/>
  <c r="J203" i="1"/>
  <c r="K203" i="1" s="1"/>
  <c r="J204" i="1"/>
  <c r="J205" i="1"/>
  <c r="K205" i="1" s="1"/>
  <c r="J206" i="1"/>
  <c r="J207" i="1"/>
  <c r="K207" i="1" s="1"/>
  <c r="J208" i="1"/>
  <c r="J209" i="1"/>
  <c r="K209" i="1" s="1"/>
  <c r="J210" i="1"/>
  <c r="J211" i="1"/>
  <c r="K211" i="1" s="1"/>
  <c r="J212" i="1"/>
  <c r="J213" i="1"/>
  <c r="K213" i="1" s="1"/>
  <c r="J214" i="1"/>
  <c r="J215" i="1"/>
  <c r="K215" i="1" s="1"/>
  <c r="J216" i="1"/>
  <c r="J217" i="1"/>
  <c r="K217" i="1" s="1"/>
  <c r="J218" i="1"/>
  <c r="J219" i="1"/>
  <c r="K219" i="1" s="1"/>
  <c r="J220" i="1"/>
  <c r="J221" i="1"/>
  <c r="K221" i="1" s="1"/>
  <c r="J222" i="1"/>
  <c r="J223" i="1"/>
  <c r="K223" i="1" s="1"/>
  <c r="J224" i="1"/>
  <c r="J225" i="1"/>
  <c r="K225" i="1" s="1"/>
  <c r="J226" i="1"/>
  <c r="J227" i="1"/>
  <c r="K227" i="1" s="1"/>
  <c r="J228" i="1"/>
  <c r="J229" i="1"/>
  <c r="K229" i="1" s="1"/>
  <c r="J230" i="1"/>
  <c r="J231" i="1"/>
  <c r="K231" i="1" s="1"/>
  <c r="J232" i="1"/>
  <c r="J233" i="1"/>
  <c r="K233" i="1" s="1"/>
  <c r="J234" i="1"/>
  <c r="J235" i="1"/>
  <c r="K235" i="1" s="1"/>
  <c r="J236" i="1"/>
  <c r="J237" i="1"/>
  <c r="K237" i="1" s="1"/>
  <c r="J238" i="1"/>
  <c r="J239" i="1"/>
  <c r="K239" i="1" s="1"/>
  <c r="J240" i="1"/>
  <c r="J241" i="1"/>
  <c r="K241" i="1" s="1"/>
  <c r="J242" i="1"/>
  <c r="J243" i="1"/>
  <c r="K243" i="1" s="1"/>
  <c r="J244" i="1"/>
  <c r="J245" i="1"/>
  <c r="K245" i="1" s="1"/>
  <c r="J246" i="1"/>
  <c r="J247" i="1"/>
  <c r="K247" i="1" s="1"/>
  <c r="J248" i="1"/>
  <c r="J249" i="1"/>
  <c r="K249" i="1" s="1"/>
  <c r="J250" i="1"/>
  <c r="J251" i="1"/>
  <c r="K251" i="1" s="1"/>
  <c r="J252" i="1"/>
  <c r="J253" i="1"/>
  <c r="K253" i="1" s="1"/>
  <c r="J254" i="1"/>
  <c r="J255" i="1"/>
  <c r="K255" i="1" s="1"/>
  <c r="J256" i="1"/>
  <c r="J257" i="1"/>
  <c r="K257" i="1" s="1"/>
  <c r="J258" i="1"/>
  <c r="J259" i="1"/>
  <c r="K259" i="1" s="1"/>
  <c r="J260" i="1"/>
  <c r="J261" i="1"/>
  <c r="K261" i="1" s="1"/>
  <c r="J262" i="1"/>
  <c r="J263" i="1"/>
  <c r="K263" i="1" s="1"/>
  <c r="J264" i="1"/>
  <c r="J265" i="1"/>
  <c r="K265" i="1" s="1"/>
  <c r="J266" i="1"/>
  <c r="J267" i="1"/>
  <c r="K267" i="1" s="1"/>
  <c r="J268" i="1"/>
  <c r="J269" i="1"/>
  <c r="K269" i="1" s="1"/>
  <c r="J270" i="1"/>
  <c r="J271" i="1"/>
  <c r="K271" i="1" s="1"/>
  <c r="J272" i="1"/>
  <c r="J273" i="1"/>
  <c r="K273" i="1" s="1"/>
  <c r="J274" i="1"/>
  <c r="J275" i="1"/>
  <c r="K275" i="1" s="1"/>
  <c r="J276" i="1"/>
  <c r="J277" i="1"/>
  <c r="K277" i="1" s="1"/>
  <c r="J278" i="1"/>
  <c r="J279" i="1"/>
  <c r="K279" i="1" s="1"/>
  <c r="J280" i="1"/>
  <c r="J281" i="1"/>
  <c r="K281" i="1" s="1"/>
  <c r="J282" i="1"/>
  <c r="J283" i="1"/>
  <c r="K283" i="1" s="1"/>
  <c r="J284" i="1"/>
  <c r="J285" i="1"/>
  <c r="K285" i="1" s="1"/>
  <c r="J286" i="1"/>
  <c r="J287" i="1"/>
  <c r="K287" i="1" s="1"/>
  <c r="J288" i="1"/>
  <c r="J289" i="1"/>
  <c r="K289" i="1" s="1"/>
  <c r="J290" i="1"/>
  <c r="J291" i="1"/>
  <c r="K291" i="1" s="1"/>
  <c r="J292" i="1"/>
  <c r="J293" i="1"/>
  <c r="K293" i="1" s="1"/>
  <c r="J294" i="1"/>
  <c r="J295" i="1"/>
  <c r="K295" i="1" s="1"/>
  <c r="J296" i="1"/>
  <c r="J297" i="1"/>
  <c r="K297" i="1" s="1"/>
  <c r="J298" i="1"/>
  <c r="J299" i="1"/>
  <c r="K299" i="1" s="1"/>
  <c r="J300" i="1"/>
  <c r="J301" i="1"/>
  <c r="K301" i="1" s="1"/>
  <c r="J302" i="1"/>
  <c r="J303" i="1"/>
  <c r="K303" i="1" s="1"/>
  <c r="J304" i="1"/>
  <c r="J305" i="1"/>
  <c r="K305" i="1" s="1"/>
  <c r="J306" i="1"/>
  <c r="J307" i="1"/>
  <c r="K307" i="1" s="1"/>
  <c r="J308" i="1"/>
  <c r="J309" i="1"/>
  <c r="K309" i="1" s="1"/>
  <c r="J310" i="1"/>
  <c r="J311" i="1"/>
  <c r="K311" i="1" s="1"/>
  <c r="J312" i="1"/>
  <c r="J313" i="1"/>
  <c r="K313" i="1" s="1"/>
  <c r="J314" i="1"/>
  <c r="J315" i="1"/>
  <c r="K315" i="1" s="1"/>
  <c r="J316" i="1"/>
  <c r="J317" i="1"/>
  <c r="K317" i="1" s="1"/>
  <c r="J318" i="1"/>
  <c r="J319" i="1"/>
  <c r="K319" i="1" s="1"/>
  <c r="J320" i="1"/>
  <c r="J321" i="1"/>
  <c r="K321" i="1" s="1"/>
  <c r="J322" i="1"/>
  <c r="J323" i="1"/>
  <c r="K323" i="1" s="1"/>
  <c r="J324" i="1"/>
  <c r="J325" i="1"/>
  <c r="K325" i="1" s="1"/>
  <c r="J326" i="1"/>
  <c r="J327" i="1"/>
  <c r="K327" i="1" s="1"/>
  <c r="J328" i="1"/>
  <c r="J329" i="1"/>
  <c r="K329" i="1" s="1"/>
  <c r="J330" i="1"/>
  <c r="J331" i="1"/>
  <c r="K331" i="1" s="1"/>
  <c r="J332" i="1"/>
  <c r="J333" i="1"/>
  <c r="K333" i="1" s="1"/>
  <c r="J334" i="1"/>
  <c r="J335" i="1"/>
  <c r="K335" i="1" s="1"/>
  <c r="J336" i="1"/>
  <c r="J337" i="1"/>
  <c r="K337" i="1" s="1"/>
  <c r="J338" i="1"/>
  <c r="J339" i="1"/>
  <c r="K339" i="1" s="1"/>
  <c r="J340" i="1"/>
  <c r="J341" i="1"/>
  <c r="K341" i="1" s="1"/>
  <c r="J342" i="1"/>
  <c r="J343" i="1"/>
  <c r="K343" i="1" s="1"/>
  <c r="J344" i="1"/>
  <c r="J345" i="1"/>
  <c r="K345" i="1" s="1"/>
  <c r="J346" i="1"/>
  <c r="J347" i="1"/>
  <c r="K347" i="1" s="1"/>
  <c r="J348" i="1"/>
  <c r="J349" i="1"/>
  <c r="K349" i="1" s="1"/>
  <c r="J350" i="1"/>
  <c r="J351" i="1"/>
  <c r="K351" i="1" s="1"/>
  <c r="J352" i="1"/>
  <c r="J353" i="1"/>
  <c r="K353" i="1" s="1"/>
  <c r="J354" i="1"/>
  <c r="J355" i="1"/>
  <c r="K355" i="1" s="1"/>
  <c r="J356" i="1"/>
  <c r="J357" i="1"/>
  <c r="K357" i="1" s="1"/>
  <c r="J358" i="1"/>
  <c r="J359" i="1"/>
  <c r="K359" i="1" s="1"/>
  <c r="J360" i="1"/>
  <c r="J361" i="1"/>
  <c r="K361" i="1" s="1"/>
  <c r="J362" i="1"/>
  <c r="J363" i="1"/>
  <c r="K363" i="1" s="1"/>
  <c r="J364" i="1"/>
  <c r="J365" i="1"/>
  <c r="K365" i="1" s="1"/>
  <c r="J366" i="1"/>
  <c r="J367" i="1"/>
  <c r="K367" i="1" s="1"/>
  <c r="J368" i="1"/>
  <c r="J369" i="1"/>
  <c r="K369" i="1" s="1"/>
  <c r="J370" i="1"/>
  <c r="J371" i="1"/>
  <c r="K371" i="1" s="1"/>
  <c r="J372" i="1"/>
  <c r="J373" i="1"/>
  <c r="K373" i="1" s="1"/>
  <c r="J374" i="1"/>
  <c r="J375" i="1"/>
  <c r="K375" i="1" s="1"/>
  <c r="J376" i="1"/>
  <c r="J377" i="1"/>
  <c r="K377" i="1" s="1"/>
  <c r="J378" i="1"/>
  <c r="J379" i="1"/>
  <c r="K379" i="1" s="1"/>
  <c r="J380" i="1"/>
  <c r="J381" i="1"/>
  <c r="K381" i="1" s="1"/>
  <c r="J382" i="1"/>
  <c r="J383" i="1"/>
  <c r="K383" i="1" s="1"/>
  <c r="J384" i="1"/>
  <c r="J385" i="1"/>
  <c r="K385" i="1" s="1"/>
  <c r="J386" i="1"/>
  <c r="J387" i="1"/>
  <c r="K387" i="1" s="1"/>
  <c r="J388" i="1"/>
  <c r="J389" i="1"/>
  <c r="K389" i="1" s="1"/>
  <c r="J390" i="1"/>
  <c r="J391" i="1"/>
  <c r="K391" i="1" s="1"/>
  <c r="J392" i="1"/>
  <c r="J393" i="1"/>
  <c r="K393" i="1" s="1"/>
  <c r="J394" i="1"/>
  <c r="J395" i="1"/>
  <c r="K395" i="1" s="1"/>
  <c r="J396" i="1"/>
  <c r="J397" i="1"/>
  <c r="K397" i="1" s="1"/>
  <c r="J398" i="1"/>
  <c r="J399" i="1"/>
  <c r="K399" i="1" s="1"/>
  <c r="J400" i="1"/>
  <c r="J401" i="1"/>
  <c r="K401" i="1" s="1"/>
  <c r="J402" i="1"/>
  <c r="J403" i="1"/>
  <c r="K403" i="1" s="1"/>
  <c r="J404" i="1"/>
  <c r="J405" i="1"/>
  <c r="K405" i="1" s="1"/>
  <c r="J406" i="1"/>
  <c r="J407" i="1"/>
  <c r="K407" i="1" s="1"/>
  <c r="J408" i="1"/>
  <c r="J409" i="1"/>
  <c r="K409" i="1" s="1"/>
  <c r="J410" i="1"/>
  <c r="J411" i="1"/>
  <c r="K411" i="1" s="1"/>
  <c r="J412" i="1"/>
  <c r="J413" i="1"/>
  <c r="K413" i="1" s="1"/>
  <c r="J414" i="1"/>
  <c r="J415" i="1"/>
  <c r="K415" i="1" s="1"/>
  <c r="J416" i="1"/>
  <c r="J417" i="1"/>
  <c r="K417" i="1" s="1"/>
  <c r="J418" i="1"/>
  <c r="J419" i="1"/>
  <c r="K419" i="1" s="1"/>
  <c r="J420" i="1"/>
  <c r="J421" i="1"/>
  <c r="K421" i="1" s="1"/>
  <c r="J422" i="1"/>
  <c r="J423" i="1"/>
  <c r="K423" i="1" s="1"/>
  <c r="J424" i="1"/>
  <c r="J425" i="1"/>
  <c r="K425" i="1" s="1"/>
  <c r="J426" i="1"/>
  <c r="J427" i="1"/>
  <c r="K427" i="1" s="1"/>
  <c r="J428" i="1"/>
  <c r="J429" i="1"/>
  <c r="K429" i="1" s="1"/>
  <c r="J430" i="1"/>
  <c r="J431" i="1"/>
  <c r="K431" i="1" s="1"/>
  <c r="J432" i="1"/>
  <c r="J433" i="1"/>
  <c r="K433" i="1" s="1"/>
  <c r="J434" i="1"/>
  <c r="J435" i="1"/>
  <c r="K435" i="1" s="1"/>
  <c r="J436" i="1"/>
  <c r="J437" i="1"/>
  <c r="K437" i="1" s="1"/>
  <c r="J438" i="1"/>
  <c r="J439" i="1"/>
  <c r="K439" i="1" s="1"/>
  <c r="J440" i="1"/>
  <c r="J441" i="1"/>
  <c r="K441" i="1" s="1"/>
  <c r="J442" i="1"/>
  <c r="J443" i="1"/>
  <c r="K443" i="1" s="1"/>
  <c r="J444" i="1"/>
  <c r="J445" i="1"/>
  <c r="K445" i="1" s="1"/>
  <c r="J446" i="1"/>
  <c r="J447" i="1"/>
  <c r="K447" i="1" s="1"/>
  <c r="J448" i="1"/>
  <c r="J449" i="1"/>
  <c r="K449" i="1" s="1"/>
  <c r="J450" i="1"/>
  <c r="J451" i="1"/>
  <c r="K451" i="1" s="1"/>
  <c r="J452" i="1"/>
  <c r="J453" i="1"/>
  <c r="K453" i="1" s="1"/>
  <c r="J454" i="1"/>
  <c r="J455" i="1"/>
  <c r="K455" i="1" s="1"/>
  <c r="J456" i="1"/>
  <c r="J457" i="1"/>
  <c r="K457" i="1" s="1"/>
  <c r="J458" i="1"/>
  <c r="J459" i="1"/>
  <c r="K459" i="1" s="1"/>
  <c r="J460" i="1"/>
  <c r="J461" i="1"/>
  <c r="K461" i="1" s="1"/>
  <c r="J462" i="1"/>
  <c r="J463" i="1"/>
  <c r="K463" i="1" s="1"/>
  <c r="J464" i="1"/>
  <c r="J465" i="1"/>
  <c r="K465" i="1" s="1"/>
  <c r="J466" i="1"/>
  <c r="J467" i="1"/>
  <c r="K467" i="1" s="1"/>
  <c r="J468" i="1"/>
  <c r="J469" i="1"/>
  <c r="K469" i="1" s="1"/>
  <c r="J470" i="1"/>
  <c r="J471" i="1"/>
  <c r="K471" i="1" s="1"/>
  <c r="J472" i="1"/>
  <c r="J473" i="1"/>
  <c r="K473" i="1" s="1"/>
  <c r="J474" i="1"/>
  <c r="J475" i="1"/>
  <c r="K475" i="1" s="1"/>
  <c r="J476" i="1"/>
  <c r="J477" i="1"/>
  <c r="K477" i="1" s="1"/>
  <c r="J478" i="1"/>
  <c r="J479" i="1"/>
  <c r="K479" i="1" s="1"/>
  <c r="J480" i="1"/>
  <c r="J481" i="1"/>
  <c r="K481" i="1" s="1"/>
  <c r="J482" i="1"/>
  <c r="J483" i="1"/>
  <c r="K483" i="1" s="1"/>
  <c r="J484" i="1"/>
  <c r="J485" i="1"/>
  <c r="K485" i="1" s="1"/>
  <c r="J486" i="1"/>
  <c r="J487" i="1"/>
  <c r="K487" i="1" s="1"/>
  <c r="J488" i="1"/>
  <c r="J489" i="1"/>
  <c r="K489" i="1" s="1"/>
  <c r="J490" i="1"/>
  <c r="J491" i="1"/>
  <c r="K491" i="1" s="1"/>
  <c r="J492" i="1"/>
  <c r="J493" i="1"/>
  <c r="K493" i="1" s="1"/>
  <c r="J494" i="1"/>
  <c r="J495" i="1"/>
  <c r="K495" i="1" s="1"/>
  <c r="J496" i="1"/>
  <c r="J497" i="1"/>
  <c r="K497" i="1" s="1"/>
  <c r="J498" i="1"/>
  <c r="J499" i="1"/>
  <c r="K499" i="1" s="1"/>
  <c r="J500" i="1"/>
  <c r="J501" i="1"/>
  <c r="K501" i="1" s="1"/>
  <c r="J502" i="1"/>
  <c r="J503" i="1"/>
  <c r="K503" i="1" s="1"/>
  <c r="J504" i="1"/>
  <c r="J505" i="1"/>
  <c r="K505" i="1" s="1"/>
  <c r="J506" i="1"/>
  <c r="J507" i="1"/>
  <c r="K507" i="1" s="1"/>
  <c r="J508" i="1"/>
  <c r="J509" i="1"/>
  <c r="K509" i="1" s="1"/>
  <c r="J510" i="1"/>
  <c r="J511" i="1"/>
  <c r="K511" i="1" s="1"/>
  <c r="J512" i="1"/>
  <c r="J513" i="1"/>
  <c r="K513" i="1" s="1"/>
  <c r="J514" i="1"/>
  <c r="J515" i="1"/>
  <c r="K515" i="1" s="1"/>
  <c r="J516" i="1"/>
  <c r="J517" i="1"/>
  <c r="K517" i="1" s="1"/>
  <c r="J518" i="1"/>
  <c r="J519" i="1"/>
  <c r="K519" i="1" s="1"/>
  <c r="J520" i="1"/>
  <c r="J521" i="1"/>
  <c r="K521" i="1" s="1"/>
  <c r="J522" i="1"/>
  <c r="J523" i="1"/>
  <c r="K523" i="1" s="1"/>
  <c r="J524" i="1"/>
  <c r="J525" i="1"/>
  <c r="K525" i="1" s="1"/>
  <c r="J526" i="1"/>
  <c r="J527" i="1"/>
  <c r="K527" i="1" s="1"/>
  <c r="J528" i="1"/>
  <c r="J529" i="1"/>
  <c r="K529" i="1" s="1"/>
  <c r="J530" i="1"/>
  <c r="J531" i="1"/>
  <c r="K531" i="1" s="1"/>
  <c r="J532" i="1"/>
  <c r="J533" i="1"/>
  <c r="K533" i="1" s="1"/>
  <c r="J534" i="1"/>
  <c r="J535" i="1"/>
  <c r="K535" i="1" s="1"/>
  <c r="J536" i="1"/>
  <c r="J537" i="1"/>
  <c r="K537" i="1" s="1"/>
  <c r="J538" i="1"/>
  <c r="J539" i="1"/>
  <c r="K539" i="1" s="1"/>
  <c r="J540" i="1"/>
  <c r="J541" i="1"/>
  <c r="K541" i="1" s="1"/>
  <c r="J542" i="1"/>
  <c r="J543" i="1"/>
  <c r="K543" i="1" s="1"/>
  <c r="J544" i="1"/>
  <c r="J545" i="1"/>
  <c r="K545" i="1" s="1"/>
  <c r="J546" i="1"/>
  <c r="J547" i="1"/>
  <c r="K547" i="1" s="1"/>
  <c r="J548" i="1"/>
  <c r="J549" i="1"/>
  <c r="K549" i="1" s="1"/>
  <c r="J550" i="1"/>
  <c r="J551" i="1"/>
  <c r="K551" i="1" s="1"/>
  <c r="J552" i="1"/>
  <c r="J553" i="1"/>
  <c r="K553" i="1" s="1"/>
  <c r="J554" i="1"/>
  <c r="J555" i="1"/>
  <c r="K555" i="1" s="1"/>
  <c r="J556" i="1"/>
  <c r="J557" i="1"/>
  <c r="K557" i="1" s="1"/>
  <c r="J558" i="1"/>
  <c r="J559" i="1"/>
  <c r="K559" i="1" s="1"/>
  <c r="J560" i="1"/>
  <c r="J561" i="1"/>
  <c r="K561" i="1" s="1"/>
  <c r="J562" i="1"/>
  <c r="J563" i="1"/>
  <c r="K563" i="1" s="1"/>
  <c r="J564" i="1"/>
  <c r="J565" i="1"/>
  <c r="K565" i="1" s="1"/>
  <c r="J566" i="1"/>
  <c r="J567" i="1"/>
  <c r="K567" i="1" s="1"/>
  <c r="J568" i="1"/>
  <c r="J569" i="1"/>
  <c r="K569" i="1" s="1"/>
  <c r="J570" i="1"/>
  <c r="J571" i="1"/>
  <c r="K571" i="1" s="1"/>
  <c r="J572" i="1"/>
  <c r="J573" i="1"/>
  <c r="K573" i="1" s="1"/>
  <c r="J574" i="1"/>
  <c r="J575" i="1"/>
  <c r="K575" i="1" s="1"/>
  <c r="J576" i="1"/>
  <c r="J577" i="1"/>
  <c r="K577" i="1" s="1"/>
  <c r="J578" i="1"/>
  <c r="J579" i="1"/>
  <c r="K579" i="1" s="1"/>
  <c r="J580" i="1"/>
  <c r="J581" i="1"/>
  <c r="K581" i="1" s="1"/>
  <c r="J582" i="1"/>
  <c r="J583" i="1"/>
  <c r="K583" i="1" s="1"/>
  <c r="J584" i="1"/>
  <c r="J585" i="1"/>
  <c r="K585" i="1" s="1"/>
  <c r="J586" i="1"/>
  <c r="J587" i="1"/>
  <c r="K587" i="1" s="1"/>
  <c r="J588" i="1"/>
  <c r="J589" i="1"/>
  <c r="K589" i="1" s="1"/>
  <c r="J590" i="1"/>
  <c r="J591" i="1"/>
  <c r="K591" i="1" s="1"/>
  <c r="J592" i="1"/>
  <c r="J593" i="1"/>
  <c r="K593" i="1" s="1"/>
  <c r="J594" i="1"/>
  <c r="J595" i="1"/>
  <c r="K595" i="1" s="1"/>
  <c r="J596" i="1"/>
  <c r="J597" i="1"/>
  <c r="K597" i="1" s="1"/>
  <c r="J598" i="1"/>
  <c r="J599" i="1"/>
  <c r="K599" i="1" s="1"/>
  <c r="J600" i="1"/>
  <c r="J601" i="1"/>
  <c r="K601" i="1" s="1"/>
  <c r="J602" i="1"/>
  <c r="J603" i="1"/>
  <c r="K603" i="1" s="1"/>
  <c r="J604" i="1"/>
  <c r="J605" i="1"/>
  <c r="K605" i="1" s="1"/>
  <c r="J606" i="1"/>
  <c r="J607" i="1"/>
  <c r="K607" i="1" s="1"/>
  <c r="J608" i="1"/>
  <c r="J609" i="1"/>
  <c r="K609" i="1" s="1"/>
  <c r="J610" i="1"/>
  <c r="J611" i="1"/>
  <c r="K611" i="1" s="1"/>
  <c r="J612" i="1"/>
  <c r="J613" i="1"/>
  <c r="K613" i="1" s="1"/>
  <c r="J614" i="1"/>
  <c r="J615" i="1"/>
  <c r="K615" i="1" s="1"/>
  <c r="J616" i="1"/>
  <c r="J617" i="1"/>
  <c r="K617" i="1" s="1"/>
  <c r="J618" i="1"/>
  <c r="J619" i="1"/>
  <c r="K619" i="1" s="1"/>
  <c r="J620" i="1"/>
  <c r="J621" i="1"/>
  <c r="K621" i="1" s="1"/>
  <c r="J622" i="1"/>
  <c r="J623" i="1"/>
  <c r="K623" i="1" s="1"/>
  <c r="J624" i="1"/>
  <c r="J625" i="1"/>
  <c r="K625" i="1" s="1"/>
  <c r="J626" i="1"/>
  <c r="J627" i="1"/>
  <c r="K627" i="1" s="1"/>
  <c r="J628" i="1"/>
  <c r="J629" i="1"/>
  <c r="K629" i="1" s="1"/>
  <c r="J630" i="1"/>
  <c r="J631" i="1"/>
  <c r="K631" i="1" s="1"/>
  <c r="J632" i="1"/>
  <c r="J633" i="1"/>
  <c r="K633" i="1" s="1"/>
  <c r="J634" i="1"/>
  <c r="J635" i="1"/>
  <c r="K635" i="1" s="1"/>
  <c r="J636" i="1"/>
  <c r="J637" i="1"/>
  <c r="K637" i="1" s="1"/>
  <c r="J638" i="1"/>
  <c r="J639" i="1"/>
  <c r="K639" i="1" s="1"/>
  <c r="J640" i="1"/>
  <c r="J641" i="1"/>
  <c r="K641" i="1" s="1"/>
  <c r="J642" i="1"/>
  <c r="J643" i="1"/>
  <c r="K643" i="1" s="1"/>
  <c r="J644" i="1"/>
  <c r="J645" i="1"/>
  <c r="K645" i="1" s="1"/>
  <c r="J646" i="1"/>
  <c r="J647" i="1"/>
  <c r="K647" i="1" s="1"/>
  <c r="J648" i="1"/>
  <c r="J649" i="1"/>
  <c r="K649" i="1" s="1"/>
  <c r="J650" i="1"/>
  <c r="J651" i="1"/>
  <c r="K651" i="1" s="1"/>
  <c r="J652" i="1"/>
  <c r="J653" i="1"/>
  <c r="K653" i="1" s="1"/>
  <c r="J654" i="1"/>
  <c r="J655" i="1"/>
  <c r="K655" i="1" s="1"/>
  <c r="J656" i="1"/>
  <c r="J657" i="1"/>
  <c r="K657" i="1" s="1"/>
  <c r="J658" i="1"/>
  <c r="J659" i="1"/>
  <c r="K659" i="1" s="1"/>
  <c r="J660" i="1"/>
  <c r="J661" i="1"/>
  <c r="K661" i="1" s="1"/>
  <c r="J662" i="1"/>
  <c r="J663" i="1"/>
  <c r="K663" i="1" s="1"/>
  <c r="J664" i="1"/>
  <c r="J665" i="1"/>
  <c r="K665" i="1" s="1"/>
  <c r="J666" i="1"/>
  <c r="J667" i="1"/>
  <c r="K667" i="1" s="1"/>
  <c r="J668" i="1"/>
  <c r="J669" i="1"/>
  <c r="K669" i="1" s="1"/>
  <c r="J670" i="1"/>
  <c r="J671" i="1"/>
  <c r="K671" i="1" s="1"/>
  <c r="J672" i="1"/>
  <c r="J673" i="1"/>
  <c r="K673" i="1" s="1"/>
  <c r="J674" i="1"/>
  <c r="J675" i="1"/>
  <c r="K675" i="1" s="1"/>
  <c r="J676" i="1"/>
  <c r="J677" i="1"/>
  <c r="K677" i="1" s="1"/>
  <c r="J678" i="1"/>
  <c r="J679" i="1"/>
  <c r="K679" i="1" s="1"/>
  <c r="J680" i="1"/>
  <c r="J681" i="1"/>
  <c r="K681" i="1" s="1"/>
  <c r="J682" i="1"/>
  <c r="J683" i="1"/>
  <c r="K683" i="1" s="1"/>
  <c r="J684" i="1"/>
  <c r="J685" i="1"/>
  <c r="K685" i="1" s="1"/>
  <c r="J686" i="1"/>
  <c r="J687" i="1"/>
  <c r="K687" i="1" s="1"/>
  <c r="J688" i="1"/>
  <c r="J689" i="1"/>
  <c r="K689" i="1" s="1"/>
  <c r="J690" i="1"/>
  <c r="J691" i="1"/>
  <c r="K691" i="1" s="1"/>
  <c r="J692" i="1"/>
  <c r="J693" i="1"/>
  <c r="K693" i="1" s="1"/>
  <c r="J694" i="1"/>
  <c r="J695" i="1"/>
  <c r="K695" i="1" s="1"/>
  <c r="J696" i="1"/>
  <c r="J697" i="1"/>
  <c r="K697" i="1" s="1"/>
  <c r="J698" i="1"/>
  <c r="J699" i="1"/>
  <c r="K699" i="1" s="1"/>
  <c r="J700" i="1"/>
  <c r="J701" i="1"/>
  <c r="K701" i="1" s="1"/>
  <c r="J702" i="1"/>
  <c r="J703" i="1"/>
  <c r="K703" i="1" s="1"/>
  <c r="J704" i="1"/>
  <c r="J705" i="1"/>
  <c r="K705" i="1" s="1"/>
  <c r="J706" i="1"/>
  <c r="J707" i="1"/>
  <c r="K707" i="1" s="1"/>
  <c r="J708" i="1"/>
  <c r="J709" i="1"/>
  <c r="K709" i="1" s="1"/>
  <c r="J710" i="1"/>
  <c r="J711" i="1"/>
  <c r="K711" i="1" s="1"/>
  <c r="J712" i="1"/>
  <c r="J713" i="1"/>
  <c r="K713" i="1" s="1"/>
  <c r="J714" i="1"/>
  <c r="J715" i="1"/>
  <c r="K715" i="1" s="1"/>
  <c r="J716" i="1"/>
  <c r="J717" i="1"/>
  <c r="K717" i="1" s="1"/>
  <c r="J718" i="1"/>
  <c r="J719" i="1"/>
  <c r="K719" i="1" s="1"/>
  <c r="J720" i="1"/>
  <c r="J721" i="1"/>
  <c r="K721" i="1" s="1"/>
  <c r="J722" i="1"/>
  <c r="J723" i="1"/>
  <c r="K723" i="1" s="1"/>
  <c r="J724" i="1"/>
  <c r="J725" i="1"/>
  <c r="K725" i="1" s="1"/>
  <c r="J726" i="1"/>
  <c r="J727" i="1"/>
  <c r="K727" i="1" s="1"/>
  <c r="J728" i="1"/>
  <c r="J729" i="1"/>
  <c r="K729" i="1" s="1"/>
  <c r="J730" i="1"/>
  <c r="J731" i="1"/>
  <c r="K731" i="1" s="1"/>
  <c r="J732" i="1"/>
  <c r="J733" i="1"/>
  <c r="K733" i="1" s="1"/>
  <c r="J734" i="1"/>
  <c r="J735" i="1"/>
  <c r="K735" i="1" s="1"/>
  <c r="J736" i="1"/>
  <c r="J737" i="1"/>
  <c r="K737" i="1" s="1"/>
  <c r="J738" i="1"/>
  <c r="J739" i="1"/>
  <c r="K739" i="1" s="1"/>
  <c r="J740" i="1"/>
  <c r="J741" i="1"/>
  <c r="K741" i="1" s="1"/>
  <c r="J742" i="1"/>
  <c r="J743" i="1"/>
  <c r="K743" i="1" s="1"/>
  <c r="J744" i="1"/>
  <c r="J745" i="1"/>
  <c r="K745" i="1" s="1"/>
  <c r="J746" i="1"/>
  <c r="J747" i="1"/>
  <c r="K747" i="1" s="1"/>
  <c r="J748" i="1"/>
  <c r="J749" i="1"/>
  <c r="K749" i="1" s="1"/>
  <c r="J750" i="1"/>
  <c r="J751" i="1"/>
  <c r="K751" i="1" s="1"/>
  <c r="J752" i="1"/>
  <c r="J753" i="1"/>
  <c r="K753" i="1" s="1"/>
  <c r="J754" i="1"/>
  <c r="J755" i="1"/>
  <c r="K755" i="1" s="1"/>
  <c r="J756" i="1"/>
  <c r="J757" i="1"/>
  <c r="K757" i="1" s="1"/>
  <c r="J758" i="1"/>
  <c r="J759" i="1"/>
  <c r="K759" i="1" s="1"/>
  <c r="J760" i="1"/>
  <c r="J761" i="1"/>
  <c r="K761" i="1" s="1"/>
  <c r="J762" i="1"/>
  <c r="J763" i="1"/>
  <c r="K763" i="1" s="1"/>
  <c r="J764" i="1"/>
  <c r="J765" i="1"/>
  <c r="K765" i="1" s="1"/>
  <c r="J766" i="1"/>
  <c r="J767" i="1"/>
  <c r="K767" i="1" s="1"/>
  <c r="J768" i="1"/>
  <c r="J769" i="1"/>
  <c r="K769" i="1" s="1"/>
  <c r="J770" i="1"/>
  <c r="J771" i="1"/>
  <c r="K771" i="1" s="1"/>
  <c r="J772" i="1"/>
  <c r="J773" i="1"/>
  <c r="K773" i="1" s="1"/>
  <c r="J774" i="1"/>
  <c r="J775" i="1"/>
  <c r="K775" i="1" s="1"/>
  <c r="J776" i="1"/>
  <c r="J777" i="1"/>
  <c r="K777" i="1" s="1"/>
  <c r="J778" i="1"/>
  <c r="J779" i="1"/>
  <c r="K779" i="1" s="1"/>
  <c r="J780" i="1"/>
  <c r="J781" i="1"/>
  <c r="K781" i="1" s="1"/>
  <c r="J782" i="1"/>
  <c r="J783" i="1"/>
  <c r="K783" i="1" s="1"/>
  <c r="J784" i="1"/>
  <c r="J785" i="1"/>
  <c r="K785" i="1" s="1"/>
  <c r="J786" i="1"/>
  <c r="J787" i="1"/>
  <c r="K787" i="1" s="1"/>
  <c r="J788" i="1"/>
  <c r="J789" i="1"/>
  <c r="K789" i="1" s="1"/>
  <c r="J790" i="1"/>
  <c r="J791" i="1"/>
  <c r="K791" i="1" s="1"/>
  <c r="J792" i="1"/>
  <c r="J793" i="1"/>
  <c r="K793" i="1" s="1"/>
  <c r="J794" i="1"/>
  <c r="J795" i="1"/>
  <c r="K795" i="1" s="1"/>
  <c r="J796" i="1"/>
  <c r="J797" i="1"/>
  <c r="K797" i="1" s="1"/>
  <c r="J798" i="1"/>
  <c r="J799" i="1"/>
  <c r="K799" i="1" s="1"/>
  <c r="J800" i="1"/>
  <c r="J801" i="1"/>
  <c r="K801" i="1" s="1"/>
  <c r="J802" i="1"/>
  <c r="J803" i="1"/>
  <c r="K803" i="1" s="1"/>
  <c r="J804" i="1"/>
  <c r="J805" i="1"/>
  <c r="K805" i="1" s="1"/>
  <c r="J806" i="1"/>
  <c r="J807" i="1"/>
  <c r="K807" i="1" s="1"/>
  <c r="J808" i="1"/>
  <c r="J809" i="1"/>
  <c r="K809" i="1" s="1"/>
  <c r="J810" i="1"/>
  <c r="J811" i="1"/>
  <c r="K811" i="1" s="1"/>
  <c r="J812" i="1"/>
  <c r="J813" i="1"/>
  <c r="K813" i="1" s="1"/>
  <c r="J814" i="1"/>
  <c r="J815" i="1"/>
  <c r="K815" i="1" s="1"/>
  <c r="J816" i="1"/>
  <c r="J817" i="1"/>
  <c r="K817" i="1" s="1"/>
  <c r="J818" i="1"/>
  <c r="J819" i="1"/>
  <c r="K819" i="1" s="1"/>
  <c r="J820" i="1"/>
  <c r="J821" i="1"/>
  <c r="K821" i="1" s="1"/>
  <c r="J822" i="1"/>
  <c r="J823" i="1"/>
  <c r="K823" i="1" s="1"/>
  <c r="J824" i="1"/>
  <c r="J825" i="1"/>
  <c r="K825" i="1" s="1"/>
  <c r="J826" i="1"/>
  <c r="J827" i="1"/>
  <c r="K827" i="1" s="1"/>
  <c r="J828" i="1"/>
  <c r="J829" i="1"/>
  <c r="K829" i="1" s="1"/>
  <c r="J830" i="1"/>
  <c r="J831" i="1"/>
  <c r="K831" i="1" s="1"/>
  <c r="J832" i="1"/>
  <c r="J833" i="1"/>
  <c r="K833" i="1" s="1"/>
  <c r="J834" i="1"/>
  <c r="J835" i="1"/>
  <c r="K835" i="1" s="1"/>
  <c r="J836" i="1"/>
  <c r="J837" i="1"/>
  <c r="K837" i="1" s="1"/>
  <c r="J838" i="1"/>
  <c r="J839" i="1"/>
  <c r="K839" i="1" s="1"/>
  <c r="J840" i="1"/>
  <c r="J841" i="1"/>
  <c r="K841" i="1" s="1"/>
  <c r="J842" i="1"/>
  <c r="J843" i="1"/>
  <c r="K843" i="1" s="1"/>
  <c r="J844" i="1"/>
  <c r="J845" i="1"/>
  <c r="K845" i="1" s="1"/>
  <c r="J846" i="1"/>
  <c r="J847" i="1"/>
  <c r="K847" i="1" s="1"/>
  <c r="J848" i="1"/>
  <c r="J849" i="1"/>
  <c r="K849" i="1" s="1"/>
  <c r="J850" i="1"/>
  <c r="J851" i="1"/>
  <c r="K851" i="1" s="1"/>
  <c r="J852" i="1"/>
  <c r="J853" i="1"/>
  <c r="K853" i="1" s="1"/>
  <c r="J854" i="1"/>
  <c r="J855" i="1"/>
  <c r="K855" i="1" s="1"/>
  <c r="J856" i="1"/>
  <c r="J857" i="1"/>
  <c r="K857" i="1" s="1"/>
  <c r="J858" i="1"/>
  <c r="J859" i="1"/>
  <c r="K859" i="1" s="1"/>
  <c r="J860" i="1"/>
  <c r="J861" i="1"/>
  <c r="K861" i="1" s="1"/>
  <c r="J862" i="1"/>
  <c r="J863" i="1"/>
  <c r="K863" i="1" s="1"/>
  <c r="J864" i="1"/>
  <c r="J865" i="1"/>
  <c r="K865" i="1" s="1"/>
  <c r="J866" i="1"/>
  <c r="J867" i="1"/>
  <c r="K867" i="1" s="1"/>
  <c r="J868" i="1"/>
  <c r="J869" i="1"/>
  <c r="K869" i="1" s="1"/>
  <c r="J870" i="1"/>
  <c r="J871" i="1"/>
  <c r="K871" i="1" s="1"/>
  <c r="J872" i="1"/>
  <c r="J873" i="1"/>
  <c r="K873" i="1" s="1"/>
  <c r="J874" i="1"/>
  <c r="J875" i="1"/>
  <c r="K875" i="1" s="1"/>
  <c r="J876" i="1"/>
  <c r="J877" i="1"/>
  <c r="K877" i="1" s="1"/>
  <c r="J878" i="1"/>
  <c r="J879" i="1"/>
  <c r="K879" i="1" s="1"/>
  <c r="J880" i="1"/>
  <c r="J881" i="1"/>
  <c r="K881" i="1" s="1"/>
  <c r="J882" i="1"/>
  <c r="J883" i="1"/>
  <c r="K883" i="1" s="1"/>
  <c r="J884" i="1"/>
  <c r="J885" i="1"/>
  <c r="K885" i="1" s="1"/>
  <c r="J886" i="1"/>
  <c r="J887" i="1"/>
  <c r="K887" i="1" s="1"/>
  <c r="J888" i="1"/>
  <c r="J889" i="1"/>
  <c r="K889" i="1" s="1"/>
  <c r="J890" i="1"/>
  <c r="J891" i="1"/>
  <c r="K891" i="1" s="1"/>
  <c r="J892" i="1"/>
  <c r="J893" i="1"/>
  <c r="K893" i="1" s="1"/>
  <c r="J894" i="1"/>
  <c r="J895" i="1"/>
  <c r="K895" i="1" s="1"/>
  <c r="J896" i="1"/>
  <c r="J897" i="1"/>
  <c r="K897" i="1" s="1"/>
  <c r="J898" i="1"/>
  <c r="J899" i="1"/>
  <c r="K899" i="1" s="1"/>
  <c r="J900" i="1"/>
  <c r="J901" i="1"/>
  <c r="K901" i="1" s="1"/>
  <c r="J902" i="1"/>
  <c r="J903" i="1"/>
  <c r="K903" i="1" s="1"/>
  <c r="J904" i="1"/>
  <c r="J905" i="1"/>
  <c r="K905" i="1" s="1"/>
  <c r="J906" i="1"/>
  <c r="J907" i="1"/>
  <c r="K907" i="1" s="1"/>
  <c r="J908" i="1"/>
  <c r="J909" i="1"/>
  <c r="K909" i="1" s="1"/>
  <c r="J910" i="1"/>
  <c r="J911" i="1"/>
  <c r="K911" i="1" s="1"/>
  <c r="J912" i="1"/>
  <c r="J913" i="1"/>
  <c r="K913" i="1" s="1"/>
  <c r="J914" i="1"/>
  <c r="J915" i="1"/>
  <c r="K915" i="1" s="1"/>
  <c r="J916" i="1"/>
  <c r="J917" i="1"/>
  <c r="K917" i="1" s="1"/>
  <c r="J918" i="1"/>
  <c r="J919" i="1"/>
  <c r="K919" i="1" s="1"/>
  <c r="J920" i="1"/>
  <c r="J921" i="1"/>
  <c r="K921" i="1" s="1"/>
  <c r="J922" i="1"/>
  <c r="J923" i="1"/>
  <c r="K923" i="1" s="1"/>
  <c r="J924" i="1"/>
  <c r="J925" i="1"/>
  <c r="K925" i="1" s="1"/>
  <c r="J926" i="1"/>
  <c r="J927" i="1"/>
  <c r="K927" i="1" s="1"/>
  <c r="J928" i="1"/>
  <c r="J929" i="1"/>
  <c r="K929" i="1" s="1"/>
  <c r="J930" i="1"/>
  <c r="J931" i="1"/>
  <c r="K931" i="1" s="1"/>
  <c r="J932" i="1"/>
  <c r="J933" i="1"/>
  <c r="K933" i="1" s="1"/>
  <c r="J934" i="1"/>
  <c r="J935" i="1"/>
  <c r="K935" i="1" s="1"/>
  <c r="J936" i="1"/>
  <c r="J937" i="1"/>
  <c r="K937" i="1" s="1"/>
  <c r="J938" i="1"/>
  <c r="J939" i="1"/>
  <c r="K939" i="1" s="1"/>
  <c r="J940" i="1"/>
  <c r="J941" i="1"/>
  <c r="K941" i="1" s="1"/>
  <c r="J942" i="1"/>
  <c r="J943" i="1"/>
  <c r="K943" i="1" s="1"/>
  <c r="J944" i="1"/>
  <c r="J945" i="1"/>
  <c r="K945" i="1" s="1"/>
  <c r="J946" i="1"/>
  <c r="J947" i="1"/>
  <c r="K947" i="1" s="1"/>
  <c r="J948" i="1"/>
  <c r="J949" i="1"/>
  <c r="K949" i="1" s="1"/>
  <c r="J950" i="1"/>
  <c r="J951" i="1"/>
  <c r="K951" i="1" s="1"/>
  <c r="J952" i="1"/>
  <c r="J953" i="1"/>
  <c r="K953" i="1" s="1"/>
  <c r="J954" i="1"/>
  <c r="J955" i="1"/>
  <c r="K955" i="1" s="1"/>
  <c r="J956" i="1"/>
  <c r="J957" i="1"/>
  <c r="K957" i="1" s="1"/>
  <c r="J958" i="1"/>
  <c r="J959" i="1"/>
  <c r="K959" i="1" s="1"/>
  <c r="J960" i="1"/>
  <c r="J961" i="1"/>
  <c r="K961" i="1" s="1"/>
  <c r="J962" i="1"/>
  <c r="J963" i="1"/>
  <c r="K963" i="1" s="1"/>
  <c r="J964" i="1"/>
  <c r="J965" i="1"/>
  <c r="K965" i="1" s="1"/>
  <c r="J966" i="1"/>
  <c r="J967" i="1"/>
  <c r="K967" i="1" s="1"/>
  <c r="J968" i="1"/>
  <c r="J969" i="1"/>
  <c r="K969" i="1" s="1"/>
  <c r="J970" i="1"/>
  <c r="J971" i="1"/>
  <c r="K971" i="1" s="1"/>
  <c r="J972" i="1"/>
  <c r="J973" i="1"/>
  <c r="K973" i="1" s="1"/>
  <c r="J974" i="1"/>
  <c r="J975" i="1"/>
  <c r="K975" i="1" s="1"/>
  <c r="J976" i="1"/>
  <c r="J977" i="1"/>
  <c r="K977" i="1" s="1"/>
  <c r="J978" i="1"/>
  <c r="J979" i="1"/>
  <c r="K979" i="1" s="1"/>
  <c r="J980" i="1"/>
  <c r="J981" i="1"/>
  <c r="K981" i="1" s="1"/>
  <c r="J982" i="1"/>
  <c r="J983" i="1"/>
  <c r="K983" i="1" s="1"/>
  <c r="J984" i="1"/>
  <c r="J985" i="1"/>
  <c r="K985" i="1" s="1"/>
  <c r="J986" i="1"/>
  <c r="J987" i="1"/>
  <c r="K987" i="1" s="1"/>
  <c r="J988" i="1"/>
  <c r="J989" i="1"/>
  <c r="K989" i="1" s="1"/>
  <c r="J990" i="1"/>
  <c r="J991" i="1"/>
  <c r="K991" i="1" s="1"/>
  <c r="J992" i="1"/>
  <c r="J993" i="1"/>
  <c r="K993" i="1" s="1"/>
  <c r="J994" i="1"/>
  <c r="J995" i="1"/>
  <c r="K995" i="1" s="1"/>
  <c r="J996" i="1"/>
  <c r="J997" i="1"/>
  <c r="K997" i="1" s="1"/>
  <c r="J998" i="1"/>
  <c r="J999" i="1"/>
  <c r="K999" i="1" s="1"/>
  <c r="J1000" i="1"/>
  <c r="J1001" i="1"/>
  <c r="K1001" i="1" s="1"/>
  <c r="J1002" i="1"/>
  <c r="J1003" i="1"/>
  <c r="K1003" i="1" s="1"/>
  <c r="J1004" i="1"/>
  <c r="J1005" i="1"/>
  <c r="K1005" i="1" s="1"/>
  <c r="J1006" i="1"/>
  <c r="J1007" i="1"/>
  <c r="K1007" i="1" s="1"/>
  <c r="J1008" i="1"/>
  <c r="J1009" i="1"/>
  <c r="K1009" i="1" s="1"/>
  <c r="J1010" i="1"/>
  <c r="J1011" i="1"/>
  <c r="K1011" i="1" s="1"/>
  <c r="J1012" i="1"/>
  <c r="J1013" i="1"/>
  <c r="K1013" i="1" s="1"/>
  <c r="J1014" i="1"/>
  <c r="J1015" i="1"/>
  <c r="K1015" i="1" s="1"/>
  <c r="J1016" i="1"/>
  <c r="J1017" i="1"/>
  <c r="K1017" i="1" s="1"/>
  <c r="J1018" i="1"/>
  <c r="J1019" i="1"/>
  <c r="K1019" i="1" s="1"/>
  <c r="J1020" i="1"/>
  <c r="J1021" i="1"/>
  <c r="K1021" i="1" s="1"/>
  <c r="J1022" i="1"/>
  <c r="J1023" i="1"/>
  <c r="K1023" i="1" s="1"/>
  <c r="J1024" i="1"/>
  <c r="J1025" i="1"/>
  <c r="K1025" i="1" s="1"/>
  <c r="J1026" i="1"/>
  <c r="J1027" i="1"/>
  <c r="K1027" i="1" s="1"/>
  <c r="J1028" i="1"/>
  <c r="J1029" i="1"/>
  <c r="K1029" i="1" s="1"/>
  <c r="J1030" i="1"/>
  <c r="J1031" i="1"/>
  <c r="K1031" i="1" s="1"/>
  <c r="J1032" i="1"/>
  <c r="J1033" i="1"/>
  <c r="K1033" i="1" s="1"/>
  <c r="J1034" i="1"/>
  <c r="J1035" i="1"/>
  <c r="K1035" i="1" s="1"/>
  <c r="J1036" i="1"/>
  <c r="J1037" i="1"/>
  <c r="K1037" i="1" s="1"/>
  <c r="J1038" i="1"/>
  <c r="J1039" i="1"/>
  <c r="K1039" i="1" s="1"/>
  <c r="J1040" i="1"/>
  <c r="J1041" i="1"/>
  <c r="K1041" i="1" s="1"/>
  <c r="J1042" i="1"/>
  <c r="J1043" i="1"/>
  <c r="K1043" i="1" s="1"/>
  <c r="J1044" i="1"/>
  <c r="J1045" i="1"/>
  <c r="K1045" i="1" s="1"/>
  <c r="J1046" i="1"/>
  <c r="J1047" i="1"/>
  <c r="K1047" i="1" s="1"/>
  <c r="J1048" i="1"/>
  <c r="J1049" i="1"/>
  <c r="K1049" i="1" s="1"/>
  <c r="J1050" i="1"/>
  <c r="J1051" i="1"/>
  <c r="K1051" i="1" s="1"/>
  <c r="J1052" i="1"/>
  <c r="J1053" i="1"/>
  <c r="K1053" i="1" s="1"/>
  <c r="J1054" i="1"/>
  <c r="J1055" i="1"/>
  <c r="K1055" i="1" s="1"/>
  <c r="J1056" i="1"/>
  <c r="J1057" i="1"/>
  <c r="K1057" i="1" s="1"/>
  <c r="J1058" i="1"/>
  <c r="J1059" i="1"/>
  <c r="K1059" i="1" s="1"/>
  <c r="J1060" i="1"/>
  <c r="J1061" i="1"/>
  <c r="K1061" i="1" s="1"/>
  <c r="J1062" i="1"/>
  <c r="J1063" i="1"/>
  <c r="K1063" i="1" s="1"/>
  <c r="J1064" i="1"/>
  <c r="J1065" i="1"/>
  <c r="K1065" i="1" s="1"/>
  <c r="J1066" i="1"/>
  <c r="J1067" i="1"/>
  <c r="K1067" i="1" s="1"/>
  <c r="J1068" i="1"/>
  <c r="J1069" i="1"/>
  <c r="K1069" i="1" s="1"/>
  <c r="J1070" i="1"/>
  <c r="J1071" i="1"/>
  <c r="K1071" i="1" s="1"/>
  <c r="J1072" i="1"/>
  <c r="J1073" i="1"/>
  <c r="K1073" i="1" s="1"/>
  <c r="J1074" i="1"/>
  <c r="J1075" i="1"/>
  <c r="K1075" i="1" s="1"/>
  <c r="J1076" i="1"/>
  <c r="J1077" i="1"/>
  <c r="K1077" i="1" s="1"/>
  <c r="J1078" i="1"/>
  <c r="J1079" i="1"/>
  <c r="K1079" i="1" s="1"/>
  <c r="J1080" i="1"/>
  <c r="J1081" i="1"/>
  <c r="K1081" i="1" s="1"/>
  <c r="J1082" i="1"/>
  <c r="J1083" i="1"/>
  <c r="K1083" i="1" s="1"/>
  <c r="J1084" i="1"/>
  <c r="J1085" i="1"/>
  <c r="K1085" i="1" s="1"/>
  <c r="J1086" i="1"/>
  <c r="J1087" i="1"/>
  <c r="K1087" i="1" s="1"/>
  <c r="J1088" i="1"/>
  <c r="J1089" i="1"/>
  <c r="K1089" i="1" s="1"/>
  <c r="J1090" i="1"/>
  <c r="J1091" i="1"/>
  <c r="K1091" i="1" s="1"/>
  <c r="J1092" i="1"/>
  <c r="J1093" i="1"/>
  <c r="K1093" i="1" s="1"/>
  <c r="J1094" i="1"/>
  <c r="J1095" i="1"/>
  <c r="K1095" i="1" s="1"/>
  <c r="J1096" i="1"/>
  <c r="J1097" i="1"/>
  <c r="K1097" i="1" s="1"/>
  <c r="J1098" i="1"/>
  <c r="J1099" i="1"/>
  <c r="K1099" i="1" s="1"/>
  <c r="J1100" i="1"/>
  <c r="J1101" i="1"/>
  <c r="K1101" i="1" s="1"/>
  <c r="J1102" i="1"/>
  <c r="J1103" i="1"/>
  <c r="K1103" i="1" s="1"/>
  <c r="J1104" i="1"/>
  <c r="J1105" i="1"/>
  <c r="K1105" i="1" s="1"/>
  <c r="J1106" i="1"/>
  <c r="J1107" i="1"/>
  <c r="K1107" i="1" s="1"/>
  <c r="J1108" i="1"/>
  <c r="J1109" i="1"/>
  <c r="K1109" i="1" s="1"/>
  <c r="J1110" i="1"/>
  <c r="J1111" i="1"/>
  <c r="K1111" i="1" s="1"/>
  <c r="J1112" i="1"/>
  <c r="J1113" i="1"/>
  <c r="K1113" i="1" s="1"/>
  <c r="J1114" i="1"/>
  <c r="J1115" i="1"/>
  <c r="K1115" i="1" s="1"/>
  <c r="J1116" i="1"/>
  <c r="K1116" i="1" s="1"/>
  <c r="J1117" i="1"/>
  <c r="K1117" i="1" s="1"/>
  <c r="J1118" i="1"/>
  <c r="J1119" i="1"/>
  <c r="K1119" i="1" s="1"/>
  <c r="J1120" i="1"/>
  <c r="J1121" i="1"/>
  <c r="K1121" i="1" s="1"/>
  <c r="J1122" i="1"/>
  <c r="K1122" i="1" s="1"/>
  <c r="J1123" i="1"/>
  <c r="K1123" i="1" s="1"/>
  <c r="J1124" i="1"/>
  <c r="J1125" i="1"/>
  <c r="K1125" i="1" s="1"/>
  <c r="J1126" i="1"/>
  <c r="K1126" i="1" s="1"/>
  <c r="J1127" i="1"/>
  <c r="K1127" i="1" s="1"/>
  <c r="J1128" i="1"/>
  <c r="J1129" i="1"/>
  <c r="K1129" i="1" s="1"/>
  <c r="J1130" i="1"/>
  <c r="K1130" i="1" s="1"/>
  <c r="J1131" i="1"/>
  <c r="K1131" i="1" s="1"/>
  <c r="J1132" i="1"/>
  <c r="J1133" i="1"/>
  <c r="K1133" i="1" s="1"/>
  <c r="J1134" i="1"/>
  <c r="K1134" i="1" s="1"/>
  <c r="J1135" i="1"/>
  <c r="K1135" i="1" s="1"/>
  <c r="J1136" i="1"/>
  <c r="J1137" i="1"/>
  <c r="K1137" i="1" s="1"/>
  <c r="J1138" i="1"/>
  <c r="K1138" i="1" s="1"/>
  <c r="J1139" i="1"/>
  <c r="K1139" i="1" s="1"/>
  <c r="J1140" i="1"/>
  <c r="J1141" i="1"/>
  <c r="K1141" i="1" s="1"/>
  <c r="J1142" i="1"/>
  <c r="K1142" i="1" s="1"/>
  <c r="J1143" i="1"/>
  <c r="K1143" i="1" s="1"/>
  <c r="J1144" i="1"/>
  <c r="J1145" i="1"/>
  <c r="K1145" i="1" s="1"/>
  <c r="J1146" i="1"/>
  <c r="K1146" i="1" s="1"/>
  <c r="J1147" i="1"/>
  <c r="K1147" i="1" s="1"/>
  <c r="J1148" i="1"/>
  <c r="J1149" i="1"/>
  <c r="K1149" i="1" s="1"/>
  <c r="J1150" i="1"/>
  <c r="K1150" i="1" s="1"/>
  <c r="J1151" i="1"/>
  <c r="K1151" i="1" s="1"/>
  <c r="J1152" i="1"/>
  <c r="J1153" i="1"/>
  <c r="K1153" i="1" s="1"/>
  <c r="J1154" i="1"/>
  <c r="K1154" i="1" s="1"/>
  <c r="J1155" i="1"/>
  <c r="K1155" i="1" s="1"/>
  <c r="J1156" i="1"/>
  <c r="J1157" i="1"/>
  <c r="K1157" i="1" s="1"/>
  <c r="J1158" i="1"/>
  <c r="K1158" i="1" s="1"/>
  <c r="J1159" i="1"/>
  <c r="K1159" i="1" s="1"/>
  <c r="J1160" i="1"/>
  <c r="J1161" i="1"/>
  <c r="K1161" i="1" s="1"/>
  <c r="J1162" i="1"/>
  <c r="K1162" i="1" s="1"/>
  <c r="J1163" i="1"/>
  <c r="K1163" i="1" s="1"/>
  <c r="J1164" i="1"/>
  <c r="J1165" i="1"/>
  <c r="K1165" i="1" s="1"/>
  <c r="J1166" i="1"/>
  <c r="K1166" i="1" s="1"/>
  <c r="J1167" i="1"/>
  <c r="K1167" i="1" s="1"/>
  <c r="J1168" i="1"/>
  <c r="J1169" i="1"/>
  <c r="K1169" i="1" s="1"/>
  <c r="J1170" i="1"/>
  <c r="K1170" i="1" s="1"/>
  <c r="J1171" i="1"/>
  <c r="K1171" i="1" s="1"/>
  <c r="J1172" i="1"/>
  <c r="J1173" i="1"/>
  <c r="K1173" i="1" s="1"/>
  <c r="J1174" i="1"/>
  <c r="K1174" i="1" s="1"/>
  <c r="J1175" i="1"/>
  <c r="K1175" i="1" s="1"/>
  <c r="J1176" i="1"/>
  <c r="J1177" i="1"/>
  <c r="K1177" i="1" s="1"/>
  <c r="J1178" i="1"/>
  <c r="K1178" i="1" s="1"/>
  <c r="J1179" i="1"/>
  <c r="K1179" i="1" s="1"/>
  <c r="J1180" i="1"/>
  <c r="J1181" i="1"/>
  <c r="K1181" i="1" s="1"/>
  <c r="J1182" i="1"/>
  <c r="K1182" i="1" s="1"/>
  <c r="J1183" i="1"/>
  <c r="K1183" i="1" s="1"/>
  <c r="J1184" i="1"/>
  <c r="J1185" i="1"/>
  <c r="K1185" i="1" s="1"/>
  <c r="J1186" i="1"/>
  <c r="K1186" i="1" s="1"/>
  <c r="J1187" i="1"/>
  <c r="K1187" i="1" s="1"/>
  <c r="J1188" i="1"/>
  <c r="J1189" i="1"/>
  <c r="K1189" i="1" s="1"/>
  <c r="J1190" i="1"/>
  <c r="K1190" i="1" s="1"/>
  <c r="J1191" i="1"/>
  <c r="K1191" i="1" s="1"/>
  <c r="J1192" i="1"/>
  <c r="J1193" i="1"/>
  <c r="K1193" i="1" s="1"/>
  <c r="J1194" i="1"/>
  <c r="K1194" i="1" s="1"/>
  <c r="J1195" i="1"/>
  <c r="K1195" i="1" s="1"/>
  <c r="J1196" i="1"/>
  <c r="J1197" i="1"/>
  <c r="K1197" i="1" s="1"/>
  <c r="J1198" i="1"/>
  <c r="K1198" i="1" s="1"/>
  <c r="J1199" i="1"/>
  <c r="K1199" i="1" s="1"/>
  <c r="J1200" i="1"/>
  <c r="J1201" i="1"/>
  <c r="K1201" i="1" s="1"/>
  <c r="J1202" i="1"/>
  <c r="K1202" i="1" s="1"/>
  <c r="J1203" i="1"/>
  <c r="K1203" i="1" s="1"/>
  <c r="J1204" i="1"/>
  <c r="J1205" i="1"/>
  <c r="K1205" i="1" s="1"/>
  <c r="J1206" i="1"/>
  <c r="K1206" i="1" s="1"/>
  <c r="J1207" i="1"/>
  <c r="K1207" i="1" s="1"/>
  <c r="J1208" i="1"/>
  <c r="J1209" i="1"/>
  <c r="K1209" i="1" s="1"/>
  <c r="J1210" i="1"/>
  <c r="K1210" i="1" s="1"/>
  <c r="J1211" i="1"/>
  <c r="K1211" i="1" s="1"/>
  <c r="J1212" i="1"/>
  <c r="J1213" i="1"/>
  <c r="K1213" i="1" s="1"/>
  <c r="J1214" i="1"/>
  <c r="K1214" i="1" s="1"/>
  <c r="J1215" i="1"/>
  <c r="K1215" i="1" s="1"/>
  <c r="J1216" i="1"/>
  <c r="J1217" i="1"/>
  <c r="K1217" i="1" s="1"/>
  <c r="J1218" i="1"/>
  <c r="K1218" i="1" s="1"/>
  <c r="J1219" i="1"/>
  <c r="K1219" i="1" s="1"/>
  <c r="J1220" i="1"/>
  <c r="J1221" i="1"/>
  <c r="K1221" i="1" s="1"/>
  <c r="J1222" i="1"/>
  <c r="K1222" i="1" s="1"/>
  <c r="J1223" i="1"/>
  <c r="K1223" i="1" s="1"/>
  <c r="J1224" i="1"/>
  <c r="J1225" i="1"/>
  <c r="K1225" i="1" s="1"/>
  <c r="J1226" i="1"/>
  <c r="K1226" i="1" s="1"/>
  <c r="J1227" i="1"/>
  <c r="K1227" i="1" s="1"/>
  <c r="J1228" i="1"/>
  <c r="J1229" i="1"/>
  <c r="K1229" i="1" s="1"/>
  <c r="J1230" i="1"/>
  <c r="K1230" i="1" s="1"/>
  <c r="J1231" i="1"/>
  <c r="K1231" i="1" s="1"/>
  <c r="J1232" i="1"/>
  <c r="J1233" i="1"/>
  <c r="K1233" i="1" s="1"/>
  <c r="J1234" i="1"/>
  <c r="K1234" i="1" s="1"/>
  <c r="J1235" i="1"/>
  <c r="K1235" i="1" s="1"/>
  <c r="J1236" i="1"/>
  <c r="J1237" i="1"/>
  <c r="K1237" i="1" s="1"/>
  <c r="J1238" i="1"/>
  <c r="K1238" i="1" s="1"/>
  <c r="J1239" i="1"/>
  <c r="K1239" i="1" s="1"/>
  <c r="J1240" i="1"/>
  <c r="J1241" i="1"/>
  <c r="K1241" i="1" s="1"/>
  <c r="J1242" i="1"/>
  <c r="K1242" i="1" s="1"/>
  <c r="J1243" i="1"/>
  <c r="K1243" i="1" s="1"/>
  <c r="J1244" i="1"/>
  <c r="J1245" i="1"/>
  <c r="K1245" i="1" s="1"/>
  <c r="J1246" i="1"/>
  <c r="K1246" i="1" s="1"/>
  <c r="J1247" i="1"/>
  <c r="K1247" i="1" s="1"/>
  <c r="J1248" i="1"/>
  <c r="J1249" i="1"/>
  <c r="K1249" i="1" s="1"/>
  <c r="J1250" i="1"/>
  <c r="K1250" i="1" s="1"/>
  <c r="J1251" i="1"/>
  <c r="K1251" i="1" s="1"/>
  <c r="J1252" i="1"/>
  <c r="J1253" i="1"/>
  <c r="K1253" i="1" s="1"/>
  <c r="J1254" i="1"/>
  <c r="K1254" i="1" s="1"/>
  <c r="J1255" i="1"/>
  <c r="K1255" i="1" s="1"/>
  <c r="J1256" i="1"/>
  <c r="J1257" i="1"/>
  <c r="K1257" i="1" s="1"/>
  <c r="J1258" i="1"/>
  <c r="K1258" i="1" s="1"/>
  <c r="J1259" i="1"/>
  <c r="K1259" i="1" s="1"/>
  <c r="J1260" i="1"/>
  <c r="J1261" i="1"/>
  <c r="K1261" i="1" s="1"/>
  <c r="J1262" i="1"/>
  <c r="K1262" i="1" s="1"/>
  <c r="J1263" i="1"/>
  <c r="K1263" i="1" s="1"/>
  <c r="J1264" i="1"/>
  <c r="J1265" i="1"/>
  <c r="K1265" i="1" s="1"/>
  <c r="J1266" i="1"/>
  <c r="K1266" i="1" s="1"/>
  <c r="J1267" i="1"/>
  <c r="K1267" i="1" s="1"/>
  <c r="J1268" i="1"/>
  <c r="J1269" i="1"/>
  <c r="K1269" i="1" s="1"/>
  <c r="J1270" i="1"/>
  <c r="K1270" i="1" s="1"/>
  <c r="J1271" i="1"/>
  <c r="K1271" i="1" s="1"/>
  <c r="J1272" i="1"/>
  <c r="J1273" i="1"/>
  <c r="K1273" i="1" s="1"/>
  <c r="J1274" i="1"/>
  <c r="K1274" i="1" s="1"/>
  <c r="J1275" i="1"/>
  <c r="K1275" i="1" s="1"/>
  <c r="J1276" i="1"/>
  <c r="J1277" i="1"/>
  <c r="K1277" i="1" s="1"/>
  <c r="J1278" i="1"/>
  <c r="K1278" i="1" s="1"/>
  <c r="J1279" i="1"/>
  <c r="K1279" i="1" s="1"/>
  <c r="J1280" i="1"/>
  <c r="J1281" i="1"/>
  <c r="K1281" i="1" s="1"/>
  <c r="J1282" i="1"/>
  <c r="K1282" i="1" s="1"/>
  <c r="J1283" i="1"/>
  <c r="K1283" i="1" s="1"/>
  <c r="J1284" i="1"/>
  <c r="J1285" i="1"/>
  <c r="K1285" i="1" s="1"/>
  <c r="J1286" i="1"/>
  <c r="K1286" i="1" s="1"/>
  <c r="J1287" i="1"/>
  <c r="K1287" i="1" s="1"/>
  <c r="J1288" i="1"/>
  <c r="J1289" i="1"/>
  <c r="K1289" i="1" s="1"/>
  <c r="J1290" i="1"/>
  <c r="K1290" i="1" s="1"/>
  <c r="J1291" i="1"/>
  <c r="K1291" i="1" s="1"/>
  <c r="J1292" i="1"/>
  <c r="J1293" i="1"/>
  <c r="K1293" i="1" s="1"/>
  <c r="J1294" i="1"/>
  <c r="K1294" i="1" s="1"/>
  <c r="J1295" i="1"/>
  <c r="K1295" i="1" s="1"/>
  <c r="J1296" i="1"/>
  <c r="J1297" i="1"/>
  <c r="K1297" i="1" s="1"/>
  <c r="J1298" i="1"/>
  <c r="K1298" i="1" s="1"/>
  <c r="J1299" i="1"/>
  <c r="K1299" i="1" s="1"/>
  <c r="J1300" i="1"/>
  <c r="J1301" i="1"/>
  <c r="K1301" i="1" s="1"/>
  <c r="J1302" i="1"/>
  <c r="K1302" i="1" s="1"/>
  <c r="J1303" i="1"/>
  <c r="K1303" i="1" s="1"/>
  <c r="J1304" i="1"/>
  <c r="J1305" i="1"/>
  <c r="K1305" i="1" s="1"/>
  <c r="J1306" i="1"/>
  <c r="K1306" i="1" s="1"/>
  <c r="J1307" i="1"/>
  <c r="K1307" i="1" s="1"/>
  <c r="J1308" i="1"/>
  <c r="J1309" i="1"/>
  <c r="K1309" i="1" s="1"/>
  <c r="J1310" i="1"/>
  <c r="K1310" i="1" s="1"/>
  <c r="J1311" i="1"/>
  <c r="K1311" i="1" s="1"/>
  <c r="J1312" i="1"/>
  <c r="J1313" i="1"/>
  <c r="K1313" i="1" s="1"/>
  <c r="J1314" i="1"/>
  <c r="K1314" i="1" s="1"/>
  <c r="J1315" i="1"/>
  <c r="K1315" i="1" s="1"/>
  <c r="J1316" i="1"/>
  <c r="J1317" i="1"/>
  <c r="K1317" i="1" s="1"/>
  <c r="J1318" i="1"/>
  <c r="K1318" i="1" s="1"/>
  <c r="J1319" i="1"/>
  <c r="K1319" i="1" s="1"/>
  <c r="J1320" i="1"/>
  <c r="J1321" i="1"/>
  <c r="K1321" i="1" s="1"/>
  <c r="J1322" i="1"/>
  <c r="K1322" i="1" s="1"/>
  <c r="J1323" i="1"/>
  <c r="K1323" i="1" s="1"/>
  <c r="J1324" i="1"/>
  <c r="J1325" i="1"/>
  <c r="K1325" i="1" s="1"/>
  <c r="J1326" i="1"/>
  <c r="K1326" i="1" s="1"/>
  <c r="J1327" i="1"/>
  <c r="K1327" i="1" s="1"/>
  <c r="J1328" i="1"/>
  <c r="J1329" i="1"/>
  <c r="K1329" i="1" s="1"/>
  <c r="J1330" i="1"/>
  <c r="K1330" i="1" s="1"/>
  <c r="J1331" i="1"/>
  <c r="K1331" i="1" s="1"/>
  <c r="J1332" i="1"/>
  <c r="J1333" i="1"/>
  <c r="K1333" i="1" s="1"/>
  <c r="J1334" i="1"/>
  <c r="K1334" i="1" s="1"/>
  <c r="J1335" i="1"/>
  <c r="K1335" i="1" s="1"/>
  <c r="J1336" i="1"/>
  <c r="J1337" i="1"/>
  <c r="K1337" i="1" s="1"/>
  <c r="J1338" i="1"/>
  <c r="K1338" i="1" s="1"/>
  <c r="J1339" i="1"/>
  <c r="K1339" i="1" s="1"/>
  <c r="J1340" i="1"/>
  <c r="J1341" i="1"/>
  <c r="K1341" i="1" s="1"/>
  <c r="J1342" i="1"/>
  <c r="K1342" i="1" s="1"/>
  <c r="J1343" i="1"/>
  <c r="K1343" i="1" s="1"/>
  <c r="J1344" i="1"/>
  <c r="J1345" i="1"/>
  <c r="K1345" i="1" s="1"/>
  <c r="J1346" i="1"/>
  <c r="K1346" i="1" s="1"/>
  <c r="J1347" i="1"/>
  <c r="K1347" i="1" s="1"/>
  <c r="J1348" i="1"/>
  <c r="J1349" i="1"/>
  <c r="K1349" i="1" s="1"/>
  <c r="J1350" i="1"/>
  <c r="K1350" i="1" s="1"/>
  <c r="J1351" i="1"/>
  <c r="K1351" i="1" s="1"/>
  <c r="J1352" i="1"/>
  <c r="J1353" i="1"/>
  <c r="K1353" i="1" s="1"/>
  <c r="J1354" i="1"/>
  <c r="K1354" i="1" s="1"/>
  <c r="J1355" i="1"/>
  <c r="K1355" i="1" s="1"/>
  <c r="J1356" i="1"/>
  <c r="J1357" i="1"/>
  <c r="K1357" i="1" s="1"/>
  <c r="J1358" i="1"/>
  <c r="K1358" i="1" s="1"/>
  <c r="J1359" i="1"/>
  <c r="K1359" i="1" s="1"/>
  <c r="J1360" i="1"/>
  <c r="J1361" i="1"/>
  <c r="K1361" i="1" s="1"/>
  <c r="J1362" i="1"/>
  <c r="K1362" i="1" s="1"/>
  <c r="J1363" i="1"/>
  <c r="K1363" i="1" s="1"/>
  <c r="J1364" i="1"/>
  <c r="J1365" i="1"/>
  <c r="K1365" i="1" s="1"/>
  <c r="J1366" i="1"/>
  <c r="K1366" i="1" s="1"/>
  <c r="J1367" i="1"/>
  <c r="K1367" i="1" s="1"/>
  <c r="J1368" i="1"/>
  <c r="J1369" i="1"/>
  <c r="K1369" i="1" s="1"/>
  <c r="J1370" i="1"/>
  <c r="K1370" i="1" s="1"/>
  <c r="J1371" i="1"/>
  <c r="K1371" i="1" s="1"/>
  <c r="J1372" i="1"/>
  <c r="J1373" i="1"/>
  <c r="K1373" i="1" s="1"/>
  <c r="J1374" i="1"/>
  <c r="K1374" i="1" s="1"/>
  <c r="J1375" i="1"/>
  <c r="K1375" i="1" s="1"/>
  <c r="J1376" i="1"/>
  <c r="J1377" i="1"/>
  <c r="K1377" i="1" s="1"/>
  <c r="J1378" i="1"/>
  <c r="K1378" i="1" s="1"/>
  <c r="J1379" i="1"/>
  <c r="K1379" i="1" s="1"/>
  <c r="J1380" i="1"/>
  <c r="J1381" i="1"/>
  <c r="K1381" i="1" s="1"/>
  <c r="J1382" i="1"/>
  <c r="K1382" i="1" s="1"/>
  <c r="J1383" i="1"/>
  <c r="K1383" i="1" s="1"/>
  <c r="J1384" i="1"/>
  <c r="J1385" i="1"/>
  <c r="K1385" i="1" s="1"/>
  <c r="J1386" i="1"/>
  <c r="K1386" i="1" s="1"/>
  <c r="J1387" i="1"/>
  <c r="K1387" i="1" s="1"/>
  <c r="J1388" i="1"/>
  <c r="J1389" i="1"/>
  <c r="K1389" i="1" s="1"/>
  <c r="J1390" i="1"/>
  <c r="K1390" i="1" s="1"/>
  <c r="J1391" i="1"/>
  <c r="K1391" i="1" s="1"/>
  <c r="J1392" i="1"/>
  <c r="J1393" i="1"/>
  <c r="K1393" i="1" s="1"/>
  <c r="J1394" i="1"/>
  <c r="K1394" i="1" s="1"/>
  <c r="J1395" i="1"/>
  <c r="K1395" i="1" s="1"/>
  <c r="J1396" i="1"/>
  <c r="J1397" i="1"/>
  <c r="K1397" i="1" s="1"/>
  <c r="J1398" i="1"/>
  <c r="K1398" i="1" s="1"/>
  <c r="J1399" i="1"/>
  <c r="K1399" i="1" s="1"/>
  <c r="J1400" i="1"/>
  <c r="J1401" i="1"/>
  <c r="K1401" i="1" s="1"/>
  <c r="J1402" i="1"/>
  <c r="K1402" i="1" s="1"/>
  <c r="J1403" i="1"/>
  <c r="K1403" i="1" s="1"/>
  <c r="J1404" i="1"/>
  <c r="J1405" i="1"/>
  <c r="K1405" i="1" s="1"/>
  <c r="J1406" i="1"/>
  <c r="K1406" i="1" s="1"/>
  <c r="J1407" i="1"/>
  <c r="K1407" i="1" s="1"/>
  <c r="J1408" i="1"/>
  <c r="J1409" i="1"/>
  <c r="K1409" i="1" s="1"/>
  <c r="J1410" i="1"/>
  <c r="K1410" i="1" s="1"/>
  <c r="J1411" i="1"/>
  <c r="K1411" i="1" s="1"/>
  <c r="J1412" i="1"/>
  <c r="J1413" i="1"/>
  <c r="K1413" i="1" s="1"/>
  <c r="J1414" i="1"/>
  <c r="K1414" i="1" s="1"/>
  <c r="J1415" i="1"/>
  <c r="K1415" i="1" s="1"/>
  <c r="J1416" i="1"/>
  <c r="J1417" i="1"/>
  <c r="K1417" i="1" s="1"/>
  <c r="J1418" i="1"/>
  <c r="K1418" i="1" s="1"/>
  <c r="J1419" i="1"/>
  <c r="K1419" i="1" s="1"/>
  <c r="J1420" i="1"/>
  <c r="J1421" i="1"/>
  <c r="K1421" i="1" s="1"/>
  <c r="J1422" i="1"/>
  <c r="K1422" i="1" s="1"/>
  <c r="J1423" i="1"/>
  <c r="K1423" i="1" s="1"/>
  <c r="J1424" i="1"/>
  <c r="J1425" i="1"/>
  <c r="K1425" i="1" s="1"/>
  <c r="J1426" i="1"/>
  <c r="K1426" i="1" s="1"/>
  <c r="J1427" i="1"/>
  <c r="K1427" i="1" s="1"/>
  <c r="J1428" i="1"/>
  <c r="J1429" i="1"/>
  <c r="K1429" i="1" s="1"/>
  <c r="J1430" i="1"/>
  <c r="K1430" i="1" s="1"/>
  <c r="J1431" i="1"/>
  <c r="K1431" i="1" s="1"/>
  <c r="J1432" i="1"/>
  <c r="J1433" i="1"/>
  <c r="K1433" i="1" s="1"/>
  <c r="J1434" i="1"/>
  <c r="K1434" i="1" s="1"/>
  <c r="J1435" i="1"/>
  <c r="K1435" i="1" s="1"/>
  <c r="J1436" i="1"/>
  <c r="J1437" i="1"/>
  <c r="K1437" i="1" s="1"/>
  <c r="J1438" i="1"/>
  <c r="K1438" i="1" s="1"/>
  <c r="J1439" i="1"/>
  <c r="K1439" i="1" s="1"/>
  <c r="J1440" i="1"/>
  <c r="J1441" i="1"/>
  <c r="K1441" i="1" s="1"/>
  <c r="J1442" i="1"/>
  <c r="K1442" i="1" s="1"/>
  <c r="J1443" i="1"/>
  <c r="K1443" i="1" s="1"/>
  <c r="J1444" i="1"/>
  <c r="J1445" i="1"/>
  <c r="K1445" i="1" s="1"/>
  <c r="J1446" i="1"/>
  <c r="K1446" i="1" s="1"/>
  <c r="J1447" i="1"/>
  <c r="K1447" i="1" s="1"/>
  <c r="J1448" i="1"/>
  <c r="J1449" i="1"/>
  <c r="K1449" i="1" s="1"/>
  <c r="J1450" i="1"/>
  <c r="K1450" i="1" s="1"/>
  <c r="J1451" i="1"/>
  <c r="K1451" i="1" s="1"/>
  <c r="J1452" i="1"/>
  <c r="J1453" i="1"/>
  <c r="K1453" i="1" s="1"/>
  <c r="J1454" i="1"/>
  <c r="K1454" i="1" s="1"/>
  <c r="J1455" i="1"/>
  <c r="K1455" i="1" s="1"/>
  <c r="J1456" i="1"/>
  <c r="J1457" i="1"/>
  <c r="K1457" i="1" s="1"/>
  <c r="J1458" i="1"/>
  <c r="K1458" i="1" s="1"/>
  <c r="J1459" i="1"/>
  <c r="K1459" i="1" s="1"/>
  <c r="J1460" i="1"/>
  <c r="J1461" i="1"/>
  <c r="K1461" i="1" s="1"/>
  <c r="J1462" i="1"/>
  <c r="K1462" i="1" s="1"/>
  <c r="J1463" i="1"/>
  <c r="K1463" i="1" s="1"/>
  <c r="J1464" i="1"/>
  <c r="J1465" i="1"/>
  <c r="K1465" i="1" s="1"/>
  <c r="J1466" i="1"/>
  <c r="K1466" i="1" s="1"/>
  <c r="J1467" i="1"/>
  <c r="K1467" i="1" s="1"/>
  <c r="J1468" i="1"/>
  <c r="J1469" i="1"/>
  <c r="K1469" i="1" s="1"/>
  <c r="J1470" i="1"/>
  <c r="K1470" i="1" s="1"/>
  <c r="J1471" i="1"/>
  <c r="K1471" i="1" s="1"/>
  <c r="J1472" i="1"/>
  <c r="J1473" i="1"/>
  <c r="K1473" i="1" s="1"/>
  <c r="J1474" i="1"/>
  <c r="K1474" i="1" s="1"/>
  <c r="J1475" i="1"/>
  <c r="K1475" i="1" s="1"/>
  <c r="J1476" i="1"/>
  <c r="J1477" i="1"/>
  <c r="K1477" i="1" s="1"/>
  <c r="J1478" i="1"/>
  <c r="K1478" i="1" s="1"/>
  <c r="J1479" i="1"/>
  <c r="K1479" i="1" s="1"/>
  <c r="J1480" i="1"/>
  <c r="J1481" i="1"/>
  <c r="K1481" i="1" s="1"/>
  <c r="J1482" i="1"/>
  <c r="K1482" i="1" s="1"/>
  <c r="J1483" i="1"/>
  <c r="K1483" i="1" s="1"/>
  <c r="J1484" i="1"/>
  <c r="J1485" i="1"/>
  <c r="K1485" i="1" s="1"/>
  <c r="J1486" i="1"/>
  <c r="K1486" i="1" s="1"/>
  <c r="J1487" i="1"/>
  <c r="K1487" i="1" s="1"/>
  <c r="J1488" i="1"/>
  <c r="J1489" i="1"/>
  <c r="K1489" i="1" s="1"/>
  <c r="J1490" i="1"/>
  <c r="K1490" i="1" s="1"/>
  <c r="J1491" i="1"/>
  <c r="K1491" i="1" s="1"/>
  <c r="J1492" i="1"/>
  <c r="J1493" i="1"/>
  <c r="K1493" i="1" s="1"/>
  <c r="J1494" i="1"/>
  <c r="K1494" i="1" s="1"/>
  <c r="J1495" i="1"/>
  <c r="K1495" i="1" s="1"/>
  <c r="J1496" i="1"/>
  <c r="J1497" i="1"/>
  <c r="K1497" i="1" s="1"/>
  <c r="J1498" i="1"/>
  <c r="K1498" i="1" s="1"/>
  <c r="J1499" i="1"/>
  <c r="K1499" i="1" s="1"/>
  <c r="J1500" i="1"/>
  <c r="J1501" i="1"/>
  <c r="K1501" i="1" s="1"/>
  <c r="J1502" i="1"/>
  <c r="K1502" i="1" s="1"/>
  <c r="J1503" i="1"/>
  <c r="K1503" i="1" s="1"/>
  <c r="J1504" i="1"/>
  <c r="J1505" i="1"/>
  <c r="K1505" i="1" s="1"/>
  <c r="J1506" i="1"/>
  <c r="K1506" i="1" s="1"/>
  <c r="J1507" i="1"/>
  <c r="K1507" i="1" s="1"/>
  <c r="J1508" i="1"/>
  <c r="J1509" i="1"/>
  <c r="K1509" i="1" s="1"/>
  <c r="J1510" i="1"/>
  <c r="K1510" i="1" s="1"/>
  <c r="J1511" i="1"/>
  <c r="K1511" i="1" s="1"/>
  <c r="J1512" i="1"/>
  <c r="J1513" i="1"/>
  <c r="K1513" i="1" s="1"/>
  <c r="J1514" i="1"/>
  <c r="K1514" i="1" s="1"/>
  <c r="J1515" i="1"/>
  <c r="K1515" i="1" s="1"/>
  <c r="J1516" i="1"/>
  <c r="J1517" i="1"/>
  <c r="K1517" i="1" s="1"/>
  <c r="J1518" i="1"/>
  <c r="K1518" i="1" s="1"/>
  <c r="J1519" i="1"/>
  <c r="K1519" i="1" s="1"/>
  <c r="J1520" i="1"/>
  <c r="J1521" i="1"/>
  <c r="K1521" i="1" s="1"/>
  <c r="J1522" i="1"/>
  <c r="K1522" i="1" s="1"/>
  <c r="J1523" i="1"/>
  <c r="K1523" i="1" s="1"/>
  <c r="J1524" i="1"/>
  <c r="J1525" i="1"/>
  <c r="K1525" i="1" s="1"/>
  <c r="J1526" i="1"/>
  <c r="K1526" i="1" s="1"/>
  <c r="J1527" i="1"/>
  <c r="K1527" i="1" s="1"/>
  <c r="J1528" i="1"/>
  <c r="J1529" i="1"/>
  <c r="K1529" i="1" s="1"/>
  <c r="J1530" i="1"/>
  <c r="K1530" i="1" s="1"/>
  <c r="J1531" i="1"/>
  <c r="K1531" i="1" s="1"/>
  <c r="J1532" i="1"/>
  <c r="J1533" i="1"/>
  <c r="K1533" i="1" s="1"/>
  <c r="J1534" i="1"/>
  <c r="K1534" i="1" s="1"/>
  <c r="J1535" i="1"/>
  <c r="K1535" i="1" s="1"/>
  <c r="J1536" i="1"/>
  <c r="J1537" i="1"/>
  <c r="K1537" i="1" s="1"/>
  <c r="J1538" i="1"/>
  <c r="K1538" i="1" s="1"/>
  <c r="J1539" i="1"/>
  <c r="K1539" i="1" s="1"/>
  <c r="J1540" i="1"/>
  <c r="J1541" i="1"/>
  <c r="K1541" i="1" s="1"/>
  <c r="J1542" i="1"/>
  <c r="K1542" i="1" s="1"/>
  <c r="J1543" i="1"/>
  <c r="K1543" i="1" s="1"/>
  <c r="J1544" i="1"/>
  <c r="J1545" i="1"/>
  <c r="K1545" i="1" s="1"/>
  <c r="J1546" i="1"/>
  <c r="K1546" i="1" s="1"/>
  <c r="J1547" i="1"/>
  <c r="K1547" i="1" s="1"/>
  <c r="J1548" i="1"/>
  <c r="J1549" i="1"/>
  <c r="K1549" i="1" s="1"/>
  <c r="J1550" i="1"/>
  <c r="K1550" i="1" s="1"/>
  <c r="J1551" i="1"/>
  <c r="K1551" i="1" s="1"/>
  <c r="J1552" i="1"/>
  <c r="J1553" i="1"/>
  <c r="K1553" i="1" s="1"/>
  <c r="J1554" i="1"/>
  <c r="K1554" i="1" s="1"/>
  <c r="J1555" i="1"/>
  <c r="K1555" i="1" s="1"/>
  <c r="J1556" i="1"/>
  <c r="J1557" i="1"/>
  <c r="K1557" i="1" s="1"/>
  <c r="J1558" i="1"/>
  <c r="K1558" i="1" s="1"/>
  <c r="J1559" i="1"/>
  <c r="K1559" i="1" s="1"/>
  <c r="J1560" i="1"/>
  <c r="J1561" i="1"/>
  <c r="K1561" i="1" s="1"/>
  <c r="J1562" i="1"/>
  <c r="K1562" i="1" s="1"/>
  <c r="J1563" i="1"/>
  <c r="K1563" i="1" s="1"/>
  <c r="J1564" i="1"/>
  <c r="J1565" i="1"/>
  <c r="K1565" i="1" s="1"/>
  <c r="J1566" i="1"/>
  <c r="K1566" i="1" s="1"/>
  <c r="J1567" i="1"/>
  <c r="K1567" i="1" s="1"/>
  <c r="J1568" i="1"/>
  <c r="J1569" i="1"/>
  <c r="K1569" i="1" s="1"/>
  <c r="J1570" i="1"/>
  <c r="K1570" i="1" s="1"/>
  <c r="J1571" i="1"/>
  <c r="K1571" i="1" s="1"/>
  <c r="J1572" i="1"/>
  <c r="J1573" i="1"/>
  <c r="K1573" i="1" s="1"/>
  <c r="J1574" i="1"/>
  <c r="K1574" i="1" s="1"/>
  <c r="J1575" i="1"/>
  <c r="K1575" i="1" s="1"/>
  <c r="J1576" i="1"/>
  <c r="J1577" i="1"/>
  <c r="K1577" i="1" s="1"/>
  <c r="J1578" i="1"/>
  <c r="K1578" i="1" s="1"/>
  <c r="J1579" i="1"/>
  <c r="K1579" i="1" s="1"/>
  <c r="J1580" i="1"/>
  <c r="J1581" i="1"/>
  <c r="K1581" i="1" s="1"/>
  <c r="J1582" i="1"/>
  <c r="K1582" i="1" s="1"/>
  <c r="J1583" i="1"/>
  <c r="K1583" i="1" s="1"/>
  <c r="J1584" i="1"/>
  <c r="J1585" i="1"/>
  <c r="K1585" i="1" s="1"/>
  <c r="J1586" i="1"/>
  <c r="K1586" i="1" s="1"/>
  <c r="J1587" i="1"/>
  <c r="K1587" i="1" s="1"/>
  <c r="J1588" i="1"/>
  <c r="J1589" i="1"/>
  <c r="K1589" i="1" s="1"/>
  <c r="J1590" i="1"/>
  <c r="K1590" i="1" s="1"/>
  <c r="J1591" i="1"/>
  <c r="K1591" i="1" s="1"/>
  <c r="J1592" i="1"/>
  <c r="J1593" i="1"/>
  <c r="K1593" i="1" s="1"/>
  <c r="J1594" i="1"/>
  <c r="K1594" i="1" s="1"/>
  <c r="J1595" i="1"/>
  <c r="K1595" i="1" s="1"/>
  <c r="J1596" i="1"/>
  <c r="J1597" i="1"/>
  <c r="K1597" i="1" s="1"/>
  <c r="J1598" i="1"/>
  <c r="K1598" i="1" s="1"/>
  <c r="J1599" i="1"/>
  <c r="K1599" i="1" s="1"/>
  <c r="J1600" i="1"/>
  <c r="J1601" i="1"/>
  <c r="K1601" i="1" s="1"/>
  <c r="J1602" i="1"/>
  <c r="K1602" i="1" s="1"/>
  <c r="J1603" i="1"/>
  <c r="K1603" i="1" s="1"/>
  <c r="J1604" i="1"/>
  <c r="J1605" i="1"/>
  <c r="K1605" i="1" s="1"/>
  <c r="J1606" i="1"/>
  <c r="K1606" i="1" s="1"/>
  <c r="J1607" i="1"/>
  <c r="K1607" i="1" s="1"/>
  <c r="J1608" i="1"/>
  <c r="J1609" i="1"/>
  <c r="K1609" i="1" s="1"/>
  <c r="J1610" i="1"/>
  <c r="K1610" i="1" s="1"/>
  <c r="J1611" i="1"/>
  <c r="K1611" i="1" s="1"/>
  <c r="J1612" i="1"/>
  <c r="J1613" i="1"/>
  <c r="K1613" i="1" s="1"/>
  <c r="J1614" i="1"/>
  <c r="K1614" i="1" s="1"/>
  <c r="J1615" i="1"/>
  <c r="K1615" i="1" s="1"/>
  <c r="J1616" i="1"/>
  <c r="J1617" i="1"/>
  <c r="K1617" i="1" s="1"/>
  <c r="J1618" i="1"/>
  <c r="K1618" i="1" s="1"/>
  <c r="J1619" i="1"/>
  <c r="K1619" i="1" s="1"/>
  <c r="J1620" i="1"/>
  <c r="J1621" i="1"/>
  <c r="K1621" i="1" s="1"/>
  <c r="J1622" i="1"/>
  <c r="K1622" i="1" s="1"/>
  <c r="J1623" i="1"/>
  <c r="K1623" i="1" s="1"/>
  <c r="J1624" i="1"/>
  <c r="J1625" i="1"/>
  <c r="K1625" i="1" s="1"/>
  <c r="J1626" i="1"/>
  <c r="K1626" i="1" s="1"/>
  <c r="J1627" i="1"/>
  <c r="K1627" i="1" s="1"/>
  <c r="J1628" i="1"/>
  <c r="J1629" i="1"/>
  <c r="K1629" i="1" s="1"/>
  <c r="J1630" i="1"/>
  <c r="K1630" i="1" s="1"/>
  <c r="J1631" i="1"/>
  <c r="K1631" i="1" s="1"/>
  <c r="J1632" i="1"/>
  <c r="J1633" i="1"/>
  <c r="K1633" i="1" s="1"/>
  <c r="J1634" i="1"/>
  <c r="K1634" i="1" s="1"/>
  <c r="J1635" i="1"/>
  <c r="K1635" i="1" s="1"/>
  <c r="J1636" i="1"/>
  <c r="J1637" i="1"/>
  <c r="K1637" i="1" s="1"/>
  <c r="J1638" i="1"/>
  <c r="K1638" i="1" s="1"/>
  <c r="J1639" i="1"/>
  <c r="K1639" i="1" s="1"/>
  <c r="J1640" i="1"/>
  <c r="J1641" i="1"/>
  <c r="K1641" i="1" s="1"/>
  <c r="J1642" i="1"/>
  <c r="K1642" i="1" s="1"/>
  <c r="J1643" i="1"/>
  <c r="K1643" i="1" s="1"/>
  <c r="J1644" i="1"/>
  <c r="J1645" i="1"/>
  <c r="K1645" i="1" s="1"/>
  <c r="J1646" i="1"/>
  <c r="K1646" i="1" s="1"/>
  <c r="J1647" i="1"/>
  <c r="K1647" i="1" s="1"/>
  <c r="J1648" i="1"/>
  <c r="J1649" i="1"/>
  <c r="K1649" i="1" s="1"/>
  <c r="J1650" i="1"/>
  <c r="K1650" i="1" s="1"/>
  <c r="J1651" i="1"/>
  <c r="K1651" i="1" s="1"/>
  <c r="J1652" i="1"/>
  <c r="J1653" i="1"/>
  <c r="K1653" i="1" s="1"/>
  <c r="J1654" i="1"/>
  <c r="K1654" i="1" s="1"/>
  <c r="J1655" i="1"/>
  <c r="K1655" i="1" s="1"/>
  <c r="J1656" i="1"/>
  <c r="J1657" i="1"/>
  <c r="K1657" i="1" s="1"/>
  <c r="J1658" i="1"/>
  <c r="K1658" i="1" s="1"/>
  <c r="J1659" i="1"/>
  <c r="K1659" i="1" s="1"/>
  <c r="J1660" i="1"/>
  <c r="J1661" i="1"/>
  <c r="K1661" i="1" s="1"/>
  <c r="J1662" i="1"/>
  <c r="K1662" i="1" s="1"/>
  <c r="J1663" i="1"/>
  <c r="K1663" i="1" s="1"/>
  <c r="J1664" i="1"/>
  <c r="J1665" i="1"/>
  <c r="K1665" i="1" s="1"/>
  <c r="J1666" i="1"/>
  <c r="K1666" i="1" s="1"/>
  <c r="J1667" i="1"/>
  <c r="K1667" i="1" s="1"/>
  <c r="J1668" i="1"/>
  <c r="J1669" i="1"/>
  <c r="K1669" i="1" s="1"/>
  <c r="J1670" i="1"/>
  <c r="K1670" i="1" s="1"/>
  <c r="J1671" i="1"/>
  <c r="K1671" i="1" s="1"/>
  <c r="J1672" i="1"/>
  <c r="J1673" i="1"/>
  <c r="K1673" i="1" s="1"/>
  <c r="J1674" i="1"/>
  <c r="K1674" i="1" s="1"/>
  <c r="J1675" i="1"/>
  <c r="K1675" i="1" s="1"/>
  <c r="J1676" i="1"/>
  <c r="J1677" i="1"/>
  <c r="K1677" i="1" s="1"/>
  <c r="J1678" i="1"/>
  <c r="K1678" i="1" s="1"/>
  <c r="J1679" i="1"/>
  <c r="K1679" i="1" s="1"/>
  <c r="J1680" i="1"/>
  <c r="J1681" i="1"/>
  <c r="K1681" i="1" s="1"/>
  <c r="J1682" i="1"/>
  <c r="K1682" i="1" s="1"/>
  <c r="J1683" i="1"/>
  <c r="K1683" i="1" s="1"/>
  <c r="J1684" i="1"/>
  <c r="J1685" i="1"/>
  <c r="K1685" i="1" s="1"/>
  <c r="J1686" i="1"/>
  <c r="K1686" i="1" s="1"/>
  <c r="J1687" i="1"/>
  <c r="K1687" i="1" s="1"/>
  <c r="J1688" i="1"/>
  <c r="J1689" i="1"/>
  <c r="K1689" i="1" s="1"/>
  <c r="J1690" i="1"/>
  <c r="K1690" i="1" s="1"/>
  <c r="J1691" i="1"/>
  <c r="K1691" i="1" s="1"/>
  <c r="J1692" i="1"/>
  <c r="J1693" i="1"/>
  <c r="K1693" i="1" s="1"/>
  <c r="J1694" i="1"/>
  <c r="K1694" i="1" s="1"/>
  <c r="J1695" i="1"/>
  <c r="K1695" i="1" s="1"/>
  <c r="J1696" i="1"/>
  <c r="J1697" i="1"/>
  <c r="K1697" i="1" s="1"/>
  <c r="J1698" i="1"/>
  <c r="K1698" i="1" s="1"/>
  <c r="J1699" i="1"/>
  <c r="K1699" i="1" s="1"/>
  <c r="J1700" i="1"/>
  <c r="J1701" i="1"/>
  <c r="K1701" i="1" s="1"/>
  <c r="J1702" i="1"/>
  <c r="K1702" i="1" s="1"/>
  <c r="J1703" i="1"/>
  <c r="K1703" i="1" s="1"/>
  <c r="J1704" i="1"/>
  <c r="J1705" i="1"/>
  <c r="K1705" i="1" s="1"/>
  <c r="J1706" i="1"/>
  <c r="K1706" i="1" s="1"/>
  <c r="J1707" i="1"/>
  <c r="K1707" i="1" s="1"/>
  <c r="J1708" i="1"/>
  <c r="J1709" i="1"/>
  <c r="K1709" i="1" s="1"/>
  <c r="J1710" i="1"/>
  <c r="K1710" i="1" s="1"/>
  <c r="J1711" i="1"/>
  <c r="K1711" i="1" s="1"/>
  <c r="J1712" i="1"/>
  <c r="J1713" i="1"/>
  <c r="K1713" i="1" s="1"/>
  <c r="J1714" i="1"/>
  <c r="K1714" i="1" s="1"/>
  <c r="J1715" i="1"/>
  <c r="K1715" i="1" s="1"/>
  <c r="J1716" i="1"/>
  <c r="J1717" i="1"/>
  <c r="K1717" i="1" s="1"/>
  <c r="J1718" i="1"/>
  <c r="K1718" i="1" s="1"/>
  <c r="J1719" i="1"/>
  <c r="K1719" i="1" s="1"/>
  <c r="J1720" i="1"/>
  <c r="J1721" i="1"/>
  <c r="K1721" i="1" s="1"/>
  <c r="J1722" i="1"/>
  <c r="K1722" i="1" s="1"/>
  <c r="J1723" i="1"/>
  <c r="K1723" i="1" s="1"/>
  <c r="J1724" i="1"/>
  <c r="J1725" i="1"/>
  <c r="K1725" i="1" s="1"/>
  <c r="J1726" i="1"/>
  <c r="K1726" i="1" s="1"/>
  <c r="J1727" i="1"/>
  <c r="K1727" i="1" s="1"/>
  <c r="J1728" i="1"/>
  <c r="J1729" i="1"/>
  <c r="K1729" i="1" s="1"/>
  <c r="J1730" i="1"/>
  <c r="K1730" i="1" s="1"/>
  <c r="J1731" i="1"/>
  <c r="K1731" i="1" s="1"/>
  <c r="J1732" i="1"/>
  <c r="J1733" i="1"/>
  <c r="K1733" i="1" s="1"/>
  <c r="J1734" i="1"/>
  <c r="K1734" i="1" s="1"/>
  <c r="J1735" i="1"/>
  <c r="K1735" i="1" s="1"/>
  <c r="J1736" i="1"/>
  <c r="J1737" i="1"/>
  <c r="K1737" i="1" s="1"/>
  <c r="J1738" i="1"/>
  <c r="K1738" i="1" s="1"/>
  <c r="J1739" i="1"/>
  <c r="K1739" i="1" s="1"/>
  <c r="J1740" i="1"/>
  <c r="J1741" i="1"/>
  <c r="K1741" i="1" s="1"/>
  <c r="J1742" i="1"/>
  <c r="K1742" i="1" s="1"/>
  <c r="J1743" i="1"/>
  <c r="K1743" i="1" s="1"/>
  <c r="J1744" i="1"/>
  <c r="J1745" i="1"/>
  <c r="K1745" i="1" s="1"/>
  <c r="J1746" i="1"/>
  <c r="K1746" i="1" s="1"/>
  <c r="J1747" i="1"/>
  <c r="K1747" i="1" s="1"/>
  <c r="J1748" i="1"/>
  <c r="J1749" i="1"/>
  <c r="K1749" i="1" s="1"/>
  <c r="J1750" i="1"/>
  <c r="K1750" i="1" s="1"/>
  <c r="J1751" i="1"/>
  <c r="K1751" i="1" s="1"/>
  <c r="J1752" i="1"/>
  <c r="J1753" i="1"/>
  <c r="K1753" i="1" s="1"/>
  <c r="J1754" i="1"/>
  <c r="K1754" i="1" s="1"/>
  <c r="J1755" i="1"/>
  <c r="K1755" i="1" s="1"/>
  <c r="J1756" i="1"/>
  <c r="J1757" i="1"/>
  <c r="K1757" i="1" s="1"/>
  <c r="J1758" i="1"/>
  <c r="K1758" i="1" s="1"/>
  <c r="J1759" i="1"/>
  <c r="K1759" i="1" s="1"/>
  <c r="J1760" i="1"/>
  <c r="J1761" i="1"/>
  <c r="K1761" i="1" s="1"/>
  <c r="J1762" i="1"/>
  <c r="K1762" i="1" s="1"/>
  <c r="J1763" i="1"/>
  <c r="K1763" i="1" s="1"/>
  <c r="J1764" i="1"/>
  <c r="J1765" i="1"/>
  <c r="K1765" i="1" s="1"/>
  <c r="J1766" i="1"/>
  <c r="K1766" i="1" s="1"/>
  <c r="J1767" i="1"/>
  <c r="K1767" i="1" s="1"/>
  <c r="J1768" i="1"/>
  <c r="J1769" i="1"/>
  <c r="K1769" i="1" s="1"/>
  <c r="J1770" i="1"/>
  <c r="K1770" i="1" s="1"/>
  <c r="J1771" i="1"/>
  <c r="K1771" i="1" s="1"/>
  <c r="J1772" i="1"/>
  <c r="J1773" i="1"/>
  <c r="K1773" i="1" s="1"/>
  <c r="J1774" i="1"/>
  <c r="K1774" i="1" s="1"/>
  <c r="J1775" i="1"/>
  <c r="K1775" i="1" s="1"/>
  <c r="J1776" i="1"/>
  <c r="J1777" i="1"/>
  <c r="K1777" i="1" s="1"/>
  <c r="J1778" i="1"/>
  <c r="K1778" i="1" s="1"/>
  <c r="J1779" i="1"/>
  <c r="K1779" i="1" s="1"/>
  <c r="J1780" i="1"/>
  <c r="J1781" i="1"/>
  <c r="K1781" i="1" s="1"/>
  <c r="J1782" i="1"/>
  <c r="K1782" i="1" s="1"/>
  <c r="J1783" i="1"/>
  <c r="K1783" i="1" s="1"/>
  <c r="J1784" i="1"/>
  <c r="J1785" i="1"/>
  <c r="K1785" i="1" s="1"/>
  <c r="J1786" i="1"/>
  <c r="K1786" i="1" s="1"/>
  <c r="J1787" i="1"/>
  <c r="K1787" i="1" s="1"/>
  <c r="J1788" i="1"/>
  <c r="J1789" i="1"/>
  <c r="K1789" i="1" s="1"/>
  <c r="J1790" i="1"/>
  <c r="K1790" i="1" s="1"/>
  <c r="J1791" i="1"/>
  <c r="K1791" i="1" s="1"/>
  <c r="J1792" i="1"/>
  <c r="J1793" i="1"/>
  <c r="K1793" i="1" s="1"/>
  <c r="J1794" i="1"/>
  <c r="K1794" i="1" s="1"/>
  <c r="J1795" i="1"/>
  <c r="K1795" i="1" s="1"/>
  <c r="J1796" i="1"/>
  <c r="J1797" i="1"/>
  <c r="K1797" i="1" s="1"/>
  <c r="J1798" i="1"/>
  <c r="K1798" i="1" s="1"/>
  <c r="J1799" i="1"/>
  <c r="K1799" i="1" s="1"/>
  <c r="J1800" i="1"/>
  <c r="J1801" i="1"/>
  <c r="K1801" i="1" s="1"/>
  <c r="J1802" i="1"/>
  <c r="K1802" i="1" s="1"/>
  <c r="J1803" i="1"/>
  <c r="K1803" i="1" s="1"/>
  <c r="J1804" i="1"/>
  <c r="J1805" i="1"/>
  <c r="K1805" i="1" s="1"/>
  <c r="J1806" i="1"/>
  <c r="K1806" i="1" s="1"/>
  <c r="J1807" i="1"/>
  <c r="K1807" i="1" s="1"/>
  <c r="J1808" i="1"/>
  <c r="J1809" i="1"/>
  <c r="K1809" i="1" s="1"/>
  <c r="J1810" i="1"/>
  <c r="K1810" i="1" s="1"/>
  <c r="J1811" i="1"/>
  <c r="K1811" i="1" s="1"/>
  <c r="J1812" i="1"/>
  <c r="J1813" i="1"/>
  <c r="K1813" i="1" s="1"/>
  <c r="J1814" i="1"/>
  <c r="K1814" i="1" s="1"/>
  <c r="J1815" i="1"/>
  <c r="K1815" i="1" s="1"/>
  <c r="J1816" i="1"/>
  <c r="J1817" i="1"/>
  <c r="K1817" i="1" s="1"/>
  <c r="J1818" i="1"/>
  <c r="K1818" i="1" s="1"/>
  <c r="J1819" i="1"/>
  <c r="K1819" i="1" s="1"/>
  <c r="J1820" i="1"/>
  <c r="J1821" i="1"/>
  <c r="K1821" i="1" s="1"/>
  <c r="J1822" i="1"/>
  <c r="K1822" i="1" s="1"/>
  <c r="J1823" i="1"/>
  <c r="K1823" i="1" s="1"/>
  <c r="J1824" i="1"/>
  <c r="J1825" i="1"/>
  <c r="K1825" i="1" s="1"/>
  <c r="J1826" i="1"/>
  <c r="K1826" i="1" s="1"/>
  <c r="J1827" i="1"/>
  <c r="K1827" i="1" s="1"/>
  <c r="J1828" i="1"/>
  <c r="J1829" i="1"/>
  <c r="K1829" i="1" s="1"/>
  <c r="J1830" i="1"/>
  <c r="K1830" i="1" s="1"/>
  <c r="J1831" i="1"/>
  <c r="K1831" i="1" s="1"/>
  <c r="J1832" i="1"/>
  <c r="J1833" i="1"/>
  <c r="K1833" i="1" s="1"/>
  <c r="J1834" i="1"/>
  <c r="K1834" i="1" s="1"/>
  <c r="J1835" i="1"/>
  <c r="K1835" i="1" s="1"/>
  <c r="J1836" i="1"/>
  <c r="J1837" i="1"/>
  <c r="K1837" i="1" s="1"/>
  <c r="J1838" i="1"/>
  <c r="K1838" i="1" s="1"/>
  <c r="J1839" i="1"/>
  <c r="K1839" i="1" s="1"/>
  <c r="J1840" i="1"/>
  <c r="J1841" i="1"/>
  <c r="K1841" i="1" s="1"/>
  <c r="J1842" i="1"/>
  <c r="K1842" i="1" s="1"/>
  <c r="J1843" i="1"/>
  <c r="K1843" i="1" s="1"/>
  <c r="J1844" i="1"/>
  <c r="J1845" i="1"/>
  <c r="K1845" i="1" s="1"/>
  <c r="J1846" i="1"/>
  <c r="K1846" i="1" s="1"/>
  <c r="J1847" i="1"/>
  <c r="K1847" i="1" s="1"/>
  <c r="J1848" i="1"/>
  <c r="J1849" i="1"/>
  <c r="K1849" i="1" s="1"/>
  <c r="J1850" i="1"/>
  <c r="K1850" i="1" s="1"/>
  <c r="J1851" i="1"/>
  <c r="K1851" i="1" s="1"/>
  <c r="J1852" i="1"/>
  <c r="J1853" i="1"/>
  <c r="K1853" i="1" s="1"/>
  <c r="J1854" i="1"/>
  <c r="K1854" i="1" s="1"/>
  <c r="J1855" i="1"/>
  <c r="K1855" i="1" s="1"/>
  <c r="J1856" i="1"/>
  <c r="J1857" i="1"/>
  <c r="K1857" i="1" s="1"/>
  <c r="J1858" i="1"/>
  <c r="K1858" i="1" s="1"/>
  <c r="J1859" i="1"/>
  <c r="K1859" i="1" s="1"/>
  <c r="J1860" i="1"/>
  <c r="J1861" i="1"/>
  <c r="K1861" i="1" s="1"/>
  <c r="J1862" i="1"/>
  <c r="K1862" i="1" s="1"/>
  <c r="J1863" i="1"/>
  <c r="K1863" i="1" s="1"/>
  <c r="J1864" i="1"/>
  <c r="J1865" i="1"/>
  <c r="K1865" i="1" s="1"/>
  <c r="J1866" i="1"/>
  <c r="K1866" i="1" s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117" i="1"/>
  <c r="I1118" i="1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I1115" i="1"/>
  <c r="I1116" i="1"/>
  <c r="P21" i="4" l="1"/>
  <c r="X21" i="4"/>
  <c r="X23" i="4"/>
  <c r="P23" i="4"/>
  <c r="AB23" i="4"/>
  <c r="K1118" i="1"/>
  <c r="K1046" i="1"/>
  <c r="K926" i="1"/>
  <c r="K802" i="1"/>
  <c r="K1860" i="1"/>
  <c r="K1852" i="1"/>
  <c r="K1844" i="1"/>
  <c r="K1840" i="1"/>
  <c r="K1832" i="1"/>
  <c r="K1824" i="1"/>
  <c r="K1816" i="1"/>
  <c r="K1808" i="1"/>
  <c r="K1800" i="1"/>
  <c r="K1796" i="1"/>
  <c r="K1788" i="1"/>
  <c r="K1780" i="1"/>
  <c r="K1772" i="1"/>
  <c r="K1764" i="1"/>
  <c r="K1756" i="1"/>
  <c r="K1752" i="1"/>
  <c r="K1744" i="1"/>
  <c r="K1736" i="1"/>
  <c r="K1728" i="1"/>
  <c r="K1720" i="1"/>
  <c r="K1712" i="1"/>
  <c r="K1704" i="1"/>
  <c r="K1692" i="1"/>
  <c r="K1684" i="1"/>
  <c r="K1676" i="1"/>
  <c r="K1668" i="1"/>
  <c r="K1660" i="1"/>
  <c r="K1652" i="1"/>
  <c r="K1648" i="1"/>
  <c r="K1640" i="1"/>
  <c r="K1632" i="1"/>
  <c r="K1624" i="1"/>
  <c r="K1616" i="1"/>
  <c r="K1608" i="1"/>
  <c r="K1600" i="1"/>
  <c r="K1592" i="1"/>
  <c r="K1584" i="1"/>
  <c r="K1576" i="1"/>
  <c r="K1572" i="1"/>
  <c r="K1564" i="1"/>
  <c r="K1552" i="1"/>
  <c r="K1544" i="1"/>
  <c r="K1536" i="1"/>
  <c r="K1528" i="1"/>
  <c r="K1524" i="1"/>
  <c r="K1512" i="1"/>
  <c r="K1508" i="1"/>
  <c r="K1500" i="1"/>
  <c r="K1492" i="1"/>
  <c r="K1480" i="1"/>
  <c r="K1472" i="1"/>
  <c r="K1468" i="1"/>
  <c r="K1460" i="1"/>
  <c r="K1452" i="1"/>
  <c r="K1448" i="1"/>
  <c r="K1440" i="1"/>
  <c r="K1432" i="1"/>
  <c r="K1424" i="1"/>
  <c r="K1416" i="1"/>
  <c r="K1408" i="1"/>
  <c r="K1404" i="1"/>
  <c r="K1400" i="1"/>
  <c r="K1396" i="1"/>
  <c r="K1392" i="1"/>
  <c r="K704" i="1"/>
  <c r="K1090" i="1"/>
  <c r="K958" i="1"/>
  <c r="K822" i="1"/>
  <c r="K1864" i="1"/>
  <c r="K1856" i="1"/>
  <c r="K1848" i="1"/>
  <c r="K1836" i="1"/>
  <c r="K1828" i="1"/>
  <c r="K1820" i="1"/>
  <c r="K1812" i="1"/>
  <c r="K1804" i="1"/>
  <c r="K1792" i="1"/>
  <c r="K1784" i="1"/>
  <c r="K1776" i="1"/>
  <c r="K1768" i="1"/>
  <c r="K1760" i="1"/>
  <c r="K1748" i="1"/>
  <c r="K1740" i="1"/>
  <c r="K1732" i="1"/>
  <c r="K1724" i="1"/>
  <c r="K1716" i="1"/>
  <c r="K1708" i="1"/>
  <c r="K1700" i="1"/>
  <c r="K1696" i="1"/>
  <c r="K1688" i="1"/>
  <c r="K1680" i="1"/>
  <c r="K1672" i="1"/>
  <c r="K1664" i="1"/>
  <c r="K1656" i="1"/>
  <c r="K1644" i="1"/>
  <c r="K1636" i="1"/>
  <c r="K1628" i="1"/>
  <c r="K1620" i="1"/>
  <c r="K1612" i="1"/>
  <c r="K1604" i="1"/>
  <c r="K1596" i="1"/>
  <c r="K1588" i="1"/>
  <c r="K1580" i="1"/>
  <c r="K1568" i="1"/>
  <c r="K1560" i="1"/>
  <c r="K1556" i="1"/>
  <c r="K1548" i="1"/>
  <c r="K1540" i="1"/>
  <c r="K1532" i="1"/>
  <c r="K1520" i="1"/>
  <c r="K1516" i="1"/>
  <c r="K1504" i="1"/>
  <c r="K1496" i="1"/>
  <c r="K1488" i="1"/>
  <c r="K1484" i="1"/>
  <c r="K1476" i="1"/>
  <c r="K1464" i="1"/>
  <c r="K1456" i="1"/>
  <c r="K1444" i="1"/>
  <c r="K1436" i="1"/>
  <c r="K1428" i="1"/>
  <c r="K1420" i="1"/>
  <c r="K1412" i="1"/>
  <c r="K1388" i="1"/>
  <c r="K1384" i="1"/>
  <c r="K1380" i="1"/>
  <c r="K1376" i="1"/>
  <c r="K1372" i="1"/>
  <c r="K1368" i="1"/>
  <c r="K1364" i="1"/>
  <c r="K1360" i="1"/>
  <c r="K1356" i="1"/>
  <c r="K1352" i="1"/>
  <c r="K1348" i="1"/>
  <c r="K1344" i="1"/>
  <c r="K1340" i="1"/>
  <c r="K1336" i="1"/>
  <c r="K1332" i="1"/>
  <c r="K1328" i="1"/>
  <c r="K1324" i="1"/>
  <c r="K1320" i="1"/>
  <c r="K1316" i="1"/>
  <c r="K1312" i="1"/>
  <c r="K1308" i="1"/>
  <c r="K1304" i="1"/>
  <c r="K1300" i="1"/>
  <c r="K1296" i="1"/>
  <c r="K1292" i="1"/>
  <c r="K1288" i="1"/>
  <c r="K1284" i="1"/>
  <c r="K1280" i="1"/>
  <c r="K1276" i="1"/>
  <c r="K1272" i="1"/>
  <c r="K1268" i="1"/>
  <c r="K1264" i="1"/>
  <c r="K1260" i="1"/>
  <c r="K1256" i="1"/>
  <c r="K1252" i="1"/>
  <c r="K1248" i="1"/>
  <c r="K1244" i="1"/>
  <c r="K1240" i="1"/>
  <c r="K1236" i="1"/>
  <c r="K1232" i="1"/>
  <c r="K1228" i="1"/>
  <c r="K1224" i="1"/>
  <c r="K1220" i="1"/>
  <c r="K1216" i="1"/>
  <c r="K1212" i="1"/>
  <c r="K1208" i="1"/>
  <c r="K1204" i="1"/>
  <c r="K1200" i="1"/>
  <c r="K1196" i="1"/>
  <c r="K1192" i="1"/>
  <c r="K1188" i="1"/>
  <c r="K1184" i="1"/>
  <c r="K1180" i="1"/>
  <c r="K1176" i="1"/>
  <c r="K1172" i="1"/>
  <c r="K1168" i="1"/>
  <c r="K1164" i="1"/>
  <c r="K1160" i="1"/>
  <c r="K1156" i="1"/>
  <c r="K1152" i="1"/>
  <c r="K1148" i="1"/>
  <c r="K1144" i="1"/>
  <c r="K1140" i="1"/>
  <c r="K1136" i="1"/>
  <c r="K1132" i="1"/>
  <c r="K1128" i="1"/>
  <c r="K1124" i="1"/>
  <c r="K1120" i="1"/>
  <c r="K1112" i="1"/>
  <c r="K1108" i="1"/>
  <c r="K1096" i="1"/>
  <c r="K1092" i="1"/>
  <c r="K1080" i="1"/>
  <c r="K1076" i="1"/>
  <c r="K1064" i="1"/>
  <c r="K1060" i="1"/>
  <c r="K1048" i="1"/>
  <c r="K1044" i="1"/>
  <c r="K1032" i="1"/>
  <c r="K1028" i="1"/>
  <c r="K1016" i="1"/>
  <c r="K1012" i="1"/>
  <c r="K1000" i="1"/>
  <c r="K996" i="1"/>
  <c r="K984" i="1"/>
  <c r="K980" i="1"/>
  <c r="K968" i="1"/>
  <c r="K964" i="1"/>
  <c r="K952" i="1"/>
  <c r="K948" i="1"/>
  <c r="K936" i="1"/>
  <c r="K932" i="1"/>
  <c r="K920" i="1"/>
  <c r="K916" i="1"/>
  <c r="K904" i="1"/>
  <c r="K900" i="1"/>
  <c r="K888" i="1"/>
  <c r="K884" i="1"/>
  <c r="K872" i="1"/>
  <c r="K868" i="1"/>
  <c r="K856" i="1"/>
  <c r="K852" i="1"/>
  <c r="K840" i="1"/>
  <c r="K836" i="1"/>
  <c r="K824" i="1"/>
  <c r="K820" i="1"/>
  <c r="K808" i="1"/>
  <c r="K804" i="1"/>
  <c r="K792" i="1"/>
  <c r="K788" i="1"/>
  <c r="K776" i="1"/>
  <c r="K772" i="1"/>
  <c r="K760" i="1"/>
  <c r="K756" i="1"/>
  <c r="K744" i="1"/>
  <c r="K740" i="1"/>
  <c r="K728" i="1"/>
  <c r="K724" i="1"/>
  <c r="K712" i="1"/>
  <c r="K708" i="1"/>
  <c r="K674" i="1"/>
  <c r="K610" i="1"/>
  <c r="K546" i="1"/>
  <c r="K498" i="1"/>
  <c r="K466" i="1"/>
  <c r="K434" i="1"/>
  <c r="K402" i="1"/>
  <c r="K370" i="1"/>
  <c r="K696" i="1"/>
  <c r="K692" i="1"/>
  <c r="K680" i="1"/>
  <c r="K676" i="1"/>
  <c r="K664" i="1"/>
  <c r="K660" i="1"/>
  <c r="K648" i="1"/>
  <c r="K644" i="1"/>
  <c r="K632" i="1"/>
  <c r="K628" i="1"/>
  <c r="K616" i="1"/>
  <c r="K612" i="1"/>
  <c r="K600" i="1"/>
  <c r="K596" i="1"/>
  <c r="K584" i="1"/>
  <c r="K580" i="1"/>
  <c r="K568" i="1"/>
  <c r="K564" i="1"/>
  <c r="K552" i="1"/>
  <c r="K548" i="1"/>
  <c r="K536" i="1"/>
  <c r="K532" i="1"/>
  <c r="K520" i="1"/>
  <c r="K516" i="1"/>
  <c r="K504" i="1"/>
  <c r="K500" i="1"/>
  <c r="K488" i="1"/>
  <c r="K484" i="1"/>
  <c r="K472" i="1"/>
  <c r="K468" i="1"/>
  <c r="K456" i="1"/>
  <c r="K452" i="1"/>
  <c r="K440" i="1"/>
  <c r="K436" i="1"/>
  <c r="K424" i="1"/>
  <c r="K420" i="1"/>
  <c r="K408" i="1"/>
  <c r="K404" i="1"/>
  <c r="K392" i="1"/>
  <c r="K388" i="1"/>
  <c r="K376" i="1"/>
  <c r="K372" i="1"/>
  <c r="K360" i="1"/>
  <c r="K326" i="1"/>
  <c r="K298" i="1"/>
  <c r="K294" i="1"/>
  <c r="K282" i="1"/>
  <c r="K278" i="1"/>
  <c r="K266" i="1"/>
  <c r="K262" i="1"/>
  <c r="K250" i="1"/>
  <c r="K246" i="1"/>
  <c r="K234" i="1"/>
  <c r="K230" i="1"/>
  <c r="K218" i="1"/>
  <c r="K214" i="1"/>
  <c r="K202" i="1"/>
  <c r="K198" i="1"/>
  <c r="K186" i="1"/>
  <c r="K182" i="1"/>
  <c r="K170" i="1"/>
  <c r="K166" i="1"/>
  <c r="K154" i="1"/>
  <c r="K150" i="1"/>
  <c r="K138" i="1"/>
  <c r="K134" i="1"/>
  <c r="K122" i="1"/>
  <c r="K118" i="1"/>
  <c r="K106" i="1"/>
  <c r="K102" i="1"/>
  <c r="K90" i="1"/>
  <c r="K86" i="1"/>
  <c r="K74" i="1"/>
  <c r="K70" i="1"/>
  <c r="K58" i="1"/>
  <c r="K54" i="1"/>
  <c r="K42" i="1"/>
  <c r="K38" i="1"/>
  <c r="K26" i="1"/>
  <c r="K22" i="1"/>
  <c r="K10" i="1"/>
  <c r="K6" i="1"/>
  <c r="K348" i="1"/>
  <c r="K340" i="1"/>
  <c r="K328" i="1"/>
  <c r="K324" i="1"/>
  <c r="K312" i="1"/>
  <c r="K308" i="1"/>
  <c r="AF17" i="4"/>
  <c r="AJ17" i="4" s="1"/>
  <c r="AF19" i="4"/>
  <c r="AJ19" i="4" s="1"/>
  <c r="AF10" i="4"/>
  <c r="AJ10" i="4" s="1"/>
  <c r="AF8" i="4"/>
  <c r="AJ8" i="4" s="1"/>
  <c r="AF6" i="4"/>
  <c r="AJ6" i="4" s="1"/>
  <c r="I304" i="1"/>
  <c r="K304" i="1" s="1"/>
  <c r="I303" i="1"/>
  <c r="I305" i="1"/>
  <c r="I306" i="1"/>
  <c r="K306" i="1" s="1"/>
  <c r="I307" i="1"/>
  <c r="I308" i="1"/>
  <c r="I309" i="1"/>
  <c r="I310" i="1"/>
  <c r="K310" i="1" s="1"/>
  <c r="I311" i="1"/>
  <c r="I312" i="1"/>
  <c r="I313" i="1"/>
  <c r="I314" i="1"/>
  <c r="K314" i="1" s="1"/>
  <c r="I315" i="1"/>
  <c r="I316" i="1"/>
  <c r="K316" i="1" s="1"/>
  <c r="I317" i="1"/>
  <c r="I318" i="1"/>
  <c r="K318" i="1" s="1"/>
  <c r="I319" i="1"/>
  <c r="I320" i="1"/>
  <c r="K320" i="1" s="1"/>
  <c r="I321" i="1"/>
  <c r="I322" i="1"/>
  <c r="K322" i="1" s="1"/>
  <c r="I323" i="1"/>
  <c r="I324" i="1"/>
  <c r="I325" i="1"/>
  <c r="I326" i="1"/>
  <c r="I327" i="1"/>
  <c r="I328" i="1"/>
  <c r="I329" i="1"/>
  <c r="I330" i="1"/>
  <c r="K330" i="1" s="1"/>
  <c r="I331" i="1"/>
  <c r="I332" i="1"/>
  <c r="K332" i="1" s="1"/>
  <c r="I333" i="1"/>
  <c r="I334" i="1"/>
  <c r="K334" i="1" s="1"/>
  <c r="I335" i="1"/>
  <c r="I336" i="1"/>
  <c r="K336" i="1" s="1"/>
  <c r="I337" i="1"/>
  <c r="I338" i="1"/>
  <c r="K338" i="1" s="1"/>
  <c r="I339" i="1"/>
  <c r="I340" i="1"/>
  <c r="I341" i="1"/>
  <c r="I342" i="1"/>
  <c r="K342" i="1" s="1"/>
  <c r="I343" i="1"/>
  <c r="I344" i="1"/>
  <c r="K344" i="1" s="1"/>
  <c r="I345" i="1"/>
  <c r="I346" i="1"/>
  <c r="K346" i="1" s="1"/>
  <c r="I347" i="1"/>
  <c r="I348" i="1"/>
  <c r="I349" i="1"/>
  <c r="I350" i="1"/>
  <c r="K350" i="1" s="1"/>
  <c r="I351" i="1"/>
  <c r="I352" i="1"/>
  <c r="K352" i="1" s="1"/>
  <c r="I353" i="1"/>
  <c r="I354" i="1"/>
  <c r="K354" i="1" s="1"/>
  <c r="I355" i="1"/>
  <c r="I356" i="1"/>
  <c r="K356" i="1" s="1"/>
  <c r="I357" i="1"/>
  <c r="I358" i="1"/>
  <c r="K358" i="1" s="1"/>
  <c r="I359" i="1"/>
  <c r="I360" i="1"/>
  <c r="I361" i="1"/>
  <c r="I362" i="1"/>
  <c r="K362" i="1" s="1"/>
  <c r="I363" i="1"/>
  <c r="I364" i="1"/>
  <c r="K364" i="1" s="1"/>
  <c r="I365" i="1"/>
  <c r="I366" i="1"/>
  <c r="K366" i="1" s="1"/>
  <c r="I367" i="1"/>
  <c r="I368" i="1"/>
  <c r="K368" i="1" s="1"/>
  <c r="I369" i="1"/>
  <c r="I370" i="1"/>
  <c r="I371" i="1"/>
  <c r="I372" i="1"/>
  <c r="I373" i="1"/>
  <c r="I374" i="1"/>
  <c r="K374" i="1" s="1"/>
  <c r="I375" i="1"/>
  <c r="I376" i="1"/>
  <c r="I377" i="1"/>
  <c r="I378" i="1"/>
  <c r="K378" i="1" s="1"/>
  <c r="I379" i="1"/>
  <c r="I380" i="1"/>
  <c r="K380" i="1" s="1"/>
  <c r="I381" i="1"/>
  <c r="I382" i="1"/>
  <c r="K382" i="1" s="1"/>
  <c r="I383" i="1"/>
  <c r="I384" i="1"/>
  <c r="K384" i="1" s="1"/>
  <c r="I385" i="1"/>
  <c r="I386" i="1"/>
  <c r="K386" i="1" s="1"/>
  <c r="I387" i="1"/>
  <c r="I388" i="1"/>
  <c r="I389" i="1"/>
  <c r="I390" i="1"/>
  <c r="K390" i="1" s="1"/>
  <c r="I391" i="1"/>
  <c r="I392" i="1"/>
  <c r="I393" i="1"/>
  <c r="I394" i="1"/>
  <c r="K394" i="1" s="1"/>
  <c r="I395" i="1"/>
  <c r="I396" i="1"/>
  <c r="K396" i="1" s="1"/>
  <c r="I397" i="1"/>
  <c r="I398" i="1"/>
  <c r="K398" i="1" s="1"/>
  <c r="I399" i="1"/>
  <c r="I400" i="1"/>
  <c r="K400" i="1" s="1"/>
  <c r="I401" i="1"/>
  <c r="I402" i="1"/>
  <c r="I403" i="1"/>
  <c r="I404" i="1"/>
  <c r="I405" i="1"/>
  <c r="I406" i="1"/>
  <c r="K406" i="1" s="1"/>
  <c r="I407" i="1"/>
  <c r="I408" i="1"/>
  <c r="I409" i="1"/>
  <c r="I410" i="1"/>
  <c r="K410" i="1" s="1"/>
  <c r="I411" i="1"/>
  <c r="I412" i="1"/>
  <c r="K412" i="1" s="1"/>
  <c r="I413" i="1"/>
  <c r="I414" i="1"/>
  <c r="K414" i="1" s="1"/>
  <c r="I415" i="1"/>
  <c r="I416" i="1"/>
  <c r="K416" i="1" s="1"/>
  <c r="I417" i="1"/>
  <c r="I418" i="1"/>
  <c r="K418" i="1" s="1"/>
  <c r="I419" i="1"/>
  <c r="I420" i="1"/>
  <c r="I421" i="1"/>
  <c r="I422" i="1"/>
  <c r="K422" i="1" s="1"/>
  <c r="I423" i="1"/>
  <c r="I424" i="1"/>
  <c r="I425" i="1"/>
  <c r="I426" i="1"/>
  <c r="K426" i="1" s="1"/>
  <c r="I427" i="1"/>
  <c r="I428" i="1"/>
  <c r="K428" i="1" s="1"/>
  <c r="I429" i="1"/>
  <c r="I430" i="1"/>
  <c r="K430" i="1" s="1"/>
  <c r="I431" i="1"/>
  <c r="I432" i="1"/>
  <c r="K432" i="1" s="1"/>
  <c r="I433" i="1"/>
  <c r="I434" i="1"/>
  <c r="I435" i="1"/>
  <c r="I436" i="1"/>
  <c r="I437" i="1"/>
  <c r="I438" i="1"/>
  <c r="K438" i="1" s="1"/>
  <c r="I439" i="1"/>
  <c r="I440" i="1"/>
  <c r="I441" i="1"/>
  <c r="I442" i="1"/>
  <c r="K442" i="1" s="1"/>
  <c r="I443" i="1"/>
  <c r="I444" i="1"/>
  <c r="K444" i="1" s="1"/>
  <c r="I445" i="1"/>
  <c r="I446" i="1"/>
  <c r="K446" i="1" s="1"/>
  <c r="I447" i="1"/>
  <c r="I448" i="1"/>
  <c r="K448" i="1" s="1"/>
  <c r="I449" i="1"/>
  <c r="I450" i="1"/>
  <c r="K450" i="1" s="1"/>
  <c r="I451" i="1"/>
  <c r="I452" i="1"/>
  <c r="I453" i="1"/>
  <c r="I454" i="1"/>
  <c r="K454" i="1" s="1"/>
  <c r="I455" i="1"/>
  <c r="I456" i="1"/>
  <c r="I457" i="1"/>
  <c r="I458" i="1"/>
  <c r="K458" i="1" s="1"/>
  <c r="I459" i="1"/>
  <c r="I460" i="1"/>
  <c r="K460" i="1" s="1"/>
  <c r="I461" i="1"/>
  <c r="I462" i="1"/>
  <c r="K462" i="1" s="1"/>
  <c r="I463" i="1"/>
  <c r="I464" i="1"/>
  <c r="K464" i="1" s="1"/>
  <c r="I465" i="1"/>
  <c r="I466" i="1"/>
  <c r="I467" i="1"/>
  <c r="I468" i="1"/>
  <c r="I469" i="1"/>
  <c r="I470" i="1"/>
  <c r="K470" i="1" s="1"/>
  <c r="I471" i="1"/>
  <c r="I472" i="1"/>
  <c r="I473" i="1"/>
  <c r="I474" i="1"/>
  <c r="K474" i="1" s="1"/>
  <c r="I475" i="1"/>
  <c r="I476" i="1"/>
  <c r="K476" i="1" s="1"/>
  <c r="I477" i="1"/>
  <c r="I478" i="1"/>
  <c r="K478" i="1" s="1"/>
  <c r="I479" i="1"/>
  <c r="I480" i="1"/>
  <c r="K480" i="1" s="1"/>
  <c r="I481" i="1"/>
  <c r="I482" i="1"/>
  <c r="K482" i="1" s="1"/>
  <c r="I483" i="1"/>
  <c r="I484" i="1"/>
  <c r="I485" i="1"/>
  <c r="I486" i="1"/>
  <c r="K486" i="1" s="1"/>
  <c r="I487" i="1"/>
  <c r="I488" i="1"/>
  <c r="I489" i="1"/>
  <c r="I490" i="1"/>
  <c r="K490" i="1" s="1"/>
  <c r="I491" i="1"/>
  <c r="I492" i="1"/>
  <c r="K492" i="1" s="1"/>
  <c r="I493" i="1"/>
  <c r="I494" i="1"/>
  <c r="K494" i="1" s="1"/>
  <c r="I495" i="1"/>
  <c r="I496" i="1"/>
  <c r="K496" i="1" s="1"/>
  <c r="I497" i="1"/>
  <c r="I498" i="1"/>
  <c r="I499" i="1"/>
  <c r="I500" i="1"/>
  <c r="I501" i="1"/>
  <c r="I502" i="1"/>
  <c r="K502" i="1" s="1"/>
  <c r="I503" i="1"/>
  <c r="I504" i="1"/>
  <c r="I505" i="1"/>
  <c r="I506" i="1"/>
  <c r="K506" i="1" s="1"/>
  <c r="I507" i="1"/>
  <c r="I508" i="1"/>
  <c r="K508" i="1" s="1"/>
  <c r="I509" i="1"/>
  <c r="I510" i="1"/>
  <c r="K510" i="1" s="1"/>
  <c r="I511" i="1"/>
  <c r="I512" i="1"/>
  <c r="K512" i="1" s="1"/>
  <c r="I513" i="1"/>
  <c r="I514" i="1"/>
  <c r="K514" i="1" s="1"/>
  <c r="I515" i="1"/>
  <c r="I516" i="1"/>
  <c r="I517" i="1"/>
  <c r="I518" i="1"/>
  <c r="K518" i="1" s="1"/>
  <c r="I519" i="1"/>
  <c r="I520" i="1"/>
  <c r="I521" i="1"/>
  <c r="I522" i="1"/>
  <c r="K522" i="1" s="1"/>
  <c r="I523" i="1"/>
  <c r="I524" i="1"/>
  <c r="K524" i="1" s="1"/>
  <c r="I525" i="1"/>
  <c r="I526" i="1"/>
  <c r="K526" i="1" s="1"/>
  <c r="I527" i="1"/>
  <c r="I528" i="1"/>
  <c r="K528" i="1" s="1"/>
  <c r="I529" i="1"/>
  <c r="I530" i="1"/>
  <c r="K530" i="1" s="1"/>
  <c r="I531" i="1"/>
  <c r="I532" i="1"/>
  <c r="I533" i="1"/>
  <c r="I534" i="1"/>
  <c r="K534" i="1" s="1"/>
  <c r="I535" i="1"/>
  <c r="I536" i="1"/>
  <c r="I537" i="1"/>
  <c r="I538" i="1"/>
  <c r="K538" i="1" s="1"/>
  <c r="I539" i="1"/>
  <c r="I540" i="1"/>
  <c r="K540" i="1" s="1"/>
  <c r="I541" i="1"/>
  <c r="I542" i="1"/>
  <c r="K542" i="1" s="1"/>
  <c r="I543" i="1"/>
  <c r="I544" i="1"/>
  <c r="K544" i="1" s="1"/>
  <c r="I545" i="1"/>
  <c r="I546" i="1"/>
  <c r="I547" i="1"/>
  <c r="I548" i="1"/>
  <c r="I549" i="1"/>
  <c r="I550" i="1"/>
  <c r="K550" i="1" s="1"/>
  <c r="I551" i="1"/>
  <c r="I552" i="1"/>
  <c r="I553" i="1"/>
  <c r="I554" i="1"/>
  <c r="K554" i="1" s="1"/>
  <c r="I555" i="1"/>
  <c r="I556" i="1"/>
  <c r="K556" i="1" s="1"/>
  <c r="I557" i="1"/>
  <c r="I558" i="1"/>
  <c r="K558" i="1" s="1"/>
  <c r="I559" i="1"/>
  <c r="I560" i="1"/>
  <c r="K560" i="1" s="1"/>
  <c r="I561" i="1"/>
  <c r="I562" i="1"/>
  <c r="K562" i="1" s="1"/>
  <c r="I563" i="1"/>
  <c r="I564" i="1"/>
  <c r="I565" i="1"/>
  <c r="I566" i="1"/>
  <c r="K566" i="1" s="1"/>
  <c r="I567" i="1"/>
  <c r="I568" i="1"/>
  <c r="I569" i="1"/>
  <c r="I570" i="1"/>
  <c r="K570" i="1" s="1"/>
  <c r="I571" i="1"/>
  <c r="I572" i="1"/>
  <c r="K572" i="1" s="1"/>
  <c r="I573" i="1"/>
  <c r="I574" i="1"/>
  <c r="K574" i="1" s="1"/>
  <c r="I575" i="1"/>
  <c r="I576" i="1"/>
  <c r="K576" i="1" s="1"/>
  <c r="I577" i="1"/>
  <c r="I578" i="1"/>
  <c r="K578" i="1" s="1"/>
  <c r="I579" i="1"/>
  <c r="I580" i="1"/>
  <c r="I581" i="1"/>
  <c r="I582" i="1"/>
  <c r="K582" i="1" s="1"/>
  <c r="I583" i="1"/>
  <c r="I584" i="1"/>
  <c r="I585" i="1"/>
  <c r="I586" i="1"/>
  <c r="K586" i="1" s="1"/>
  <c r="I587" i="1"/>
  <c r="I588" i="1"/>
  <c r="K588" i="1" s="1"/>
  <c r="I589" i="1"/>
  <c r="I590" i="1"/>
  <c r="K590" i="1" s="1"/>
  <c r="I591" i="1"/>
  <c r="I592" i="1"/>
  <c r="K592" i="1" s="1"/>
  <c r="I593" i="1"/>
  <c r="I594" i="1"/>
  <c r="K594" i="1" s="1"/>
  <c r="I595" i="1"/>
  <c r="I596" i="1"/>
  <c r="I597" i="1"/>
  <c r="I598" i="1"/>
  <c r="K598" i="1" s="1"/>
  <c r="I599" i="1"/>
  <c r="I600" i="1"/>
  <c r="I601" i="1"/>
  <c r="I602" i="1"/>
  <c r="K602" i="1" s="1"/>
  <c r="I603" i="1"/>
  <c r="I604" i="1"/>
  <c r="K604" i="1" s="1"/>
  <c r="I605" i="1"/>
  <c r="I606" i="1"/>
  <c r="K606" i="1" s="1"/>
  <c r="I607" i="1"/>
  <c r="I608" i="1"/>
  <c r="K608" i="1" s="1"/>
  <c r="I609" i="1"/>
  <c r="I610" i="1"/>
  <c r="I611" i="1"/>
  <c r="I612" i="1"/>
  <c r="I613" i="1"/>
  <c r="I614" i="1"/>
  <c r="K614" i="1" s="1"/>
  <c r="I615" i="1"/>
  <c r="I616" i="1"/>
  <c r="I617" i="1"/>
  <c r="I618" i="1"/>
  <c r="K618" i="1" s="1"/>
  <c r="I619" i="1"/>
  <c r="I620" i="1"/>
  <c r="K620" i="1" s="1"/>
  <c r="I621" i="1"/>
  <c r="I622" i="1"/>
  <c r="K622" i="1" s="1"/>
  <c r="I623" i="1"/>
  <c r="I624" i="1"/>
  <c r="K624" i="1" s="1"/>
  <c r="I625" i="1"/>
  <c r="I626" i="1"/>
  <c r="K626" i="1" s="1"/>
  <c r="I627" i="1"/>
  <c r="I628" i="1"/>
  <c r="I629" i="1"/>
  <c r="I630" i="1"/>
  <c r="K630" i="1" s="1"/>
  <c r="I631" i="1"/>
  <c r="I632" i="1"/>
  <c r="I633" i="1"/>
  <c r="I634" i="1"/>
  <c r="K634" i="1" s="1"/>
  <c r="I635" i="1"/>
  <c r="I636" i="1"/>
  <c r="K636" i="1" s="1"/>
  <c r="I637" i="1"/>
  <c r="I638" i="1"/>
  <c r="K638" i="1" s="1"/>
  <c r="I639" i="1"/>
  <c r="I640" i="1"/>
  <c r="K640" i="1" s="1"/>
  <c r="I641" i="1"/>
  <c r="I642" i="1"/>
  <c r="K642" i="1" s="1"/>
  <c r="I643" i="1"/>
  <c r="I644" i="1"/>
  <c r="I645" i="1"/>
  <c r="I646" i="1"/>
  <c r="K646" i="1" s="1"/>
  <c r="I647" i="1"/>
  <c r="I648" i="1"/>
  <c r="I649" i="1"/>
  <c r="I650" i="1"/>
  <c r="K650" i="1" s="1"/>
  <c r="I651" i="1"/>
  <c r="I652" i="1"/>
  <c r="K652" i="1" s="1"/>
  <c r="I653" i="1"/>
  <c r="I654" i="1"/>
  <c r="K654" i="1" s="1"/>
  <c r="I655" i="1"/>
  <c r="I656" i="1"/>
  <c r="K656" i="1" s="1"/>
  <c r="I657" i="1"/>
  <c r="I658" i="1"/>
  <c r="K658" i="1" s="1"/>
  <c r="I659" i="1"/>
  <c r="I660" i="1"/>
  <c r="I661" i="1"/>
  <c r="I662" i="1"/>
  <c r="K662" i="1" s="1"/>
  <c r="I663" i="1"/>
  <c r="I664" i="1"/>
  <c r="I665" i="1"/>
  <c r="I666" i="1"/>
  <c r="K666" i="1" s="1"/>
  <c r="I667" i="1"/>
  <c r="I668" i="1"/>
  <c r="K668" i="1" s="1"/>
  <c r="I669" i="1"/>
  <c r="I670" i="1"/>
  <c r="K670" i="1" s="1"/>
  <c r="I671" i="1"/>
  <c r="I672" i="1"/>
  <c r="K672" i="1" s="1"/>
  <c r="I673" i="1"/>
  <c r="I674" i="1"/>
  <c r="I675" i="1"/>
  <c r="I676" i="1"/>
  <c r="I677" i="1"/>
  <c r="I678" i="1"/>
  <c r="K678" i="1" s="1"/>
  <c r="I679" i="1"/>
  <c r="I680" i="1"/>
  <c r="I681" i="1"/>
  <c r="I682" i="1"/>
  <c r="K682" i="1" s="1"/>
  <c r="I683" i="1"/>
  <c r="I684" i="1"/>
  <c r="K684" i="1" s="1"/>
  <c r="I685" i="1"/>
  <c r="I686" i="1"/>
  <c r="K686" i="1" s="1"/>
  <c r="I687" i="1"/>
  <c r="I688" i="1"/>
  <c r="K688" i="1" s="1"/>
  <c r="I689" i="1"/>
  <c r="I690" i="1"/>
  <c r="K690" i="1" s="1"/>
  <c r="I691" i="1"/>
  <c r="I692" i="1"/>
  <c r="I693" i="1"/>
  <c r="I694" i="1"/>
  <c r="K694" i="1" s="1"/>
  <c r="I695" i="1"/>
  <c r="I696" i="1"/>
  <c r="I697" i="1"/>
  <c r="I698" i="1"/>
  <c r="K698" i="1" s="1"/>
  <c r="I699" i="1"/>
  <c r="I700" i="1"/>
  <c r="K700" i="1" s="1"/>
  <c r="I701" i="1"/>
  <c r="I702" i="1"/>
  <c r="K702" i="1" s="1"/>
  <c r="I703" i="1"/>
  <c r="I704" i="1"/>
  <c r="I705" i="1"/>
  <c r="I706" i="1"/>
  <c r="K706" i="1" s="1"/>
  <c r="I707" i="1"/>
  <c r="I708" i="1"/>
  <c r="I709" i="1"/>
  <c r="I710" i="1"/>
  <c r="K710" i="1" s="1"/>
  <c r="I711" i="1"/>
  <c r="I712" i="1"/>
  <c r="I713" i="1"/>
  <c r="I714" i="1"/>
  <c r="K714" i="1" s="1"/>
  <c r="I715" i="1"/>
  <c r="I716" i="1"/>
  <c r="K716" i="1" s="1"/>
  <c r="I717" i="1"/>
  <c r="I718" i="1"/>
  <c r="K718" i="1" s="1"/>
  <c r="I719" i="1"/>
  <c r="I720" i="1"/>
  <c r="K720" i="1" s="1"/>
  <c r="I721" i="1"/>
  <c r="I722" i="1"/>
  <c r="K722" i="1" s="1"/>
  <c r="I723" i="1"/>
  <c r="I724" i="1"/>
  <c r="I725" i="1"/>
  <c r="I726" i="1"/>
  <c r="K726" i="1" s="1"/>
  <c r="I727" i="1"/>
  <c r="I728" i="1"/>
  <c r="I729" i="1"/>
  <c r="I730" i="1"/>
  <c r="K730" i="1" s="1"/>
  <c r="I731" i="1"/>
  <c r="I732" i="1"/>
  <c r="K732" i="1" s="1"/>
  <c r="I733" i="1"/>
  <c r="I734" i="1"/>
  <c r="K734" i="1" s="1"/>
  <c r="I735" i="1"/>
  <c r="I736" i="1"/>
  <c r="K736" i="1" s="1"/>
  <c r="I737" i="1"/>
  <c r="I738" i="1"/>
  <c r="K738" i="1" s="1"/>
  <c r="I739" i="1"/>
  <c r="I740" i="1"/>
  <c r="I741" i="1"/>
  <c r="I742" i="1"/>
  <c r="K742" i="1" s="1"/>
  <c r="I743" i="1"/>
  <c r="I744" i="1"/>
  <c r="I745" i="1"/>
  <c r="I746" i="1"/>
  <c r="K746" i="1" s="1"/>
  <c r="I747" i="1"/>
  <c r="I748" i="1"/>
  <c r="K748" i="1" s="1"/>
  <c r="I749" i="1"/>
  <c r="I750" i="1"/>
  <c r="K750" i="1" s="1"/>
  <c r="I751" i="1"/>
  <c r="I752" i="1"/>
  <c r="K752" i="1" s="1"/>
  <c r="I753" i="1"/>
  <c r="I754" i="1"/>
  <c r="K754" i="1" s="1"/>
  <c r="I755" i="1"/>
  <c r="I756" i="1"/>
  <c r="I757" i="1"/>
  <c r="I758" i="1"/>
  <c r="K758" i="1" s="1"/>
  <c r="I759" i="1"/>
  <c r="I760" i="1"/>
  <c r="I761" i="1"/>
  <c r="I762" i="1"/>
  <c r="K762" i="1" s="1"/>
  <c r="I763" i="1"/>
  <c r="I764" i="1"/>
  <c r="K764" i="1" s="1"/>
  <c r="I765" i="1"/>
  <c r="I766" i="1"/>
  <c r="K766" i="1" s="1"/>
  <c r="I767" i="1"/>
  <c r="I768" i="1"/>
  <c r="K768" i="1" s="1"/>
  <c r="I769" i="1"/>
  <c r="I770" i="1"/>
  <c r="K770" i="1" s="1"/>
  <c r="I771" i="1"/>
  <c r="I772" i="1"/>
  <c r="I773" i="1"/>
  <c r="I774" i="1"/>
  <c r="K774" i="1" s="1"/>
  <c r="I775" i="1"/>
  <c r="I776" i="1"/>
  <c r="I777" i="1"/>
  <c r="I778" i="1"/>
  <c r="K778" i="1" s="1"/>
  <c r="I779" i="1"/>
  <c r="I780" i="1"/>
  <c r="K780" i="1" s="1"/>
  <c r="I781" i="1"/>
  <c r="I782" i="1"/>
  <c r="K782" i="1" s="1"/>
  <c r="I783" i="1"/>
  <c r="I784" i="1"/>
  <c r="K784" i="1" s="1"/>
  <c r="I785" i="1"/>
  <c r="I786" i="1"/>
  <c r="K786" i="1" s="1"/>
  <c r="I787" i="1"/>
  <c r="I788" i="1"/>
  <c r="I789" i="1"/>
  <c r="I790" i="1"/>
  <c r="K790" i="1" s="1"/>
  <c r="I791" i="1"/>
  <c r="I792" i="1"/>
  <c r="I793" i="1"/>
  <c r="I794" i="1"/>
  <c r="K794" i="1" s="1"/>
  <c r="I795" i="1"/>
  <c r="I796" i="1"/>
  <c r="K796" i="1" s="1"/>
  <c r="I797" i="1"/>
  <c r="I798" i="1"/>
  <c r="K798" i="1" s="1"/>
  <c r="I799" i="1"/>
  <c r="I800" i="1"/>
  <c r="K800" i="1" s="1"/>
  <c r="I801" i="1"/>
  <c r="I802" i="1"/>
  <c r="I803" i="1"/>
  <c r="I804" i="1"/>
  <c r="I805" i="1"/>
  <c r="I806" i="1"/>
  <c r="K806" i="1" s="1"/>
  <c r="I807" i="1"/>
  <c r="I808" i="1"/>
  <c r="I809" i="1"/>
  <c r="I810" i="1"/>
  <c r="K810" i="1" s="1"/>
  <c r="I811" i="1"/>
  <c r="I812" i="1"/>
  <c r="K812" i="1" s="1"/>
  <c r="I813" i="1"/>
  <c r="I814" i="1"/>
  <c r="K814" i="1" s="1"/>
  <c r="I815" i="1"/>
  <c r="I816" i="1"/>
  <c r="K816" i="1" s="1"/>
  <c r="I817" i="1"/>
  <c r="I818" i="1"/>
  <c r="K818" i="1" s="1"/>
  <c r="I819" i="1"/>
  <c r="I820" i="1"/>
  <c r="I821" i="1"/>
  <c r="I822" i="1"/>
  <c r="I823" i="1"/>
  <c r="I824" i="1"/>
  <c r="I825" i="1"/>
  <c r="I826" i="1"/>
  <c r="K826" i="1" s="1"/>
  <c r="I827" i="1"/>
  <c r="I828" i="1"/>
  <c r="K828" i="1" s="1"/>
  <c r="I829" i="1"/>
  <c r="I830" i="1"/>
  <c r="K830" i="1" s="1"/>
  <c r="I831" i="1"/>
  <c r="I832" i="1"/>
  <c r="K832" i="1" s="1"/>
  <c r="I833" i="1"/>
  <c r="I834" i="1"/>
  <c r="K834" i="1" s="1"/>
  <c r="I835" i="1"/>
  <c r="I836" i="1"/>
  <c r="I837" i="1"/>
  <c r="I838" i="1"/>
  <c r="K838" i="1" s="1"/>
  <c r="I839" i="1"/>
  <c r="I840" i="1"/>
  <c r="I841" i="1"/>
  <c r="I842" i="1"/>
  <c r="K842" i="1" s="1"/>
  <c r="I843" i="1"/>
  <c r="I844" i="1"/>
  <c r="K844" i="1" s="1"/>
  <c r="I845" i="1"/>
  <c r="I846" i="1"/>
  <c r="K846" i="1" s="1"/>
  <c r="I847" i="1"/>
  <c r="I848" i="1"/>
  <c r="K848" i="1" s="1"/>
  <c r="I849" i="1"/>
  <c r="I850" i="1"/>
  <c r="K850" i="1" s="1"/>
  <c r="I851" i="1"/>
  <c r="I852" i="1"/>
  <c r="I853" i="1"/>
  <c r="I854" i="1"/>
  <c r="K854" i="1" s="1"/>
  <c r="I855" i="1"/>
  <c r="I856" i="1"/>
  <c r="I857" i="1"/>
  <c r="I858" i="1"/>
  <c r="K858" i="1" s="1"/>
  <c r="I859" i="1"/>
  <c r="I860" i="1"/>
  <c r="K860" i="1" s="1"/>
  <c r="I861" i="1"/>
  <c r="I862" i="1"/>
  <c r="K862" i="1" s="1"/>
  <c r="I863" i="1"/>
  <c r="I864" i="1"/>
  <c r="K864" i="1" s="1"/>
  <c r="I865" i="1"/>
  <c r="I866" i="1"/>
  <c r="K866" i="1" s="1"/>
  <c r="I867" i="1"/>
  <c r="I868" i="1"/>
  <c r="I869" i="1"/>
  <c r="I870" i="1"/>
  <c r="K870" i="1" s="1"/>
  <c r="I871" i="1"/>
  <c r="I872" i="1"/>
  <c r="I873" i="1"/>
  <c r="I874" i="1"/>
  <c r="K874" i="1" s="1"/>
  <c r="I875" i="1"/>
  <c r="I876" i="1"/>
  <c r="K876" i="1" s="1"/>
  <c r="I877" i="1"/>
  <c r="I878" i="1"/>
  <c r="K878" i="1" s="1"/>
  <c r="I879" i="1"/>
  <c r="I880" i="1"/>
  <c r="K880" i="1" s="1"/>
  <c r="I881" i="1"/>
  <c r="I882" i="1"/>
  <c r="K882" i="1" s="1"/>
  <c r="I883" i="1"/>
  <c r="I884" i="1"/>
  <c r="I885" i="1"/>
  <c r="I886" i="1"/>
  <c r="K886" i="1" s="1"/>
  <c r="I887" i="1"/>
  <c r="I888" i="1"/>
  <c r="I889" i="1"/>
  <c r="I890" i="1"/>
  <c r="K890" i="1" s="1"/>
  <c r="I891" i="1"/>
  <c r="I892" i="1"/>
  <c r="K892" i="1" s="1"/>
  <c r="I893" i="1"/>
  <c r="I894" i="1"/>
  <c r="K894" i="1" s="1"/>
  <c r="I895" i="1"/>
  <c r="I896" i="1"/>
  <c r="K896" i="1" s="1"/>
  <c r="I897" i="1"/>
  <c r="I898" i="1"/>
  <c r="K898" i="1" s="1"/>
  <c r="I899" i="1"/>
  <c r="I900" i="1"/>
  <c r="I901" i="1"/>
  <c r="I902" i="1"/>
  <c r="K902" i="1" s="1"/>
  <c r="I903" i="1"/>
  <c r="I904" i="1"/>
  <c r="I905" i="1"/>
  <c r="I906" i="1"/>
  <c r="K906" i="1" s="1"/>
  <c r="I907" i="1"/>
  <c r="I908" i="1"/>
  <c r="K908" i="1" s="1"/>
  <c r="I909" i="1"/>
  <c r="I910" i="1"/>
  <c r="K910" i="1" s="1"/>
  <c r="I911" i="1"/>
  <c r="I912" i="1"/>
  <c r="K912" i="1" s="1"/>
  <c r="I913" i="1"/>
  <c r="I914" i="1"/>
  <c r="K914" i="1" s="1"/>
  <c r="I915" i="1"/>
  <c r="I916" i="1"/>
  <c r="I917" i="1"/>
  <c r="I918" i="1"/>
  <c r="K918" i="1" s="1"/>
  <c r="I919" i="1"/>
  <c r="I920" i="1"/>
  <c r="I921" i="1"/>
  <c r="I922" i="1"/>
  <c r="K922" i="1" s="1"/>
  <c r="I923" i="1"/>
  <c r="I924" i="1"/>
  <c r="K924" i="1" s="1"/>
  <c r="I925" i="1"/>
  <c r="I926" i="1"/>
  <c r="I927" i="1"/>
  <c r="I928" i="1"/>
  <c r="K928" i="1" s="1"/>
  <c r="I929" i="1"/>
  <c r="I930" i="1"/>
  <c r="K930" i="1" s="1"/>
  <c r="I931" i="1"/>
  <c r="I932" i="1"/>
  <c r="I933" i="1"/>
  <c r="I934" i="1"/>
  <c r="K934" i="1" s="1"/>
  <c r="I935" i="1"/>
  <c r="I936" i="1"/>
  <c r="I937" i="1"/>
  <c r="I938" i="1"/>
  <c r="K938" i="1" s="1"/>
  <c r="I939" i="1"/>
  <c r="I940" i="1"/>
  <c r="K940" i="1" s="1"/>
  <c r="I941" i="1"/>
  <c r="I942" i="1"/>
  <c r="K942" i="1" s="1"/>
  <c r="I943" i="1"/>
  <c r="I944" i="1"/>
  <c r="K944" i="1" s="1"/>
  <c r="I945" i="1"/>
  <c r="I946" i="1"/>
  <c r="K946" i="1" s="1"/>
  <c r="I947" i="1"/>
  <c r="I948" i="1"/>
  <c r="I949" i="1"/>
  <c r="I950" i="1"/>
  <c r="K950" i="1" s="1"/>
  <c r="I951" i="1"/>
  <c r="I952" i="1"/>
  <c r="I953" i="1"/>
  <c r="I954" i="1"/>
  <c r="K954" i="1" s="1"/>
  <c r="I955" i="1"/>
  <c r="I956" i="1"/>
  <c r="K956" i="1" s="1"/>
  <c r="I957" i="1"/>
  <c r="I958" i="1"/>
  <c r="I959" i="1"/>
  <c r="I960" i="1"/>
  <c r="K960" i="1" s="1"/>
  <c r="I961" i="1"/>
  <c r="I962" i="1"/>
  <c r="K962" i="1" s="1"/>
  <c r="I963" i="1"/>
  <c r="I964" i="1"/>
  <c r="I965" i="1"/>
  <c r="I966" i="1"/>
  <c r="K966" i="1" s="1"/>
  <c r="I967" i="1"/>
  <c r="I968" i="1"/>
  <c r="I969" i="1"/>
  <c r="I970" i="1"/>
  <c r="K970" i="1" s="1"/>
  <c r="I971" i="1"/>
  <c r="I972" i="1"/>
  <c r="K972" i="1" s="1"/>
  <c r="I973" i="1"/>
  <c r="I974" i="1"/>
  <c r="K974" i="1" s="1"/>
  <c r="I975" i="1"/>
  <c r="I976" i="1"/>
  <c r="K976" i="1" s="1"/>
  <c r="I977" i="1"/>
  <c r="I978" i="1"/>
  <c r="K978" i="1" s="1"/>
  <c r="I979" i="1"/>
  <c r="I980" i="1"/>
  <c r="I981" i="1"/>
  <c r="I982" i="1"/>
  <c r="K982" i="1" s="1"/>
  <c r="I983" i="1"/>
  <c r="I984" i="1"/>
  <c r="I985" i="1"/>
  <c r="I986" i="1"/>
  <c r="K986" i="1" s="1"/>
  <c r="I987" i="1"/>
  <c r="I988" i="1"/>
  <c r="K988" i="1" s="1"/>
  <c r="I989" i="1"/>
  <c r="I990" i="1"/>
  <c r="K990" i="1" s="1"/>
  <c r="I991" i="1"/>
  <c r="I992" i="1"/>
  <c r="K992" i="1" s="1"/>
  <c r="I993" i="1"/>
  <c r="I994" i="1"/>
  <c r="K994" i="1" s="1"/>
  <c r="I995" i="1"/>
  <c r="I996" i="1"/>
  <c r="I997" i="1"/>
  <c r="I998" i="1"/>
  <c r="K998" i="1" s="1"/>
  <c r="I999" i="1"/>
  <c r="I1000" i="1"/>
  <c r="I1001" i="1"/>
  <c r="I1002" i="1"/>
  <c r="K1002" i="1" s="1"/>
  <c r="I1003" i="1"/>
  <c r="I1004" i="1"/>
  <c r="K1004" i="1" s="1"/>
  <c r="I1005" i="1"/>
  <c r="I1006" i="1"/>
  <c r="K1006" i="1" s="1"/>
  <c r="I1007" i="1"/>
  <c r="I1008" i="1"/>
  <c r="K1008" i="1" s="1"/>
  <c r="I1009" i="1"/>
  <c r="I1010" i="1"/>
  <c r="K1010" i="1" s="1"/>
  <c r="I1011" i="1"/>
  <c r="I1012" i="1"/>
  <c r="I1013" i="1"/>
  <c r="I1014" i="1"/>
  <c r="K1014" i="1" s="1"/>
  <c r="I1015" i="1"/>
  <c r="I1016" i="1"/>
  <c r="I1017" i="1"/>
  <c r="I1018" i="1"/>
  <c r="K1018" i="1" s="1"/>
  <c r="I1019" i="1"/>
  <c r="I1020" i="1"/>
  <c r="K1020" i="1" s="1"/>
  <c r="I1021" i="1"/>
  <c r="I1022" i="1"/>
  <c r="K1022" i="1" s="1"/>
  <c r="I1023" i="1"/>
  <c r="I1024" i="1"/>
  <c r="K1024" i="1" s="1"/>
  <c r="I1025" i="1"/>
  <c r="I1026" i="1"/>
  <c r="K1026" i="1" s="1"/>
  <c r="I1027" i="1"/>
  <c r="I1028" i="1"/>
  <c r="I1029" i="1"/>
  <c r="I1030" i="1"/>
  <c r="K1030" i="1" s="1"/>
  <c r="I1031" i="1"/>
  <c r="I1032" i="1"/>
  <c r="I1033" i="1"/>
  <c r="I1034" i="1"/>
  <c r="K1034" i="1" s="1"/>
  <c r="I1035" i="1"/>
  <c r="I1036" i="1"/>
  <c r="K1036" i="1" s="1"/>
  <c r="I1037" i="1"/>
  <c r="I1038" i="1"/>
  <c r="K1038" i="1" s="1"/>
  <c r="I1039" i="1"/>
  <c r="I1040" i="1"/>
  <c r="K1040" i="1" s="1"/>
  <c r="I1041" i="1"/>
  <c r="I1042" i="1"/>
  <c r="K1042" i="1" s="1"/>
  <c r="I1043" i="1"/>
  <c r="I1044" i="1"/>
  <c r="I1045" i="1"/>
  <c r="I1046" i="1"/>
  <c r="I1047" i="1"/>
  <c r="I1048" i="1"/>
  <c r="I1049" i="1"/>
  <c r="I1050" i="1"/>
  <c r="K1050" i="1" s="1"/>
  <c r="I1051" i="1"/>
  <c r="I1052" i="1"/>
  <c r="K1052" i="1" s="1"/>
  <c r="I1053" i="1"/>
  <c r="I1054" i="1"/>
  <c r="K1054" i="1" s="1"/>
  <c r="I1055" i="1"/>
  <c r="I1056" i="1"/>
  <c r="K1056" i="1" s="1"/>
  <c r="I1057" i="1"/>
  <c r="I1058" i="1"/>
  <c r="K1058" i="1" s="1"/>
  <c r="I1059" i="1"/>
  <c r="I1060" i="1"/>
  <c r="I1061" i="1"/>
  <c r="I1062" i="1"/>
  <c r="K1062" i="1" s="1"/>
  <c r="I1063" i="1"/>
  <c r="I1064" i="1"/>
  <c r="I1065" i="1"/>
  <c r="I1066" i="1"/>
  <c r="K1066" i="1" s="1"/>
  <c r="I1067" i="1"/>
  <c r="I1068" i="1"/>
  <c r="K1068" i="1" s="1"/>
  <c r="I1069" i="1"/>
  <c r="I1070" i="1"/>
  <c r="K1070" i="1" s="1"/>
  <c r="I1071" i="1"/>
  <c r="I1072" i="1"/>
  <c r="K1072" i="1" s="1"/>
  <c r="I1073" i="1"/>
  <c r="I1074" i="1"/>
  <c r="K1074" i="1" s="1"/>
  <c r="I1075" i="1"/>
  <c r="I1076" i="1"/>
  <c r="I1077" i="1"/>
  <c r="I1078" i="1"/>
  <c r="K1078" i="1" s="1"/>
  <c r="I1079" i="1"/>
  <c r="I1080" i="1"/>
  <c r="I1081" i="1"/>
  <c r="I1082" i="1"/>
  <c r="K1082" i="1" s="1"/>
  <c r="I1083" i="1"/>
  <c r="I1084" i="1"/>
  <c r="K1084" i="1" s="1"/>
  <c r="I1085" i="1"/>
  <c r="I1086" i="1"/>
  <c r="K1086" i="1" s="1"/>
  <c r="I1087" i="1"/>
  <c r="I1088" i="1"/>
  <c r="K1088" i="1" s="1"/>
  <c r="I1089" i="1"/>
  <c r="I1090" i="1"/>
  <c r="I1091" i="1"/>
  <c r="I1092" i="1"/>
  <c r="I1093" i="1"/>
  <c r="I1094" i="1"/>
  <c r="K1094" i="1" s="1"/>
  <c r="I1095" i="1"/>
  <c r="I1096" i="1"/>
  <c r="I1097" i="1"/>
  <c r="I1098" i="1"/>
  <c r="K1098" i="1" s="1"/>
  <c r="I1099" i="1"/>
  <c r="I1100" i="1"/>
  <c r="K1100" i="1" s="1"/>
  <c r="I1101" i="1"/>
  <c r="I1102" i="1"/>
  <c r="K1102" i="1" s="1"/>
  <c r="I1103" i="1"/>
  <c r="I1104" i="1"/>
  <c r="K1104" i="1" s="1"/>
  <c r="I1105" i="1"/>
  <c r="I1106" i="1"/>
  <c r="K1106" i="1" s="1"/>
  <c r="I1107" i="1"/>
  <c r="I1108" i="1"/>
  <c r="I1109" i="1"/>
  <c r="I1110" i="1"/>
  <c r="K1110" i="1" s="1"/>
  <c r="I1111" i="1"/>
  <c r="I1112" i="1"/>
  <c r="I1113" i="1"/>
  <c r="I1114" i="1"/>
  <c r="K1114" i="1" s="1"/>
  <c r="I4" i="1"/>
  <c r="K4" i="1" s="1"/>
  <c r="I5" i="1"/>
  <c r="I6" i="1"/>
  <c r="I7" i="1"/>
  <c r="I8" i="1"/>
  <c r="K8" i="1" s="1"/>
  <c r="I9" i="1"/>
  <c r="I10" i="1"/>
  <c r="I11" i="1"/>
  <c r="I12" i="1"/>
  <c r="K12" i="1" s="1"/>
  <c r="I13" i="1"/>
  <c r="I14" i="1"/>
  <c r="K14" i="1" s="1"/>
  <c r="I15" i="1"/>
  <c r="I16" i="1"/>
  <c r="K16" i="1" s="1"/>
  <c r="I17" i="1"/>
  <c r="I18" i="1"/>
  <c r="K18" i="1" s="1"/>
  <c r="I19" i="1"/>
  <c r="I20" i="1"/>
  <c r="K20" i="1" s="1"/>
  <c r="I21" i="1"/>
  <c r="I22" i="1"/>
  <c r="I23" i="1"/>
  <c r="I24" i="1"/>
  <c r="K24" i="1" s="1"/>
  <c r="I25" i="1"/>
  <c r="I26" i="1"/>
  <c r="I27" i="1"/>
  <c r="I28" i="1"/>
  <c r="K28" i="1" s="1"/>
  <c r="I29" i="1"/>
  <c r="I30" i="1"/>
  <c r="K30" i="1" s="1"/>
  <c r="I31" i="1"/>
  <c r="I32" i="1"/>
  <c r="K32" i="1" s="1"/>
  <c r="I33" i="1"/>
  <c r="I34" i="1"/>
  <c r="K34" i="1" s="1"/>
  <c r="I35" i="1"/>
  <c r="I36" i="1"/>
  <c r="K36" i="1" s="1"/>
  <c r="I37" i="1"/>
  <c r="I38" i="1"/>
  <c r="I39" i="1"/>
  <c r="I40" i="1"/>
  <c r="K40" i="1" s="1"/>
  <c r="I41" i="1"/>
  <c r="I42" i="1"/>
  <c r="I43" i="1"/>
  <c r="I44" i="1"/>
  <c r="K44" i="1" s="1"/>
  <c r="I45" i="1"/>
  <c r="I46" i="1"/>
  <c r="K46" i="1" s="1"/>
  <c r="I47" i="1"/>
  <c r="I48" i="1"/>
  <c r="K48" i="1" s="1"/>
  <c r="I49" i="1"/>
  <c r="I50" i="1"/>
  <c r="K50" i="1" s="1"/>
  <c r="I51" i="1"/>
  <c r="I52" i="1"/>
  <c r="K52" i="1" s="1"/>
  <c r="I53" i="1"/>
  <c r="I54" i="1"/>
  <c r="I55" i="1"/>
  <c r="I56" i="1"/>
  <c r="K56" i="1" s="1"/>
  <c r="I57" i="1"/>
  <c r="I58" i="1"/>
  <c r="I59" i="1"/>
  <c r="I60" i="1"/>
  <c r="K60" i="1" s="1"/>
  <c r="I61" i="1"/>
  <c r="I62" i="1"/>
  <c r="K62" i="1" s="1"/>
  <c r="I63" i="1"/>
  <c r="I64" i="1"/>
  <c r="K64" i="1" s="1"/>
  <c r="I65" i="1"/>
  <c r="I66" i="1"/>
  <c r="K66" i="1" s="1"/>
  <c r="I67" i="1"/>
  <c r="I68" i="1"/>
  <c r="K68" i="1" s="1"/>
  <c r="I69" i="1"/>
  <c r="I70" i="1"/>
  <c r="I71" i="1"/>
  <c r="I72" i="1"/>
  <c r="K72" i="1" s="1"/>
  <c r="I73" i="1"/>
  <c r="I74" i="1"/>
  <c r="I75" i="1"/>
  <c r="I76" i="1"/>
  <c r="K76" i="1" s="1"/>
  <c r="I77" i="1"/>
  <c r="I78" i="1"/>
  <c r="K78" i="1" s="1"/>
  <c r="I79" i="1"/>
  <c r="I80" i="1"/>
  <c r="K80" i="1" s="1"/>
  <c r="I81" i="1"/>
  <c r="I82" i="1"/>
  <c r="K82" i="1" s="1"/>
  <c r="I83" i="1"/>
  <c r="I84" i="1"/>
  <c r="K84" i="1" s="1"/>
  <c r="I85" i="1"/>
  <c r="I86" i="1"/>
  <c r="I87" i="1"/>
  <c r="I88" i="1"/>
  <c r="K88" i="1" s="1"/>
  <c r="I89" i="1"/>
  <c r="I90" i="1"/>
  <c r="I91" i="1"/>
  <c r="I92" i="1"/>
  <c r="K92" i="1" s="1"/>
  <c r="I93" i="1"/>
  <c r="I94" i="1"/>
  <c r="K94" i="1" s="1"/>
  <c r="I95" i="1"/>
  <c r="I96" i="1"/>
  <c r="K96" i="1" s="1"/>
  <c r="I97" i="1"/>
  <c r="I98" i="1"/>
  <c r="K98" i="1" s="1"/>
  <c r="I99" i="1"/>
  <c r="I100" i="1"/>
  <c r="K100" i="1" s="1"/>
  <c r="I101" i="1"/>
  <c r="I102" i="1"/>
  <c r="I103" i="1"/>
  <c r="I104" i="1"/>
  <c r="K104" i="1" s="1"/>
  <c r="I105" i="1"/>
  <c r="I106" i="1"/>
  <c r="I107" i="1"/>
  <c r="I108" i="1"/>
  <c r="K108" i="1" s="1"/>
  <c r="I109" i="1"/>
  <c r="I110" i="1"/>
  <c r="K110" i="1" s="1"/>
  <c r="I111" i="1"/>
  <c r="I112" i="1"/>
  <c r="K112" i="1" s="1"/>
  <c r="I113" i="1"/>
  <c r="I114" i="1"/>
  <c r="K114" i="1" s="1"/>
  <c r="I115" i="1"/>
  <c r="I116" i="1"/>
  <c r="K116" i="1" s="1"/>
  <c r="I117" i="1"/>
  <c r="I118" i="1"/>
  <c r="I119" i="1"/>
  <c r="I120" i="1"/>
  <c r="K120" i="1" s="1"/>
  <c r="I121" i="1"/>
  <c r="I122" i="1"/>
  <c r="I123" i="1"/>
  <c r="I124" i="1"/>
  <c r="K124" i="1" s="1"/>
  <c r="I125" i="1"/>
  <c r="I126" i="1"/>
  <c r="K126" i="1" s="1"/>
  <c r="I127" i="1"/>
  <c r="I128" i="1"/>
  <c r="K128" i="1" s="1"/>
  <c r="I129" i="1"/>
  <c r="I130" i="1"/>
  <c r="K130" i="1" s="1"/>
  <c r="I131" i="1"/>
  <c r="I132" i="1"/>
  <c r="K132" i="1" s="1"/>
  <c r="I133" i="1"/>
  <c r="I134" i="1"/>
  <c r="I135" i="1"/>
  <c r="I136" i="1"/>
  <c r="K136" i="1" s="1"/>
  <c r="I137" i="1"/>
  <c r="I138" i="1"/>
  <c r="I139" i="1"/>
  <c r="I140" i="1"/>
  <c r="K140" i="1" s="1"/>
  <c r="I141" i="1"/>
  <c r="I142" i="1"/>
  <c r="K142" i="1" s="1"/>
  <c r="I143" i="1"/>
  <c r="I144" i="1"/>
  <c r="K144" i="1" s="1"/>
  <c r="I145" i="1"/>
  <c r="I146" i="1"/>
  <c r="K146" i="1" s="1"/>
  <c r="I147" i="1"/>
  <c r="I148" i="1"/>
  <c r="K148" i="1" s="1"/>
  <c r="I149" i="1"/>
  <c r="I150" i="1"/>
  <c r="I151" i="1"/>
  <c r="I152" i="1"/>
  <c r="K152" i="1" s="1"/>
  <c r="I153" i="1"/>
  <c r="I154" i="1"/>
  <c r="I155" i="1"/>
  <c r="I156" i="1"/>
  <c r="K156" i="1" s="1"/>
  <c r="I157" i="1"/>
  <c r="I158" i="1"/>
  <c r="K158" i="1" s="1"/>
  <c r="I159" i="1"/>
  <c r="I160" i="1"/>
  <c r="K160" i="1" s="1"/>
  <c r="I161" i="1"/>
  <c r="I162" i="1"/>
  <c r="K162" i="1" s="1"/>
  <c r="I163" i="1"/>
  <c r="I164" i="1"/>
  <c r="K164" i="1" s="1"/>
  <c r="I165" i="1"/>
  <c r="I166" i="1"/>
  <c r="I167" i="1"/>
  <c r="I168" i="1"/>
  <c r="K168" i="1" s="1"/>
  <c r="I169" i="1"/>
  <c r="I170" i="1"/>
  <c r="I171" i="1"/>
  <c r="I172" i="1"/>
  <c r="K172" i="1" s="1"/>
  <c r="I173" i="1"/>
  <c r="I174" i="1"/>
  <c r="K174" i="1" s="1"/>
  <c r="I175" i="1"/>
  <c r="I176" i="1"/>
  <c r="K176" i="1" s="1"/>
  <c r="I177" i="1"/>
  <c r="I178" i="1"/>
  <c r="K178" i="1" s="1"/>
  <c r="I179" i="1"/>
  <c r="I180" i="1"/>
  <c r="K180" i="1" s="1"/>
  <c r="I181" i="1"/>
  <c r="I182" i="1"/>
  <c r="I183" i="1"/>
  <c r="I184" i="1"/>
  <c r="K184" i="1" s="1"/>
  <c r="I185" i="1"/>
  <c r="I186" i="1"/>
  <c r="I187" i="1"/>
  <c r="I188" i="1"/>
  <c r="K188" i="1" s="1"/>
  <c r="I189" i="1"/>
  <c r="I190" i="1"/>
  <c r="K190" i="1" s="1"/>
  <c r="I191" i="1"/>
  <c r="I192" i="1"/>
  <c r="K192" i="1" s="1"/>
  <c r="I193" i="1"/>
  <c r="I194" i="1"/>
  <c r="K194" i="1" s="1"/>
  <c r="I195" i="1"/>
  <c r="I196" i="1"/>
  <c r="K196" i="1" s="1"/>
  <c r="I197" i="1"/>
  <c r="I198" i="1"/>
  <c r="I199" i="1"/>
  <c r="I200" i="1"/>
  <c r="K200" i="1" s="1"/>
  <c r="I201" i="1"/>
  <c r="I202" i="1"/>
  <c r="I203" i="1"/>
  <c r="I204" i="1"/>
  <c r="K204" i="1" s="1"/>
  <c r="I205" i="1"/>
  <c r="I206" i="1"/>
  <c r="K206" i="1" s="1"/>
  <c r="I207" i="1"/>
  <c r="I208" i="1"/>
  <c r="K208" i="1" s="1"/>
  <c r="I209" i="1"/>
  <c r="I210" i="1"/>
  <c r="K210" i="1" s="1"/>
  <c r="I211" i="1"/>
  <c r="I212" i="1"/>
  <c r="K212" i="1" s="1"/>
  <c r="I213" i="1"/>
  <c r="I214" i="1"/>
  <c r="I215" i="1"/>
  <c r="I216" i="1"/>
  <c r="K216" i="1" s="1"/>
  <c r="I217" i="1"/>
  <c r="I218" i="1"/>
  <c r="I219" i="1"/>
  <c r="I220" i="1"/>
  <c r="K220" i="1" s="1"/>
  <c r="I221" i="1"/>
  <c r="I222" i="1"/>
  <c r="K222" i="1" s="1"/>
  <c r="I223" i="1"/>
  <c r="I224" i="1"/>
  <c r="K224" i="1" s="1"/>
  <c r="I225" i="1"/>
  <c r="I226" i="1"/>
  <c r="K226" i="1" s="1"/>
  <c r="I227" i="1"/>
  <c r="I228" i="1"/>
  <c r="K228" i="1" s="1"/>
  <c r="I229" i="1"/>
  <c r="I230" i="1"/>
  <c r="I231" i="1"/>
  <c r="I232" i="1"/>
  <c r="K232" i="1" s="1"/>
  <c r="I233" i="1"/>
  <c r="I234" i="1"/>
  <c r="I235" i="1"/>
  <c r="I236" i="1"/>
  <c r="K236" i="1" s="1"/>
  <c r="I237" i="1"/>
  <c r="I238" i="1"/>
  <c r="K238" i="1" s="1"/>
  <c r="I239" i="1"/>
  <c r="I240" i="1"/>
  <c r="K240" i="1" s="1"/>
  <c r="I241" i="1"/>
  <c r="I242" i="1"/>
  <c r="K242" i="1" s="1"/>
  <c r="I243" i="1"/>
  <c r="I244" i="1"/>
  <c r="K244" i="1" s="1"/>
  <c r="I245" i="1"/>
  <c r="I246" i="1"/>
  <c r="I247" i="1"/>
  <c r="I248" i="1"/>
  <c r="K248" i="1" s="1"/>
  <c r="I249" i="1"/>
  <c r="I250" i="1"/>
  <c r="I251" i="1"/>
  <c r="I252" i="1"/>
  <c r="K252" i="1" s="1"/>
  <c r="I253" i="1"/>
  <c r="I254" i="1"/>
  <c r="K254" i="1" s="1"/>
  <c r="I255" i="1"/>
  <c r="I256" i="1"/>
  <c r="K256" i="1" s="1"/>
  <c r="I257" i="1"/>
  <c r="I258" i="1"/>
  <c r="K258" i="1" s="1"/>
  <c r="I259" i="1"/>
  <c r="I260" i="1"/>
  <c r="K260" i="1" s="1"/>
  <c r="I261" i="1"/>
  <c r="I262" i="1"/>
  <c r="I263" i="1"/>
  <c r="I264" i="1"/>
  <c r="K264" i="1" s="1"/>
  <c r="I265" i="1"/>
  <c r="I266" i="1"/>
  <c r="I267" i="1"/>
  <c r="I268" i="1"/>
  <c r="K268" i="1" s="1"/>
  <c r="I269" i="1"/>
  <c r="I270" i="1"/>
  <c r="K270" i="1" s="1"/>
  <c r="I271" i="1"/>
  <c r="I272" i="1"/>
  <c r="K272" i="1" s="1"/>
  <c r="I273" i="1"/>
  <c r="I274" i="1"/>
  <c r="K274" i="1" s="1"/>
  <c r="I275" i="1"/>
  <c r="I276" i="1"/>
  <c r="K276" i="1" s="1"/>
  <c r="I277" i="1"/>
  <c r="I278" i="1"/>
  <c r="I279" i="1"/>
  <c r="I280" i="1"/>
  <c r="K280" i="1" s="1"/>
  <c r="I281" i="1"/>
  <c r="I282" i="1"/>
  <c r="I283" i="1"/>
  <c r="I284" i="1"/>
  <c r="K284" i="1" s="1"/>
  <c r="I285" i="1"/>
  <c r="I286" i="1"/>
  <c r="K286" i="1" s="1"/>
  <c r="I287" i="1"/>
  <c r="I288" i="1"/>
  <c r="K288" i="1" s="1"/>
  <c r="I289" i="1"/>
  <c r="I290" i="1"/>
  <c r="K290" i="1" s="1"/>
  <c r="I291" i="1"/>
  <c r="I292" i="1"/>
  <c r="K292" i="1" s="1"/>
  <c r="I293" i="1"/>
  <c r="I294" i="1"/>
  <c r="I295" i="1"/>
  <c r="I296" i="1"/>
  <c r="K296" i="1" s="1"/>
  <c r="I297" i="1"/>
  <c r="I298" i="1"/>
  <c r="I299" i="1"/>
  <c r="I300" i="1"/>
  <c r="K300" i="1" s="1"/>
  <c r="I301" i="1"/>
  <c r="I302" i="1"/>
  <c r="K302" i="1" s="1"/>
  <c r="I3" i="1"/>
  <c r="I2" i="1"/>
  <c r="K2" i="1" s="1"/>
  <c r="AF21" i="4" l="1"/>
  <c r="AJ21" i="4" s="1"/>
  <c r="AF23" i="4"/>
  <c r="AJ23" i="4" s="1"/>
  <c r="AN23" i="4" s="1"/>
  <c r="AO23" i="4" s="1"/>
  <c r="P1" i="1"/>
  <c r="AN19" i="4"/>
  <c r="AO19" i="4" s="1"/>
  <c r="AN17" i="4"/>
  <c r="AO17" i="4" s="1"/>
  <c r="AN10" i="4"/>
  <c r="AO10" i="4" s="1"/>
  <c r="AN8" i="4"/>
  <c r="AO8" i="4" s="1"/>
  <c r="AN6" i="4"/>
  <c r="AO6" i="4" s="1"/>
  <c r="AN21" i="4" l="1"/>
  <c r="AO21" i="4" s="1"/>
  <c r="BD21" i="4" s="1"/>
  <c r="AQ17" i="4"/>
  <c r="AQ19" i="4"/>
  <c r="AQ23" i="4"/>
  <c r="AQ6" i="4"/>
  <c r="BB10" i="4"/>
  <c r="CD10" i="4" s="1"/>
  <c r="AQ10" i="4"/>
  <c r="AQ8" i="4"/>
  <c r="BD19" i="4"/>
  <c r="BD23" i="4"/>
  <c r="BD17" i="4"/>
  <c r="BB19" i="4"/>
  <c r="CD19" i="4" s="1"/>
  <c r="BC19" i="4"/>
  <c r="BB23" i="4"/>
  <c r="CD23" i="4" s="1"/>
  <c r="BC23" i="4"/>
  <c r="BB17" i="4"/>
  <c r="CD17" i="4" s="1"/>
  <c r="BC17" i="4"/>
  <c r="AP19" i="4"/>
  <c r="AY4" i="4" s="1"/>
  <c r="AP23" i="4"/>
  <c r="BA4" i="4" s="1"/>
  <c r="AP17" i="4"/>
  <c r="AX4" i="4" s="1"/>
  <c r="BD8" i="4"/>
  <c r="BD6" i="4"/>
  <c r="BC6" i="4"/>
  <c r="BC8" i="4"/>
  <c r="AP6" i="4"/>
  <c r="AT4" i="4" s="1"/>
  <c r="BB6" i="4"/>
  <c r="CD6" i="4" s="1"/>
  <c r="AP8" i="4"/>
  <c r="AU4" i="4" s="1"/>
  <c r="BB8" i="4"/>
  <c r="CD8" i="4" s="1"/>
  <c r="P4" i="4"/>
  <c r="BC21" i="4" l="1"/>
  <c r="BE21" i="4" s="1"/>
  <c r="BB21" i="4"/>
  <c r="CD21" i="4" s="1"/>
  <c r="AP21" i="4"/>
  <c r="AZ4" i="4" s="1"/>
  <c r="EL29" i="4" s="1"/>
  <c r="AQ21" i="4"/>
  <c r="BC10" i="4"/>
  <c r="BE10" i="4" s="1"/>
  <c r="AP10" i="4"/>
  <c r="AV4" i="4" s="1"/>
  <c r="BD10" i="4"/>
  <c r="BE8" i="4" s="1"/>
  <c r="BV23" i="4"/>
  <c r="BZ23" i="4"/>
  <c r="BV19" i="4"/>
  <c r="BZ19" i="4"/>
  <c r="BV17" i="4"/>
  <c r="BZ17" i="4"/>
  <c r="BR21" i="4"/>
  <c r="BN23" i="4"/>
  <c r="BR23" i="4"/>
  <c r="BN19" i="4"/>
  <c r="BR19" i="4"/>
  <c r="BN17" i="4"/>
  <c r="BR17" i="4"/>
  <c r="BF23" i="4"/>
  <c r="BJ23" i="4"/>
  <c r="BF19" i="4"/>
  <c r="BJ19" i="4"/>
  <c r="BF17" i="4"/>
  <c r="BJ17" i="4"/>
  <c r="BV10" i="4"/>
  <c r="BZ10" i="4"/>
  <c r="BV6" i="4"/>
  <c r="BZ6" i="4"/>
  <c r="BV8" i="4"/>
  <c r="BZ8" i="4"/>
  <c r="BN10" i="4"/>
  <c r="BR10" i="4"/>
  <c r="BN6" i="4"/>
  <c r="BR6" i="4"/>
  <c r="BN8" i="4"/>
  <c r="BR8" i="4"/>
  <c r="BF8" i="4"/>
  <c r="BJ8" i="4"/>
  <c r="BF10" i="4"/>
  <c r="BJ10" i="4"/>
  <c r="BF6" i="4"/>
  <c r="BJ6" i="4"/>
  <c r="BE17" i="4"/>
  <c r="BE23" i="4"/>
  <c r="BE19" i="4"/>
  <c r="AF4" i="4"/>
  <c r="AJ4" i="4" s="1"/>
  <c r="BO23" i="4"/>
  <c r="BG6" i="4"/>
  <c r="BG23" i="4"/>
  <c r="CA23" i="4"/>
  <c r="BK10" i="4"/>
  <c r="CE19" i="4"/>
  <c r="BG19" i="4"/>
  <c r="BS23" i="4"/>
  <c r="BS21" i="4"/>
  <c r="CE21" i="4"/>
  <c r="BS8" i="4"/>
  <c r="CA17" i="4"/>
  <c r="BO8" i="4"/>
  <c r="BG10" i="4"/>
  <c r="CA10" i="4"/>
  <c r="CE8" i="4"/>
  <c r="BW23" i="4"/>
  <c r="BG8" i="4"/>
  <c r="BG17" i="4"/>
  <c r="BK23" i="4"/>
  <c r="BW10" i="4"/>
  <c r="BK17" i="4"/>
  <c r="CE10" i="4"/>
  <c r="BW19" i="4"/>
  <c r="BO17" i="4"/>
  <c r="BW17" i="4"/>
  <c r="CA8" i="4"/>
  <c r="CE23" i="4"/>
  <c r="BO19" i="4"/>
  <c r="BO10" i="4"/>
  <c r="BW8" i="4"/>
  <c r="CE17" i="4"/>
  <c r="BS17" i="4"/>
  <c r="BS10" i="4"/>
  <c r="BS19" i="4"/>
  <c r="BK8" i="4"/>
  <c r="CA19" i="4"/>
  <c r="BK19" i="4"/>
  <c r="BJ21" i="4" l="1"/>
  <c r="BF21" i="4"/>
  <c r="BZ21" i="4"/>
  <c r="BN21" i="4"/>
  <c r="BV21" i="4"/>
  <c r="EL14" i="4"/>
  <c r="EL26" i="4"/>
  <c r="EL17" i="4"/>
  <c r="EL35" i="4"/>
  <c r="EL23" i="4"/>
  <c r="EL32" i="4"/>
  <c r="EL20" i="4"/>
  <c r="BX10" i="4"/>
  <c r="BT10" i="4"/>
  <c r="BP10" i="4"/>
  <c r="BH10" i="4"/>
  <c r="BL10" i="4"/>
  <c r="BH8" i="4"/>
  <c r="BH6" i="4"/>
  <c r="CF19" i="4"/>
  <c r="CF23" i="4"/>
  <c r="CF21" i="4"/>
  <c r="CF17" i="4"/>
  <c r="CB23" i="4"/>
  <c r="CB19" i="4"/>
  <c r="CB17" i="4"/>
  <c r="BX17" i="4"/>
  <c r="BT17" i="4"/>
  <c r="BP17" i="4"/>
  <c r="BL17" i="4"/>
  <c r="BH17" i="4"/>
  <c r="BT21" i="4"/>
  <c r="BX19" i="4"/>
  <c r="BT19" i="4"/>
  <c r="BP19" i="4"/>
  <c r="BL19" i="4"/>
  <c r="BH19" i="4"/>
  <c r="BX23" i="4"/>
  <c r="BT23" i="4"/>
  <c r="BP23" i="4"/>
  <c r="BL23" i="4"/>
  <c r="BH23" i="4"/>
  <c r="BX8" i="4"/>
  <c r="BT8" i="4"/>
  <c r="BL8" i="4"/>
  <c r="BP8" i="4"/>
  <c r="AN4" i="4"/>
  <c r="AO4" i="4" s="1"/>
  <c r="BK21" i="4"/>
  <c r="BG21" i="4"/>
  <c r="CA21" i="4"/>
  <c r="BO21" i="4"/>
  <c r="BW21" i="4"/>
  <c r="BL21" i="4" l="1"/>
  <c r="BM21" i="4" s="1"/>
  <c r="BH21" i="4"/>
  <c r="BI21" i="4" s="1"/>
  <c r="CB21" i="4"/>
  <c r="BX21" i="4"/>
  <c r="BP21" i="4"/>
  <c r="BQ21" i="4" s="1"/>
  <c r="AQ4" i="4"/>
  <c r="BQ8" i="4"/>
  <c r="BU8" i="4"/>
  <c r="BI8" i="4"/>
  <c r="BM8" i="4"/>
  <c r="BI17" i="4"/>
  <c r="BU21" i="4"/>
  <c r="BM17" i="4"/>
  <c r="BU17" i="4"/>
  <c r="BQ17" i="4"/>
  <c r="BD4" i="4"/>
  <c r="BE6" i="4" s="1"/>
  <c r="BC4" i="4"/>
  <c r="BE4" i="4" s="1"/>
  <c r="BB4" i="4"/>
  <c r="CD4" i="4" s="1"/>
  <c r="AP4" i="4"/>
  <c r="CE4" i="4"/>
  <c r="CE6" i="4"/>
  <c r="CA4" i="4"/>
  <c r="BW6" i="4"/>
  <c r="CA6" i="4"/>
  <c r="BK6" i="4"/>
  <c r="BO6" i="4"/>
  <c r="BS6" i="4"/>
  <c r="AS4" i="4" l="1"/>
  <c r="BV4" i="4"/>
  <c r="BZ4" i="4"/>
  <c r="BY8" i="4"/>
  <c r="BN4" i="4"/>
  <c r="BR4" i="4"/>
  <c r="BF4" i="4"/>
  <c r="BJ4" i="4"/>
  <c r="BY17" i="4"/>
  <c r="CC17" i="4" s="1"/>
  <c r="BY21" i="4"/>
  <c r="CC21" i="4" s="1"/>
  <c r="BX6" i="4"/>
  <c r="BT6" i="4"/>
  <c r="BP6" i="4"/>
  <c r="BL6" i="4"/>
  <c r="BO4" i="4"/>
  <c r="BG4" i="4"/>
  <c r="BK4" i="4"/>
  <c r="BW4" i="4"/>
  <c r="BS4" i="4"/>
  <c r="EF32" i="4" l="1"/>
  <c r="EF35" i="4"/>
  <c r="EF29" i="4"/>
  <c r="EF23" i="4"/>
  <c r="EF26" i="4"/>
  <c r="EF17" i="4"/>
  <c r="EF20" i="4"/>
  <c r="EF14" i="4"/>
  <c r="BX4" i="4"/>
  <c r="BT4" i="4"/>
  <c r="BU4" i="4" s="1"/>
  <c r="BP4" i="4"/>
  <c r="BQ4" i="4" s="1"/>
  <c r="BL4" i="4"/>
  <c r="BM4" i="4" s="1"/>
  <c r="BH4" i="4"/>
  <c r="BI4" i="4" s="1"/>
  <c r="CG21" i="4"/>
  <c r="CH21" i="4" s="1"/>
  <c r="CG17" i="4"/>
  <c r="CH17" i="4" s="1"/>
  <c r="CJ17" i="4" l="1"/>
  <c r="CJ21" i="4"/>
  <c r="CR21" i="4"/>
  <c r="CS21" i="4"/>
  <c r="CR17" i="4"/>
  <c r="CS17" i="4"/>
  <c r="CI21" i="4"/>
  <c r="CQ21" i="4"/>
  <c r="DS21" i="4" s="1"/>
  <c r="CI17" i="4"/>
  <c r="CQ17" i="4"/>
  <c r="DS17" i="4" s="1"/>
  <c r="BY4" i="4"/>
  <c r="CB4" i="4"/>
  <c r="CB10" i="4"/>
  <c r="CB8" i="4"/>
  <c r="CB6" i="4"/>
  <c r="CF4" i="4"/>
  <c r="CF8" i="4"/>
  <c r="CF6" i="4"/>
  <c r="CF10" i="4"/>
  <c r="CP4" i="4" l="1"/>
  <c r="CO4" i="4"/>
  <c r="DK21" i="4"/>
  <c r="DO21" i="4"/>
  <c r="DK17" i="4"/>
  <c r="DO17" i="4"/>
  <c r="DC21" i="4"/>
  <c r="DG21" i="4"/>
  <c r="DC17" i="4"/>
  <c r="DG17" i="4"/>
  <c r="CU21" i="4"/>
  <c r="CY21" i="4"/>
  <c r="CU17" i="4"/>
  <c r="CY17" i="4"/>
  <c r="CT17" i="4"/>
  <c r="CT21" i="4"/>
  <c r="CC8" i="4"/>
  <c r="CC4" i="4"/>
  <c r="CG4" i="4" s="1"/>
  <c r="DD21" i="4"/>
  <c r="DT21" i="4"/>
  <c r="DP21" i="4"/>
  <c r="DL17" i="4"/>
  <c r="DL21" i="4"/>
  <c r="CV17" i="4"/>
  <c r="CV21" i="4"/>
  <c r="DH21" i="4"/>
  <c r="DD17" i="4"/>
  <c r="CZ21" i="4"/>
  <c r="DT17" i="4"/>
  <c r="DP17" i="4"/>
  <c r="DH17" i="4"/>
  <c r="CZ17" i="4"/>
  <c r="EM29" i="4" l="1"/>
  <c r="EM32" i="4"/>
  <c r="EM14" i="4"/>
  <c r="EM23" i="4"/>
  <c r="EM26" i="4"/>
  <c r="EM17" i="4"/>
  <c r="EM20" i="4"/>
  <c r="EM35" i="4"/>
  <c r="CG8" i="4"/>
  <c r="CH8" i="4" s="1"/>
  <c r="CI8" i="4" s="1"/>
  <c r="CJ4" i="4"/>
  <c r="DU21" i="4"/>
  <c r="DU17" i="4"/>
  <c r="DQ21" i="4"/>
  <c r="DQ17" i="4"/>
  <c r="DM21" i="4"/>
  <c r="DM17" i="4"/>
  <c r="DI21" i="4"/>
  <c r="DI17" i="4"/>
  <c r="DE21" i="4"/>
  <c r="DE17" i="4"/>
  <c r="DA21" i="4"/>
  <c r="DA17" i="4"/>
  <c r="CW17" i="4"/>
  <c r="CW21" i="4"/>
  <c r="CH4" i="4"/>
  <c r="CM4" i="4" l="1"/>
  <c r="CS8" i="4"/>
  <c r="CJ8" i="4"/>
  <c r="CR8" i="4"/>
  <c r="CQ8" i="4"/>
  <c r="DJ17" i="4"/>
  <c r="DF17" i="4"/>
  <c r="DB17" i="4"/>
  <c r="CX17" i="4"/>
  <c r="CR4" i="4"/>
  <c r="CS4" i="4"/>
  <c r="CI4" i="4"/>
  <c r="CQ4" i="4"/>
  <c r="CT4" i="4" l="1"/>
  <c r="CL4" i="4"/>
  <c r="EG29" i="4" s="1"/>
  <c r="CT8" i="4"/>
  <c r="DN17" i="4"/>
  <c r="DR17" i="4" s="1"/>
  <c r="CZ4" i="4"/>
  <c r="DT8" i="4"/>
  <c r="DT4" i="4"/>
  <c r="DP4" i="4"/>
  <c r="DL4" i="4"/>
  <c r="DH8" i="4"/>
  <c r="DP8" i="4"/>
  <c r="DL8" i="4"/>
  <c r="CV4" i="4"/>
  <c r="DD8" i="4"/>
  <c r="DD4" i="4"/>
  <c r="CZ8" i="4"/>
  <c r="CV8" i="4"/>
  <c r="DH4" i="4"/>
  <c r="EG23" i="4" l="1"/>
  <c r="EG14" i="4"/>
  <c r="EG35" i="4"/>
  <c r="EG26" i="4"/>
  <c r="DU4" i="4"/>
  <c r="CW4" i="4"/>
  <c r="DQ4" i="4"/>
  <c r="DI4" i="4"/>
  <c r="DM4" i="4"/>
  <c r="DE4" i="4"/>
  <c r="DA4" i="4"/>
  <c r="EG20" i="4"/>
  <c r="EG32" i="4"/>
  <c r="EG17" i="4"/>
  <c r="DU8" i="4"/>
  <c r="DQ8" i="4"/>
  <c r="DI8" i="4"/>
  <c r="DE8" i="4"/>
  <c r="CW8" i="4"/>
  <c r="DM8" i="4"/>
  <c r="DA8" i="4"/>
  <c r="DV17" i="4"/>
  <c r="DF4" i="4" l="1"/>
  <c r="CX4" i="4"/>
  <c r="DJ4" i="4"/>
  <c r="DB4" i="4"/>
  <c r="DW17" i="4"/>
  <c r="EB4" i="4" s="1"/>
  <c r="EF8" i="4" s="1"/>
  <c r="DX17" i="4"/>
  <c r="DN4" i="4" l="1"/>
  <c r="DR4" i="4" s="1"/>
  <c r="EE8" i="4"/>
  <c r="EG8" i="4" s="1"/>
  <c r="FJ8" i="4" s="1"/>
  <c r="DV4" i="4" l="1"/>
  <c r="DW4" i="4" s="1"/>
  <c r="EE4" i="4" s="1"/>
  <c r="EI8" i="4"/>
  <c r="EH8" i="4"/>
  <c r="FB8" i="4"/>
  <c r="FF8" i="4"/>
  <c r="ET8" i="4"/>
  <c r="EX8" i="4"/>
  <c r="EK8" i="4"/>
  <c r="EO8" i="4"/>
  <c r="DX4" i="4" l="1"/>
  <c r="EA4" i="4"/>
  <c r="EN29" i="4" s="1"/>
  <c r="EH4" i="4"/>
  <c r="EJ4" i="4" s="1"/>
  <c r="EI4" i="4"/>
  <c r="EJ8" i="4" s="1"/>
  <c r="EG4" i="4"/>
  <c r="FJ4" i="4" s="1"/>
  <c r="FC8" i="4"/>
  <c r="EU8" i="4"/>
  <c r="EP8" i="4"/>
  <c r="EY8" i="4"/>
  <c r="FK8" i="4"/>
  <c r="FK4" i="4"/>
  <c r="EL8" i="4"/>
  <c r="FG8" i="4"/>
  <c r="EH26" i="4" l="1"/>
  <c r="EN14" i="4"/>
  <c r="EH14" i="4"/>
  <c r="EH23" i="4"/>
  <c r="EN23" i="4"/>
  <c r="EF4" i="4"/>
  <c r="EH20" i="4"/>
  <c r="EH32" i="4"/>
  <c r="EN20" i="4"/>
  <c r="EN32" i="4"/>
  <c r="EN26" i="4"/>
  <c r="EH35" i="4"/>
  <c r="EN35" i="4"/>
  <c r="EH17" i="4"/>
  <c r="EH29" i="4"/>
  <c r="EN17" i="4"/>
  <c r="FH8" i="4"/>
  <c r="FD8" i="4"/>
  <c r="EZ8" i="4"/>
  <c r="EV8" i="4"/>
  <c r="ER8" i="4"/>
  <c r="EM8" i="4"/>
  <c r="FB4" i="4"/>
  <c r="FF4" i="4"/>
  <c r="ET4" i="4"/>
  <c r="EX4" i="4"/>
  <c r="EK4" i="4"/>
  <c r="EO4" i="4"/>
  <c r="FC4" i="4"/>
  <c r="EL4" i="4"/>
  <c r="FG4" i="4"/>
  <c r="EU4" i="4"/>
  <c r="EY4" i="4"/>
  <c r="EP4" i="4"/>
  <c r="FH4" i="4" l="1"/>
  <c r="FD4" i="4"/>
  <c r="EZ4" i="4"/>
  <c r="FA4" i="4" s="1"/>
  <c r="EV4" i="4"/>
  <c r="EW4" i="4" s="1"/>
  <c r="ER4" i="4"/>
  <c r="ES4" i="4" s="1"/>
  <c r="EM4" i="4"/>
  <c r="EN4" i="4" s="1"/>
  <c r="FE4" i="4" l="1"/>
  <c r="FI4" i="4" s="1"/>
  <c r="FL4" i="4" l="1"/>
  <c r="FM4" i="4" s="1"/>
  <c r="FQ3" i="4" s="1"/>
  <c r="FO3" i="4" l="1"/>
  <c r="EJ32" i="4" s="1"/>
  <c r="FA12" i="4" s="1"/>
  <c r="FA112" i="4" s="1"/>
  <c r="EJ44" i="4" s="1"/>
  <c r="EJ46" i="4" s="1"/>
  <c r="EO32" i="4"/>
  <c r="EO35" i="4"/>
  <c r="EO26" i="4"/>
  <c r="EO29" i="4"/>
  <c r="EO20" i="4"/>
  <c r="EO23" i="4"/>
  <c r="EO14" i="4"/>
  <c r="EO17" i="4"/>
  <c r="EI32" i="4"/>
  <c r="EI35" i="4"/>
  <c r="EI26" i="4"/>
  <c r="EI29" i="4"/>
  <c r="EI20" i="4"/>
  <c r="EI23" i="4"/>
  <c r="EI14" i="4"/>
  <c r="EI17" i="4"/>
  <c r="EJ14" i="4" l="1"/>
  <c r="EU12" i="4" s="1"/>
  <c r="EU112" i="4" s="1"/>
  <c r="ED44" i="4" s="1"/>
  <c r="ED46" i="4" s="1"/>
  <c r="EJ23" i="4"/>
  <c r="EX12" i="4" s="1"/>
  <c r="EX112" i="4" s="1"/>
  <c r="EG44" i="4" s="1"/>
  <c r="EG46" i="4" s="1"/>
  <c r="EJ17" i="4"/>
  <c r="EV12" i="4" s="1"/>
  <c r="EV112" i="4" s="1"/>
  <c r="EE44" i="4" s="1"/>
  <c r="EE46" i="4" s="1"/>
  <c r="EP32" i="4"/>
  <c r="FI12" i="4" s="1"/>
  <c r="FI112" i="4" s="1"/>
  <c r="ER44" i="4" s="1"/>
  <c r="ER46" i="4" s="1"/>
  <c r="EP26" i="4"/>
  <c r="FG12" i="4" s="1"/>
  <c r="FG112" i="4" s="1"/>
  <c r="EP44" i="4" s="1"/>
  <c r="EP46" i="4" s="1"/>
  <c r="EJ29" i="4"/>
  <c r="EZ12" i="4" s="1"/>
  <c r="EZ112" i="4" s="1"/>
  <c r="EI44" i="4" s="1"/>
  <c r="EI46" i="4" s="1"/>
  <c r="EP14" i="4"/>
  <c r="FC12" i="4" s="1"/>
  <c r="FC112" i="4" s="1"/>
  <c r="EL44" i="4" s="1"/>
  <c r="EL46" i="4" s="1"/>
  <c r="EJ26" i="4"/>
  <c r="EY12" i="4" s="1"/>
  <c r="EY112" i="4" s="1"/>
  <c r="EH44" i="4" s="1"/>
  <c r="EH46" i="4" s="1"/>
  <c r="EP29" i="4"/>
  <c r="FH12" i="4" s="1"/>
  <c r="FH112" i="4" s="1"/>
  <c r="EQ44" i="4" s="1"/>
  <c r="EQ46" i="4" s="1"/>
  <c r="EP17" i="4"/>
  <c r="FD12" i="4" s="1"/>
  <c r="FD112" i="4" s="1"/>
  <c r="EM44" i="4" s="1"/>
  <c r="EM46" i="4" s="1"/>
  <c r="EJ35" i="4"/>
  <c r="FB12" i="4" s="1"/>
  <c r="FB112" i="4" s="1"/>
  <c r="EK44" i="4" s="1"/>
  <c r="EK46" i="4" s="1"/>
  <c r="EP35" i="4"/>
  <c r="FJ12" i="4" s="1"/>
  <c r="FJ112" i="4" s="1"/>
  <c r="ES44" i="4" s="1"/>
  <c r="ES46" i="4" s="1"/>
  <c r="EP20" i="4"/>
  <c r="FE12" i="4" s="1"/>
  <c r="FE112" i="4" s="1"/>
  <c r="EN44" i="4" s="1"/>
  <c r="EN46" i="4" s="1"/>
  <c r="EP23" i="4"/>
  <c r="FF12" i="4" s="1"/>
  <c r="FF112" i="4" s="1"/>
  <c r="EO44" i="4" s="1"/>
  <c r="EO46" i="4" s="1"/>
  <c r="EJ20" i="4"/>
  <c r="EW12" i="4" s="1"/>
  <c r="EW112" i="4" s="1"/>
  <c r="EF44" i="4" s="1"/>
  <c r="EF46" i="4" s="1"/>
</calcChain>
</file>

<file path=xl/sharedStrings.xml><?xml version="1.0" encoding="utf-8"?>
<sst xmlns="http://schemas.openxmlformats.org/spreadsheetml/2006/main" count="6124" uniqueCount="548">
  <si>
    <t>TORONTO</t>
  </si>
  <si>
    <t>PHILADELPHIA</t>
  </si>
  <si>
    <t>BOSTON</t>
  </si>
  <si>
    <t>VANCOUVER</t>
  </si>
  <si>
    <t>CALGARY</t>
  </si>
  <si>
    <t>SAN JOSE</t>
  </si>
  <si>
    <t>LOS ANGELES</t>
  </si>
  <si>
    <t>COLUMBUS</t>
  </si>
  <si>
    <t>BUFFALO</t>
  </si>
  <si>
    <t>NEW JERSEY</t>
  </si>
  <si>
    <t>ANAHEIM</t>
  </si>
  <si>
    <t>PITTSBURGH</t>
  </si>
  <si>
    <t>WASHINGTON</t>
  </si>
  <si>
    <t>DETROIT</t>
  </si>
  <si>
    <t>FLORIDA</t>
  </si>
  <si>
    <t>TAMPA BAY</t>
  </si>
  <si>
    <t>NY RANGERS</t>
  </si>
  <si>
    <t>ST. LOUIS</t>
  </si>
  <si>
    <t>OTTAWA</t>
  </si>
  <si>
    <t>NASHVILLE</t>
  </si>
  <si>
    <t>CHICAGO</t>
  </si>
  <si>
    <t>DALLAS</t>
  </si>
  <si>
    <t>COLORADO</t>
  </si>
  <si>
    <t>MINNESOTA</t>
  </si>
  <si>
    <t>EDMONTON</t>
  </si>
  <si>
    <t>WINNIPEG</t>
  </si>
  <si>
    <t>ARIZONA</t>
  </si>
  <si>
    <t>NY ISLANDERS</t>
  </si>
  <si>
    <t>CAROLINA</t>
  </si>
  <si>
    <t>Visiting</t>
  </si>
  <si>
    <t>Home</t>
  </si>
  <si>
    <t>ActualMargin</t>
  </si>
  <si>
    <t>WEDOCT8,2014</t>
  </si>
  <si>
    <t>SANJOSE</t>
  </si>
  <si>
    <t>LOSANGELES</t>
  </si>
  <si>
    <t>THUOCT9,2014</t>
  </si>
  <si>
    <t>NEWJERSEY</t>
  </si>
  <si>
    <t>TAMPABAY</t>
  </si>
  <si>
    <t>NYRANGERS</t>
  </si>
  <si>
    <t>ST.LOUIS</t>
  </si>
  <si>
    <t>FRIOCT10,2014</t>
  </si>
  <si>
    <t>NYISLANDERS</t>
  </si>
  <si>
    <t>SATOCT11,2014</t>
  </si>
  <si>
    <t>SUNOCT12,2014</t>
  </si>
  <si>
    <t>MONOCT13,2014</t>
  </si>
  <si>
    <t>TUEOCT14,2014</t>
  </si>
  <si>
    <t>WEDOCT15,2014</t>
  </si>
  <si>
    <t>THUOCT16,2014</t>
  </si>
  <si>
    <t>FRIOCT17,2014</t>
  </si>
  <si>
    <t>SATOCT18,2014</t>
  </si>
  <si>
    <t>SUNOCT19,2014</t>
  </si>
  <si>
    <t>MONOCT20,2014</t>
  </si>
  <si>
    <t>TUEOCT21,2014</t>
  </si>
  <si>
    <t>WEDOCT22,2014</t>
  </si>
  <si>
    <t>THUOCT23,2014</t>
  </si>
  <si>
    <t>FRIOCT24,2014</t>
  </si>
  <si>
    <t>SATOCT25,2014</t>
  </si>
  <si>
    <t>SUNOCT26,2014</t>
  </si>
  <si>
    <t>MONOCT27,2014</t>
  </si>
  <si>
    <t>TUEOCT28,2014</t>
  </si>
  <si>
    <t>WEDOCT29,2014</t>
  </si>
  <si>
    <t>THUOCT30,2014</t>
  </si>
  <si>
    <t>FRIOCT31,2014</t>
  </si>
  <si>
    <t>SATNOV1,2014</t>
  </si>
  <si>
    <t>SUNNOV2,2014</t>
  </si>
  <si>
    <t>MONNOV3,2014</t>
  </si>
  <si>
    <t>TUENOV4,2014</t>
  </si>
  <si>
    <t>WEDNOV5,2014</t>
  </si>
  <si>
    <t>THUNOV6,2014</t>
  </si>
  <si>
    <t>FRINOV7,2014</t>
  </si>
  <si>
    <t>SATNOV8,2014</t>
  </si>
  <si>
    <t>SUNNOV9,2014</t>
  </si>
  <si>
    <t>MONNOV10,2014</t>
  </si>
  <si>
    <t>TUENOV11,2014</t>
  </si>
  <si>
    <t>WEDNOV12,2014</t>
  </si>
  <si>
    <t>THUNOV13,2014</t>
  </si>
  <si>
    <t>FRINOV14,2014</t>
  </si>
  <si>
    <t>SATNOV15,2014</t>
  </si>
  <si>
    <t>SUNNOV16,2014</t>
  </si>
  <si>
    <t>MONNOV17,2014</t>
  </si>
  <si>
    <t>TUENOV18,2014</t>
  </si>
  <si>
    <t>WEDNOV19,2014</t>
  </si>
  <si>
    <t>THUNOV20,2014</t>
  </si>
  <si>
    <t>FRINOV21,2014</t>
  </si>
  <si>
    <t>SATNOV22,2014</t>
  </si>
  <si>
    <t>SUNNOV23,2014</t>
  </si>
  <si>
    <t>MONNOV24,2014</t>
  </si>
  <si>
    <t>TUENOV25,2014</t>
  </si>
  <si>
    <t>WEDNOV26,2014</t>
  </si>
  <si>
    <t>THUNOV27,2014</t>
  </si>
  <si>
    <t>FRINOV28,2014</t>
  </si>
  <si>
    <t>SATNOV29,2014</t>
  </si>
  <si>
    <t>SUNNOV30,2014</t>
  </si>
  <si>
    <t>MONDEC1,2014</t>
  </si>
  <si>
    <t>TUEDEC2,2014</t>
  </si>
  <si>
    <t>WEDDEC3,2014</t>
  </si>
  <si>
    <t>THUDEC4,2014</t>
  </si>
  <si>
    <t>FRIDEC5,2014</t>
  </si>
  <si>
    <t>SATDEC6,2014</t>
  </si>
  <si>
    <t>SUNDEC7,2014</t>
  </si>
  <si>
    <t>MONDEC8,2014</t>
  </si>
  <si>
    <t>TUEDEC9,2014</t>
  </si>
  <si>
    <t>WEDDEC10,2014</t>
  </si>
  <si>
    <t>THUDEC11,2014</t>
  </si>
  <si>
    <t>FRIDEC12,2014</t>
  </si>
  <si>
    <t>SATDEC13,2014</t>
  </si>
  <si>
    <t>SUNDEC14,2014</t>
  </si>
  <si>
    <t>MONDEC15,2014</t>
  </si>
  <si>
    <t>TUEDEC16,2014</t>
  </si>
  <si>
    <t>WEDDEC17,2014</t>
  </si>
  <si>
    <t>THUDEC18,2014</t>
  </si>
  <si>
    <t>FRIDEC19,2014</t>
  </si>
  <si>
    <t>SATDEC20,2014</t>
  </si>
  <si>
    <t>SUNDEC21,2014</t>
  </si>
  <si>
    <t>MONDEC22,2014</t>
  </si>
  <si>
    <t>TUEDEC23,2014</t>
  </si>
  <si>
    <t>SATDEC27,2014</t>
  </si>
  <si>
    <t>SUNDEC28,2014</t>
  </si>
  <si>
    <t>MONDEC29,2014</t>
  </si>
  <si>
    <t>TUEDEC30,2014</t>
  </si>
  <si>
    <t>WEDDEC31,2014</t>
  </si>
  <si>
    <t>THUJAN1,2015</t>
  </si>
  <si>
    <t>FRIJAN2,2015</t>
  </si>
  <si>
    <t>SATJAN3,2015</t>
  </si>
  <si>
    <t>SUNJAN4,2015</t>
  </si>
  <si>
    <t>MONJAN5,2015</t>
  </si>
  <si>
    <t>TUEJAN6,2015</t>
  </si>
  <si>
    <t>WEDJAN7,2015</t>
  </si>
  <si>
    <t>THUJAN8,2015</t>
  </si>
  <si>
    <t>FRIJAN9,2015</t>
  </si>
  <si>
    <t>SATJAN10,2015</t>
  </si>
  <si>
    <t>SUNJAN11,2015</t>
  </si>
  <si>
    <t>MONJAN12,2015</t>
  </si>
  <si>
    <t>TUEJAN13,2015</t>
  </si>
  <si>
    <t>WEDJAN14,2015</t>
  </si>
  <si>
    <t>THUJAN15,2015</t>
  </si>
  <si>
    <t>FRIJAN16,2015</t>
  </si>
  <si>
    <t>SATJAN17,2015</t>
  </si>
  <si>
    <t>SUNJAN18,2015</t>
  </si>
  <si>
    <t>MONJAN19,2015</t>
  </si>
  <si>
    <t>TUEJAN20,2015</t>
  </si>
  <si>
    <t>WEDJAN21,2015</t>
  </si>
  <si>
    <t>TUEJAN27,2015</t>
  </si>
  <si>
    <t>WEDJAN28,2015</t>
  </si>
  <si>
    <t>THUJAN29,2015</t>
  </si>
  <si>
    <t>FRIJAN30,2015</t>
  </si>
  <si>
    <t>SATJAN31,2015</t>
  </si>
  <si>
    <t>SUNFEB1,2015</t>
  </si>
  <si>
    <t>MONFEB2,2015</t>
  </si>
  <si>
    <t>TUEFEB3,2015</t>
  </si>
  <si>
    <t>WEDFEB4,2015</t>
  </si>
  <si>
    <t>THUFEB5,2015</t>
  </si>
  <si>
    <t>FRIFEB6,2015</t>
  </si>
  <si>
    <t>SATFEB7,2015</t>
  </si>
  <si>
    <t>SUNFEB8,2015</t>
  </si>
  <si>
    <t>MONFEB9,2015</t>
  </si>
  <si>
    <t>TUEFEB10,2015</t>
  </si>
  <si>
    <t>WEDFEB11,2015</t>
  </si>
  <si>
    <t>THUFEB12,2015</t>
  </si>
  <si>
    <t>FRIFEB13,2015</t>
  </si>
  <si>
    <t>SATFEB14,2015</t>
  </si>
  <si>
    <t>SUNFEB15,2015</t>
  </si>
  <si>
    <t>MONFEB16,2015</t>
  </si>
  <si>
    <t>TUEFEB17,2015</t>
  </si>
  <si>
    <t>WEDFEB18,2015</t>
  </si>
  <si>
    <t>THUFEB19,2015</t>
  </si>
  <si>
    <t>FRIFEB20,2015</t>
  </si>
  <si>
    <t>SATFEB21,2015</t>
  </si>
  <si>
    <t>SUNFEB22,2015</t>
  </si>
  <si>
    <t>MONFEB23,2015</t>
  </si>
  <si>
    <t>TUEFEB24,2015</t>
  </si>
  <si>
    <t>WEDFEB25,2015</t>
  </si>
  <si>
    <t>THUFEB26,2015</t>
  </si>
  <si>
    <t>FRIFEB27,2015</t>
  </si>
  <si>
    <t>SATFEB28,2015</t>
  </si>
  <si>
    <t>Team</t>
  </si>
  <si>
    <t>Rating</t>
  </si>
  <si>
    <t>PHOENIX</t>
  </si>
  <si>
    <t/>
  </si>
  <si>
    <t>0</t>
  </si>
  <si>
    <t>2</t>
  </si>
  <si>
    <t>1</t>
  </si>
  <si>
    <t>3</t>
  </si>
  <si>
    <t>6</t>
  </si>
  <si>
    <t>4</t>
  </si>
  <si>
    <t>5</t>
  </si>
  <si>
    <t>7</t>
  </si>
  <si>
    <t>9</t>
  </si>
  <si>
    <t>Predicted</t>
  </si>
  <si>
    <t>Home ice adv</t>
  </si>
  <si>
    <t>Squared Error</t>
  </si>
  <si>
    <t>Obj</t>
  </si>
  <si>
    <t>Min</t>
  </si>
  <si>
    <t>Avg</t>
  </si>
  <si>
    <t>PPG</t>
  </si>
  <si>
    <t>PPP</t>
  </si>
  <si>
    <t>SHG</t>
  </si>
  <si>
    <t>SHP</t>
  </si>
  <si>
    <t>GW</t>
  </si>
  <si>
    <t>OT</t>
  </si>
  <si>
    <t>S</t>
  </si>
  <si>
    <t>S%</t>
  </si>
  <si>
    <t>TOI/GP</t>
  </si>
  <si>
    <t>SHIFTS/GP</t>
  </si>
  <si>
    <t>FO%</t>
  </si>
  <si>
    <t>OE</t>
  </si>
  <si>
    <t>Name</t>
  </si>
  <si>
    <t>Pos.</t>
  </si>
  <si>
    <t>GP</t>
  </si>
  <si>
    <t>Goals</t>
  </si>
  <si>
    <t>Assists</t>
  </si>
  <si>
    <t>Points</t>
  </si>
  <si>
    <t>+/-</t>
  </si>
  <si>
    <t>PIM</t>
  </si>
  <si>
    <t>John Tavares</t>
  </si>
  <si>
    <t>NYI</t>
  </si>
  <si>
    <t>C</t>
  </si>
  <si>
    <t>Alex Ovechkin</t>
  </si>
  <si>
    <t>WSH</t>
  </si>
  <si>
    <t>L</t>
  </si>
  <si>
    <t>Nicklas Backstrom</t>
  </si>
  <si>
    <t>Evgeni Malkin</t>
  </si>
  <si>
    <t>PIT</t>
  </si>
  <si>
    <t>Sidney Crosby</t>
  </si>
  <si>
    <t>Jakub Voracek</t>
  </si>
  <si>
    <t>PHI</t>
  </si>
  <si>
    <t>R</t>
  </si>
  <si>
    <t>Vladimir Tarasenko</t>
  </si>
  <si>
    <t>STL</t>
  </si>
  <si>
    <t>Tyler Johnson</t>
  </si>
  <si>
    <t>TBL</t>
  </si>
  <si>
    <t>Patrick Kane</t>
  </si>
  <si>
    <t>CHI</t>
  </si>
  <si>
    <t>Rick Nash</t>
  </si>
  <si>
    <t>NYR</t>
  </si>
  <si>
    <t>Jamie Benn</t>
  </si>
  <si>
    <t>DAL</t>
  </si>
  <si>
    <t>Steven Stamkos</t>
  </si>
  <si>
    <t>Joe Pavelski</t>
  </si>
  <si>
    <t>SJS</t>
  </si>
  <si>
    <t>Tyler Seguin</t>
  </si>
  <si>
    <t>Ryan Getzlaf</t>
  </si>
  <si>
    <t>ANA</t>
  </si>
  <si>
    <t>Claude Giroux</t>
  </si>
  <si>
    <t>Henrik Sedin</t>
  </si>
  <si>
    <t>VAN</t>
  </si>
  <si>
    <t>Nick Foligno</t>
  </si>
  <si>
    <t>CBJ</t>
  </si>
  <si>
    <t>Daniel Sedin</t>
  </si>
  <si>
    <t>Max Pacioretty</t>
  </si>
  <si>
    <t>MTL</t>
  </si>
  <si>
    <t>Ryan Johansen</t>
  </si>
  <si>
    <t>Joe Thornton</t>
  </si>
  <si>
    <t>Nikita Kucherov</t>
  </si>
  <si>
    <t>Jiri Hudler</t>
  </si>
  <si>
    <t>CGY</t>
  </si>
  <si>
    <t>Pavel Datsyuk</t>
  </si>
  <si>
    <t>DET</t>
  </si>
  <si>
    <t>Henrik Zetterberg</t>
  </si>
  <si>
    <t>Andrew Ladd</t>
  </si>
  <si>
    <t>WPG</t>
  </si>
  <si>
    <t>Logan Couture</t>
  </si>
  <si>
    <t>Jonathan Toews</t>
  </si>
  <si>
    <t>Alexander Steen</t>
  </si>
  <si>
    <t>Mike Ribeiro</t>
  </si>
  <si>
    <t>NSH</t>
  </si>
  <si>
    <t>Filip Forsberg</t>
  </si>
  <si>
    <t>Jason Spezza</t>
  </si>
  <si>
    <t>Zach Parise</t>
  </si>
  <si>
    <t>MIN</t>
  </si>
  <si>
    <t>Jaden Schwartz</t>
  </si>
  <si>
    <t>Ondrej Palat</t>
  </si>
  <si>
    <t>Derick Brassard</t>
  </si>
  <si>
    <t>Bryan Little</t>
  </si>
  <si>
    <t>Phil Kessel</t>
  </si>
  <si>
    <t>TOR</t>
  </si>
  <si>
    <t>Jeff Carter</t>
  </si>
  <si>
    <t>LAK</t>
  </si>
  <si>
    <t>Kris Letang</t>
  </si>
  <si>
    <t>D</t>
  </si>
  <si>
    <t>Blake Wheeler</t>
  </si>
  <si>
    <t>Erik Karlsson</t>
  </si>
  <si>
    <t>OTT</t>
  </si>
  <si>
    <t>Anze Kopitar</t>
  </si>
  <si>
    <t>Bobby Ryan</t>
  </si>
  <si>
    <t>Brent Burns</t>
  </si>
  <si>
    <t>P.K. Subban</t>
  </si>
  <si>
    <t>Radim Vrbata</t>
  </si>
  <si>
    <t>Tomas Tatar</t>
  </si>
  <si>
    <t>James van Riemsdyk</t>
  </si>
  <si>
    <t>Marian Hossa</t>
  </si>
  <si>
    <t>Jordan Eberle</t>
  </si>
  <si>
    <t>EDM</t>
  </si>
  <si>
    <t>Johnny Gaudreau</t>
  </si>
  <si>
    <t>Patrick Marleau</t>
  </si>
  <si>
    <t>Mark Giordano</t>
  </si>
  <si>
    <t>Sean Monahan</t>
  </si>
  <si>
    <t>Ryan Callahan</t>
  </si>
  <si>
    <t>Gabriel Landeskog</t>
  </si>
  <si>
    <t>COL</t>
  </si>
  <si>
    <t>Patrice Bergeron</t>
  </si>
  <si>
    <t>BOS</t>
  </si>
  <si>
    <t>Jason Pominville</t>
  </si>
  <si>
    <t>Roman Josi</t>
  </si>
  <si>
    <t>Corey Perry</t>
  </si>
  <si>
    <t>David Backes</t>
  </si>
  <si>
    <t>Gustav Nyquist</t>
  </si>
  <si>
    <t>Jarome Iginla</t>
  </si>
  <si>
    <t>T.J. Oshie</t>
  </si>
  <si>
    <t>John Carlson</t>
  </si>
  <si>
    <t>Tomas Plekanec</t>
  </si>
  <si>
    <t>Scott Hartnell</t>
  </si>
  <si>
    <t>Kyle Turris</t>
  </si>
  <si>
    <t>Valtteri Filppula</t>
  </si>
  <si>
    <t>Wayne Simmonds</t>
  </si>
  <si>
    <t>Martin St. Louis</t>
  </si>
  <si>
    <t>Kyle Okposo</t>
  </si>
  <si>
    <t>Justin Faulk</t>
  </si>
  <si>
    <t>CAR</t>
  </si>
  <si>
    <t>Tyson Barrie</t>
  </si>
  <si>
    <t>Brandon Saad</t>
  </si>
  <si>
    <t>Ryan Nugent-Hopkins</t>
  </si>
  <si>
    <t>Eric Staal</t>
  </si>
  <si>
    <t>Alex Tanguay</t>
  </si>
  <si>
    <t>Mark Stone</t>
  </si>
  <si>
    <t>Shea Weber</t>
  </si>
  <si>
    <t>Ryan Strome</t>
  </si>
  <si>
    <t>Derek Stepan</t>
  </si>
  <si>
    <t>Mark Streit</t>
  </si>
  <si>
    <t>Mike Hoffman</t>
  </si>
  <si>
    <t>Patric Hornqvist</t>
  </si>
  <si>
    <t>Matt Duchene</t>
  </si>
  <si>
    <t>Thomas Vanek</t>
  </si>
  <si>
    <t>Dustin Byfuglien</t>
  </si>
  <si>
    <t>Ryan Kesler</t>
  </si>
  <si>
    <t>Dennis Wideman</t>
  </si>
  <si>
    <t>David Desharnais</t>
  </si>
  <si>
    <t>Keith Yandle</t>
  </si>
  <si>
    <t>Nick Bjugstad</t>
  </si>
  <si>
    <t>FLA</t>
  </si>
  <si>
    <t>Colin Wilson</t>
  </si>
  <si>
    <t>Brendan Gallagher</t>
  </si>
  <si>
    <t>Alex Galchenyuk</t>
  </si>
  <si>
    <t>Tyler Toffoli</t>
  </si>
  <si>
    <t>Tyler Bozak</t>
  </si>
  <si>
    <t>Mats Zuccarello</t>
  </si>
  <si>
    <t>Ryan O'Reilly</t>
  </si>
  <si>
    <t>Andrei Markov</t>
  </si>
  <si>
    <t>Kevin Shattenkirk</t>
  </si>
  <si>
    <t>Craig Smith</t>
  </si>
  <si>
    <t>Brock Nelson</t>
  </si>
  <si>
    <t>Loui Eriksson</t>
  </si>
  <si>
    <t>Chris Kunitz</t>
  </si>
  <si>
    <t>Frans Nielsen</t>
  </si>
  <si>
    <t>Jonathan Huberdeau</t>
  </si>
  <si>
    <t>Dougie Hamilton</t>
  </si>
  <si>
    <t>Mikko Koivu</t>
  </si>
  <si>
    <t>Anders Lee</t>
  </si>
  <si>
    <t>Brad Marchand</t>
  </si>
  <si>
    <t>Marcus Johansson</t>
  </si>
  <si>
    <t>Nathan MacKinnon</t>
  </si>
  <si>
    <t>Paul Stastny</t>
  </si>
  <si>
    <t>Mark Scheifele</t>
  </si>
  <si>
    <t>Jori Lehtera</t>
  </si>
  <si>
    <t>Niklas Kronwall</t>
  </si>
  <si>
    <t>Drew Doughty</t>
  </si>
  <si>
    <t>Mike Green</t>
  </si>
  <si>
    <t>Marian Gaborik</t>
  </si>
  <si>
    <t>Mika Zibanejad</t>
  </si>
  <si>
    <t>David Perron</t>
  </si>
  <si>
    <t>Milan Lucic</t>
  </si>
  <si>
    <t>Duncan Keith</t>
  </si>
  <si>
    <t>Mathieu Perreault</t>
  </si>
  <si>
    <t>Erik Cole</t>
  </si>
  <si>
    <t>Michael Frolik</t>
  </si>
  <si>
    <t>Nazem Kadri</t>
  </si>
  <si>
    <t>Josh Bailey</t>
  </si>
  <si>
    <t>Brayden Schenn</t>
  </si>
  <si>
    <t>Reilly Smith</t>
  </si>
  <si>
    <t>TJ Brodie</t>
  </si>
  <si>
    <t>John Klingberg</t>
  </si>
  <si>
    <t>Alex Pietrangelo</t>
  </si>
  <si>
    <t>Jussi Jokinen</t>
  </si>
  <si>
    <t>James Neal</t>
  </si>
  <si>
    <t>Justin Abdelkader</t>
  </si>
  <si>
    <t>Mike Fisher</t>
  </si>
  <si>
    <t>Adam Henrique</t>
  </si>
  <si>
    <t>NJD</t>
  </si>
  <si>
    <t>Alex Killorn</t>
  </si>
  <si>
    <t>Antoine Vermette</t>
  </si>
  <si>
    <t>Carl Soderberg</t>
  </si>
  <si>
    <t>Cody Franson</t>
  </si>
  <si>
    <t>Mike Cammalleri</t>
  </si>
  <si>
    <t>Troy Brouwer</t>
  </si>
  <si>
    <t>Chris Kreider</t>
  </si>
  <si>
    <t>Tyler Ennis</t>
  </si>
  <si>
    <t>BUF</t>
  </si>
  <si>
    <t>Sami Vatanen</t>
  </si>
  <si>
    <t>Aaron Ekblad</t>
  </si>
  <si>
    <t>Anton Stralman</t>
  </si>
  <si>
    <t>Nino Niederreiter</t>
  </si>
  <si>
    <t>Oliver Ekman-Larsson</t>
  </si>
  <si>
    <t>ARI</t>
  </si>
  <si>
    <t>Trevor Daley</t>
  </si>
  <si>
    <t>Justin Williams</t>
  </si>
  <si>
    <t>Elias Lindholm</t>
  </si>
  <si>
    <t>Victor Hedman</t>
  </si>
  <si>
    <t>Sam Gagner</t>
  </si>
  <si>
    <t>Jaromir Jagr</t>
  </si>
  <si>
    <t>Torey Krug</t>
  </si>
  <si>
    <t>Brad Boyes</t>
  </si>
  <si>
    <t>Curtis Glencross</t>
  </si>
  <si>
    <t>Patrick Sharp</t>
  </si>
  <si>
    <t>Brad Richards</t>
  </si>
  <si>
    <t>Jake Muzzin</t>
  </si>
  <si>
    <t>Johnny Boychuk</t>
  </si>
  <si>
    <t>Ryan Suter</t>
  </si>
  <si>
    <t>Kris Versteeg</t>
  </si>
  <si>
    <t>Riley Sheahan</t>
  </si>
  <si>
    <t>Jakob Silfverberg</t>
  </si>
  <si>
    <t>Matt Beleskey</t>
  </si>
  <si>
    <t>Zemgus Girgensons</t>
  </si>
  <si>
    <t>Cody Eakin</t>
  </si>
  <si>
    <t>Kevin Hayes</t>
  </si>
  <si>
    <t>Shane Doan</t>
  </si>
  <si>
    <t>Drew Stafford</t>
  </si>
  <si>
    <t>Michael Santorelli</t>
  </si>
  <si>
    <t>Taylor Hall</t>
  </si>
  <si>
    <t>http://www.nhl.com/stats/player?navid=nav-sts-indiv</t>
  </si>
  <si>
    <t>http://www.nhl.com/ice/schedulebymonth.htm?month=201503</t>
  </si>
  <si>
    <t>MONTREAL</t>
  </si>
  <si>
    <t>G/GP</t>
  </si>
  <si>
    <t>GA/GP</t>
  </si>
  <si>
    <t xml:space="preserve"> NYR</t>
  </si>
  <si>
    <t xml:space="preserve"> PIT</t>
  </si>
  <si>
    <t xml:space="preserve"> DET</t>
  </si>
  <si>
    <t xml:space="preserve"> CHI</t>
  </si>
  <si>
    <t xml:space="preserve"> NSH</t>
  </si>
  <si>
    <t xml:space="preserve"> FLA</t>
  </si>
  <si>
    <t xml:space="preserve"> WSH</t>
  </si>
  <si>
    <t xml:space="preserve"> WPG</t>
  </si>
  <si>
    <t>East</t>
  </si>
  <si>
    <t>West</t>
  </si>
  <si>
    <t>Montreal</t>
  </si>
  <si>
    <t>Tampa Bay</t>
  </si>
  <si>
    <t>Pittsburgh</t>
  </si>
  <si>
    <t>Washington</t>
  </si>
  <si>
    <t>Boston</t>
  </si>
  <si>
    <t>Nashville</t>
  </si>
  <si>
    <t>Anaheim</t>
  </si>
  <si>
    <t>St. Louis</t>
  </si>
  <si>
    <t>Detroit</t>
  </si>
  <si>
    <t>Vancouver</t>
  </si>
  <si>
    <t>Calgary</t>
  </si>
  <si>
    <t>Chicago</t>
  </si>
  <si>
    <t>Winnipeg</t>
  </si>
  <si>
    <t>Minnesota</t>
  </si>
  <si>
    <t>NY Rangers</t>
  </si>
  <si>
    <t>NY Islanders</t>
  </si>
  <si>
    <t>Game</t>
  </si>
  <si>
    <t>Rd 1</t>
  </si>
  <si>
    <t>Rk Rating</t>
  </si>
  <si>
    <t>Random Ranking</t>
  </si>
  <si>
    <t>Rand Goals</t>
  </si>
  <si>
    <t>Avg G/GP</t>
  </si>
  <si>
    <t>StDev</t>
  </si>
  <si>
    <t>Winner</t>
  </si>
  <si>
    <t>Game 1</t>
  </si>
  <si>
    <t>Game 2</t>
  </si>
  <si>
    <t>Game 3</t>
  </si>
  <si>
    <t>Game 4</t>
  </si>
  <si>
    <t>Game 5</t>
  </si>
  <si>
    <t>Game 6</t>
  </si>
  <si>
    <t>Game 7</t>
  </si>
  <si>
    <t>Round 1</t>
  </si>
  <si>
    <t>Round 2</t>
  </si>
  <si>
    <t>Round 3</t>
  </si>
  <si>
    <t>Championship</t>
  </si>
  <si>
    <t>Champ</t>
  </si>
  <si>
    <t>Avg GA/GP</t>
  </si>
  <si>
    <t>Avg GA</t>
  </si>
  <si>
    <t>X</t>
  </si>
  <si>
    <t>Real Goals</t>
  </si>
  <si>
    <t>Rand Rank</t>
  </si>
  <si>
    <t>Rank</t>
  </si>
  <si>
    <t>SUN MAR 1, 2015</t>
  </si>
  <si>
    <t>MON MAR 2, 2015</t>
  </si>
  <si>
    <t>TUE MAR 3, 2015</t>
  </si>
  <si>
    <t>WED MAR 4, 2015</t>
  </si>
  <si>
    <t>THU MAR 5, 2015</t>
  </si>
  <si>
    <t>FRI MAR 6, 2015</t>
  </si>
  <si>
    <t>SAT MAR 7, 2015</t>
  </si>
  <si>
    <t>SUN MAR 8, 2015</t>
  </si>
  <si>
    <t>MON MAR 9, 2015</t>
  </si>
  <si>
    <t>TUE MAR 10, 2015</t>
  </si>
  <si>
    <t>WED MAR 11, 2015</t>
  </si>
  <si>
    <t>THU MAR 12, 2015</t>
  </si>
  <si>
    <t>FRI MAR 13, 2015</t>
  </si>
  <si>
    <t>SAT MAR 14, 2015</t>
  </si>
  <si>
    <t>SUN MAR 15, 2015</t>
  </si>
  <si>
    <t>MON MAR 16, 2015</t>
  </si>
  <si>
    <t>TUE MAR 17, 2015</t>
  </si>
  <si>
    <t>WED MAR 18, 2015</t>
  </si>
  <si>
    <t>THU MAR 19, 2015</t>
  </si>
  <si>
    <t>FRI MAR 20, 2015</t>
  </si>
  <si>
    <t>SAT MAR 21, 2015</t>
  </si>
  <si>
    <t>SUN MAR 22, 2015</t>
  </si>
  <si>
    <t>MON MAR 23, 2015</t>
  </si>
  <si>
    <t>TUE MAR 24, 2015</t>
  </si>
  <si>
    <t>WED MAR 25, 2015</t>
  </si>
  <si>
    <t>THU MAR 26, 2015</t>
  </si>
  <si>
    <t>FRI MAR 27, 2015</t>
  </si>
  <si>
    <t>SAT MAR 28, 2015</t>
  </si>
  <si>
    <t>SUN MAR 29, 2015</t>
  </si>
  <si>
    <t>MON MAR 30, 2015</t>
  </si>
  <si>
    <t>TUE MAR 31, 2015</t>
  </si>
  <si>
    <t>Stanley Cup Champ</t>
  </si>
  <si>
    <t>East 1st Round</t>
  </si>
  <si>
    <t>West 1st Round</t>
  </si>
  <si>
    <t>East 2nd Round</t>
  </si>
  <si>
    <t>West 2nd Round</t>
  </si>
  <si>
    <t>Champs</t>
  </si>
  <si>
    <t>Win Rd 1</t>
  </si>
  <si>
    <t>Win Rd 2</t>
  </si>
  <si>
    <t>Win Rd 3</t>
  </si>
  <si>
    <t>P-Hat</t>
  </si>
  <si>
    <t>Avg Games</t>
  </si>
  <si>
    <t>Games in Series</t>
  </si>
  <si>
    <t>Avg P/Gm</t>
  </si>
  <si>
    <t>http://sports.yahoo.com/nhl/stats/byteam</t>
  </si>
  <si>
    <t>G</t>
  </si>
  <si>
    <t>A</t>
  </si>
  <si>
    <t>GFA</t>
  </si>
  <si>
    <t>GAA</t>
  </si>
  <si>
    <t>Arizona</t>
  </si>
  <si>
    <t>Buffalo</t>
  </si>
  <si>
    <t>Carolina</t>
  </si>
  <si>
    <t>Colorado</t>
  </si>
  <si>
    <t>Columbus</t>
  </si>
  <si>
    <t>Dallas</t>
  </si>
  <si>
    <t>Edmonton</t>
  </si>
  <si>
    <t>Florida</t>
  </si>
  <si>
    <t>Los Angeles</t>
  </si>
  <si>
    <t>New Jersey</t>
  </si>
  <si>
    <t>Ottawa</t>
  </si>
  <si>
    <t>Philadelphia</t>
  </si>
  <si>
    <t>San Jose</t>
  </si>
  <si>
    <t>Toronto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</si>
</sst>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7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Inherit"/>
    </font>
    <font>
      <b/>
      <sz val="11"/>
      <name val="Calibri"/>
      <family val="2"/>
      <scheme val="minor"/>
    </font>
    <font>
      <b/>
      <sz val="8"/>
      <color rgb="FF000000"/>
      <name val="Inherit"/>
    </font>
    <font>
      <sz val="8"/>
      <name val="Inherit"/>
    </font>
    <font>
      <sz val="11"/>
      <color theme="1"/>
      <name val="Calibri"/>
      <family val="2"/>
      <scheme val="minor"/>
    </font>
    <font>
      <sz val="8"/>
      <color rgb="FF363636"/>
      <name val="Calibri"/>
      <family val="2"/>
      <scheme val="minor"/>
    </font>
    <font>
      <b/>
      <sz val="8"/>
      <name val="Inherit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sz val="9"/>
      <color rgb="FFEEEEEE"/>
      <name val="Arial"/>
      <family val="2"/>
    </font>
    <font>
      <b/>
      <sz val="8"/>
      <color rgb="FFFFFFFF"/>
      <name val="Arial"/>
      <family val="2"/>
    </font>
    <font>
      <sz val="9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666666"/>
        <bgColor indexed="64"/>
      </patternFill>
    </fill>
  </fills>
  <borders count="24">
    <border>
      <left/>
      <right/>
      <top/>
      <bottom/>
      <diagonal/>
    </border>
    <border>
      <left/>
      <right style="medium">
        <color rgb="FFA1A1A1"/>
      </right>
      <top/>
      <bottom style="medium">
        <color rgb="FFA1A1A1"/>
      </bottom>
      <diagonal/>
    </border>
    <border>
      <left/>
      <right style="medium">
        <color rgb="FFA1A1A1"/>
      </right>
      <top/>
      <bottom/>
      <diagonal/>
    </border>
    <border>
      <left/>
      <right style="medium">
        <color rgb="FFA1A1A1"/>
      </right>
      <top style="medium">
        <color rgb="FFA1A1A1"/>
      </top>
      <bottom/>
      <diagonal/>
    </border>
    <border>
      <left/>
      <right style="medium">
        <color rgb="FFA1A1A1"/>
      </right>
      <top style="medium">
        <color rgb="FF666666"/>
      </top>
      <bottom/>
      <diagonal/>
    </border>
    <border>
      <left/>
      <right style="medium">
        <color rgb="FFA1A1A1"/>
      </right>
      <top/>
      <bottom style="medium">
        <color rgb="FF666666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A1A1A1"/>
      </right>
      <top/>
      <bottom style="thin">
        <color indexed="64"/>
      </bottom>
      <diagonal/>
    </border>
    <border>
      <left style="medium">
        <color rgb="FFA1A1A1"/>
      </left>
      <right style="medium">
        <color rgb="FFA1A1A1"/>
      </right>
      <top/>
      <bottom style="thin">
        <color indexed="64"/>
      </bottom>
      <diagonal/>
    </border>
    <border>
      <left/>
      <right style="medium">
        <color rgb="FFA1A1A1"/>
      </right>
      <top style="medium">
        <color rgb="FFA1A1A1"/>
      </top>
      <bottom style="medium">
        <color rgb="FFA1A1A1"/>
      </bottom>
      <diagonal/>
    </border>
    <border>
      <left/>
      <right/>
      <top style="medium">
        <color rgb="FFA1A1A1"/>
      </top>
      <bottom style="medium">
        <color rgb="FFA1A1A1"/>
      </bottom>
      <diagonal/>
    </border>
    <border>
      <left/>
      <right/>
      <top/>
      <bottom style="medium">
        <color rgb="FFA1A1A1"/>
      </bottom>
      <diagonal/>
    </border>
    <border>
      <left/>
      <right/>
      <top style="medium">
        <color rgb="FFA1A1A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9" fontId="9" fillId="0" borderId="0" applyFont="0" applyFill="0" applyBorder="0" applyAlignment="0" applyProtection="0"/>
  </cellStyleXfs>
  <cellXfs count="126">
    <xf numFmtId="0" fontId="0" fillId="0" borderId="0" xfId="0"/>
    <xf numFmtId="0" fontId="3" fillId="0" borderId="0" xfId="0" applyFont="1" applyFill="1"/>
    <xf numFmtId="0" fontId="3" fillId="0" borderId="3" xfId="0" applyFont="1" applyFill="1" applyBorder="1" applyAlignment="1">
      <alignment vertical="center"/>
    </xf>
    <xf numFmtId="0" fontId="3" fillId="0" borderId="3" xfId="0" applyFont="1" applyFill="1" applyBorder="1" applyAlignment="1">
      <alignment horizontal="left" vertical="center"/>
    </xf>
    <xf numFmtId="0" fontId="3" fillId="0" borderId="1" xfId="0" applyFont="1" applyFill="1" applyBorder="1" applyAlignment="1">
      <alignment vertical="center"/>
    </xf>
    <xf numFmtId="0" fontId="3" fillId="0" borderId="1" xfId="1" applyFont="1" applyFill="1" applyBorder="1" applyAlignment="1">
      <alignment horizontal="left" vertical="center"/>
    </xf>
    <xf numFmtId="0" fontId="3" fillId="0" borderId="3" xfId="0" applyFont="1" applyFill="1" applyBorder="1" applyAlignment="1">
      <alignment vertical="center" wrapText="1"/>
    </xf>
    <xf numFmtId="0" fontId="3" fillId="0" borderId="2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vertical="center" wrapText="1"/>
    </xf>
    <xf numFmtId="0" fontId="3" fillId="0" borderId="1" xfId="1" applyFont="1" applyFill="1" applyBorder="1" applyAlignment="1">
      <alignment horizontal="left" vertical="center" wrapText="1"/>
    </xf>
    <xf numFmtId="0" fontId="3" fillId="0" borderId="2" xfId="0" applyFont="1" applyFill="1" applyBorder="1" applyAlignment="1">
      <alignment vertical="center" wrapText="1"/>
    </xf>
    <xf numFmtId="0" fontId="3" fillId="0" borderId="2" xfId="1" applyFont="1" applyFill="1" applyBorder="1" applyAlignment="1">
      <alignment horizontal="left" vertical="center" wrapText="1"/>
    </xf>
    <xf numFmtId="0" fontId="3" fillId="0" borderId="3" xfId="0" applyFont="1" applyFill="1" applyBorder="1" applyAlignment="1">
      <alignment horizontal="left" vertical="center" wrapText="1"/>
    </xf>
    <xf numFmtId="0" fontId="3" fillId="0" borderId="5" xfId="0" applyFont="1" applyFill="1" applyBorder="1" applyAlignment="1">
      <alignment vertical="center" wrapText="1"/>
    </xf>
    <xf numFmtId="0" fontId="3" fillId="0" borderId="4" xfId="0" applyFont="1" applyFill="1" applyBorder="1" applyAlignment="1">
      <alignment vertical="center" wrapText="1"/>
    </xf>
    <xf numFmtId="0" fontId="2" fillId="0" borderId="1" xfId="1" applyFont="1" applyFill="1" applyBorder="1" applyAlignment="1">
      <alignment horizontal="left" vertical="center" wrapText="1"/>
    </xf>
    <xf numFmtId="0" fontId="2" fillId="0" borderId="2" xfId="1" applyFont="1" applyFill="1" applyBorder="1" applyAlignment="1">
      <alignment horizontal="left" vertical="center" wrapText="1"/>
    </xf>
    <xf numFmtId="0" fontId="3" fillId="0" borderId="0" xfId="0" applyFont="1" applyFill="1" applyBorder="1"/>
    <xf numFmtId="0" fontId="3" fillId="0" borderId="7" xfId="0" applyFont="1" applyFill="1" applyBorder="1" applyAlignment="1">
      <alignment vertical="center" wrapText="1"/>
    </xf>
    <xf numFmtId="0" fontId="2" fillId="0" borderId="7" xfId="1" applyFont="1" applyFill="1" applyBorder="1" applyAlignment="1">
      <alignment horizontal="left" vertical="center" wrapText="1"/>
    </xf>
    <xf numFmtId="0" fontId="3" fillId="0" borderId="8" xfId="0" applyFont="1" applyFill="1" applyBorder="1" applyAlignment="1">
      <alignment vertical="center" wrapText="1"/>
    </xf>
    <xf numFmtId="0" fontId="3" fillId="0" borderId="6" xfId="0" applyFont="1" applyFill="1" applyBorder="1"/>
    <xf numFmtId="0" fontId="3" fillId="0" borderId="0" xfId="0" applyNumberFormat="1" applyFont="1" applyFill="1" applyBorder="1"/>
    <xf numFmtId="0" fontId="3" fillId="0" borderId="0" xfId="0" applyNumberFormat="1" applyFont="1" applyFill="1" applyBorder="1" applyAlignment="1">
      <alignment horizontal="right"/>
    </xf>
    <xf numFmtId="0" fontId="3" fillId="2" borderId="0" xfId="0" applyFont="1" applyFill="1"/>
    <xf numFmtId="0" fontId="4" fillId="0" borderId="0" xfId="0" applyFont="1"/>
    <xf numFmtId="0" fontId="5" fillId="3" borderId="9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right" vertical="center" wrapText="1"/>
    </xf>
    <xf numFmtId="20" fontId="5" fillId="3" borderId="9" xfId="0" applyNumberFormat="1" applyFont="1" applyFill="1" applyBorder="1" applyAlignment="1">
      <alignment horizontal="right" vertical="center" wrapText="1"/>
    </xf>
    <xf numFmtId="0" fontId="5" fillId="3" borderId="10" xfId="0" applyFont="1" applyFill="1" applyBorder="1" applyAlignment="1">
      <alignment horizontal="right" vertical="center" wrapText="1"/>
    </xf>
    <xf numFmtId="0" fontId="0" fillId="0" borderId="0" xfId="0" applyNumberFormat="1"/>
    <xf numFmtId="0" fontId="5" fillId="4" borderId="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right" vertical="center" wrapText="1"/>
    </xf>
    <xf numFmtId="20" fontId="5" fillId="4" borderId="1" xfId="0" applyNumberFormat="1" applyFont="1" applyFill="1" applyBorder="1" applyAlignment="1">
      <alignment horizontal="right" vertical="center" wrapText="1"/>
    </xf>
    <xf numFmtId="0" fontId="5" fillId="4" borderId="11" xfId="0" applyFont="1" applyFill="1" applyBorder="1" applyAlignment="1">
      <alignment horizontal="right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right" vertical="center" wrapText="1"/>
    </xf>
    <xf numFmtId="20" fontId="5" fillId="3" borderId="1" xfId="0" applyNumberFormat="1" applyFont="1" applyFill="1" applyBorder="1" applyAlignment="1">
      <alignment horizontal="right" vertical="center" wrapText="1"/>
    </xf>
    <xf numFmtId="0" fontId="5" fillId="3" borderId="11" xfId="0" applyFont="1" applyFill="1" applyBorder="1" applyAlignment="1">
      <alignment horizontal="right" vertical="center" wrapText="1"/>
    </xf>
    <xf numFmtId="0" fontId="5" fillId="4" borderId="3" xfId="0" applyFont="1" applyFill="1" applyBorder="1" applyAlignment="1">
      <alignment horizontal="center" vertical="center" wrapText="1"/>
    </xf>
    <xf numFmtId="0" fontId="5" fillId="4" borderId="3" xfId="0" applyFont="1" applyFill="1" applyBorder="1" applyAlignment="1">
      <alignment horizontal="right" vertical="center" wrapText="1"/>
    </xf>
    <xf numFmtId="20" fontId="5" fillId="4" borderId="3" xfId="0" applyNumberFormat="1" applyFont="1" applyFill="1" applyBorder="1" applyAlignment="1">
      <alignment horizontal="right" vertical="center" wrapText="1"/>
    </xf>
    <xf numFmtId="0" fontId="5" fillId="4" borderId="12" xfId="0" applyFont="1" applyFill="1" applyBorder="1" applyAlignment="1">
      <alignment horizontal="right" vertical="center" wrapText="1"/>
    </xf>
    <xf numFmtId="46" fontId="5" fillId="3" borderId="1" xfId="0" applyNumberFormat="1" applyFont="1" applyFill="1" applyBorder="1" applyAlignment="1">
      <alignment horizontal="right" vertical="center" wrapText="1"/>
    </xf>
    <xf numFmtId="46" fontId="5" fillId="4" borderId="1" xfId="0" applyNumberFormat="1" applyFont="1" applyFill="1" applyBorder="1" applyAlignment="1">
      <alignment horizontal="right" vertical="center" wrapText="1"/>
    </xf>
    <xf numFmtId="0" fontId="5" fillId="4" borderId="2" xfId="0" applyFont="1" applyFill="1" applyBorder="1" applyAlignment="1">
      <alignment horizontal="center" vertical="center" wrapText="1"/>
    </xf>
    <xf numFmtId="0" fontId="5" fillId="4" borderId="2" xfId="0" applyFont="1" applyFill="1" applyBorder="1" applyAlignment="1">
      <alignment horizontal="right" vertical="center" wrapText="1"/>
    </xf>
    <xf numFmtId="20" fontId="5" fillId="4" borderId="2" xfId="0" applyNumberFormat="1" applyFont="1" applyFill="1" applyBorder="1" applyAlignment="1">
      <alignment horizontal="right" vertical="center" wrapText="1"/>
    </xf>
    <xf numFmtId="0" fontId="5" fillId="4" borderId="0" xfId="0" applyFont="1" applyFill="1" applyBorder="1" applyAlignment="1">
      <alignment horizontal="right" vertical="center" wrapText="1"/>
    </xf>
    <xf numFmtId="46" fontId="5" fillId="3" borderId="9" xfId="0" applyNumberFormat="1" applyFont="1" applyFill="1" applyBorder="1" applyAlignment="1">
      <alignment horizontal="right" vertical="center" wrapText="1"/>
    </xf>
    <xf numFmtId="0" fontId="6" fillId="0" borderId="0" xfId="0" applyFont="1"/>
    <xf numFmtId="0" fontId="4" fillId="0" borderId="0" xfId="0" quotePrefix="1" applyFont="1"/>
    <xf numFmtId="0" fontId="3" fillId="3" borderId="9" xfId="1" applyFont="1" applyFill="1" applyBorder="1" applyAlignment="1">
      <alignment horizontal="left" vertical="center" wrapText="1"/>
    </xf>
    <xf numFmtId="0" fontId="5" fillId="3" borderId="9" xfId="0" applyFont="1" applyFill="1" applyBorder="1" applyAlignment="1">
      <alignment horizontal="left" vertical="center" wrapText="1"/>
    </xf>
    <xf numFmtId="0" fontId="7" fillId="5" borderId="9" xfId="0" applyFont="1" applyFill="1" applyBorder="1" applyAlignment="1">
      <alignment horizontal="center" vertical="center" wrapText="1"/>
    </xf>
    <xf numFmtId="0" fontId="3" fillId="4" borderId="1" xfId="1" applyFont="1" applyFill="1" applyBorder="1" applyAlignment="1">
      <alignment horizontal="left" vertical="center" wrapText="1"/>
    </xf>
    <xf numFmtId="0" fontId="5" fillId="4" borderId="1" xfId="0" applyFont="1" applyFill="1" applyBorder="1" applyAlignment="1">
      <alignment horizontal="left" vertical="center" wrapText="1"/>
    </xf>
    <xf numFmtId="0" fontId="7" fillId="5" borderId="1" xfId="0" applyFont="1" applyFill="1" applyBorder="1" applyAlignment="1">
      <alignment horizontal="center" vertical="center" wrapText="1"/>
    </xf>
    <xf numFmtId="0" fontId="3" fillId="3" borderId="1" xfId="1" applyFont="1" applyFill="1" applyBorder="1" applyAlignment="1">
      <alignment horizontal="left" vertical="center" wrapText="1"/>
    </xf>
    <xf numFmtId="0" fontId="5" fillId="3" borderId="1" xfId="0" applyFont="1" applyFill="1" applyBorder="1" applyAlignment="1">
      <alignment horizontal="left" vertical="center" wrapText="1"/>
    </xf>
    <xf numFmtId="0" fontId="3" fillId="4" borderId="2" xfId="1" applyFont="1" applyFill="1" applyBorder="1" applyAlignment="1">
      <alignment horizontal="left" vertical="center" wrapText="1"/>
    </xf>
    <xf numFmtId="0" fontId="3" fillId="4" borderId="3" xfId="1" applyFont="1" applyFill="1" applyBorder="1" applyAlignment="1">
      <alignment horizontal="left" vertical="center" wrapText="1"/>
    </xf>
    <xf numFmtId="0" fontId="5" fillId="4" borderId="3" xfId="0" applyFont="1" applyFill="1" applyBorder="1" applyAlignment="1">
      <alignment horizontal="left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5" fillId="4" borderId="2" xfId="0" applyFont="1" applyFill="1" applyBorder="1" applyAlignment="1">
      <alignment horizontal="left" vertical="center" wrapText="1"/>
    </xf>
    <xf numFmtId="0" fontId="7" fillId="5" borderId="2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left" vertical="center" wrapText="1"/>
    </xf>
    <xf numFmtId="0" fontId="8" fillId="3" borderId="1" xfId="0" applyFont="1" applyFill="1" applyBorder="1" applyAlignment="1">
      <alignment horizontal="left" vertical="center" wrapText="1"/>
    </xf>
    <xf numFmtId="0" fontId="3" fillId="0" borderId="0" xfId="0" applyFont="1" applyAlignment="1"/>
    <xf numFmtId="0" fontId="1" fillId="0" borderId="0" xfId="1"/>
    <xf numFmtId="0" fontId="0" fillId="0" borderId="14" xfId="0" applyBorder="1"/>
    <xf numFmtId="0" fontId="0" fillId="0" borderId="15" xfId="0" applyBorder="1"/>
    <xf numFmtId="0" fontId="0" fillId="0" borderId="17" xfId="0" applyBorder="1"/>
    <xf numFmtId="0" fontId="0" fillId="0" borderId="0" xfId="0" applyBorder="1"/>
    <xf numFmtId="0" fontId="0" fillId="7" borderId="0" xfId="0" applyFill="1" applyBorder="1"/>
    <xf numFmtId="0" fontId="0" fillId="0" borderId="18" xfId="0" applyBorder="1"/>
    <xf numFmtId="0" fontId="0" fillId="0" borderId="20" xfId="0" applyBorder="1"/>
    <xf numFmtId="0" fontId="0" fillId="0" borderId="16" xfId="0" applyBorder="1"/>
    <xf numFmtId="0" fontId="0" fillId="6" borderId="0" xfId="0" applyFill="1" applyBorder="1"/>
    <xf numFmtId="0" fontId="0" fillId="0" borderId="0" xfId="0" applyFill="1" applyBorder="1"/>
    <xf numFmtId="0" fontId="10" fillId="0" borderId="0" xfId="0" applyFont="1" applyBorder="1"/>
    <xf numFmtId="164" fontId="0" fillId="0" borderId="0" xfId="0" applyNumberFormat="1" applyBorder="1"/>
    <xf numFmtId="0" fontId="0" fillId="0" borderId="17" xfId="0" applyFill="1" applyBorder="1"/>
    <xf numFmtId="0" fontId="0" fillId="0" borderId="0" xfId="0" applyBorder="1" applyAlignment="1">
      <alignment horizontal="center"/>
    </xf>
    <xf numFmtId="0" fontId="3" fillId="0" borderId="0" xfId="0" applyFont="1"/>
    <xf numFmtId="0" fontId="11" fillId="3" borderId="3" xfId="0" applyFont="1" applyFill="1" applyBorder="1" applyAlignment="1">
      <alignment horizontal="left" vertical="center"/>
    </xf>
    <xf numFmtId="0" fontId="11" fillId="4" borderId="2" xfId="0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left" vertical="center"/>
    </xf>
    <xf numFmtId="0" fontId="3" fillId="3" borderId="1" xfId="1" applyFont="1" applyFill="1" applyBorder="1" applyAlignment="1">
      <alignment horizontal="left" vertical="center"/>
    </xf>
    <xf numFmtId="0" fontId="3" fillId="4" borderId="1" xfId="1" applyFont="1" applyFill="1" applyBorder="1" applyAlignment="1">
      <alignment horizontal="left" vertical="center"/>
    </xf>
    <xf numFmtId="0" fontId="3" fillId="4" borderId="2" xfId="1" applyFont="1" applyFill="1" applyBorder="1" applyAlignment="1">
      <alignment horizontal="left" vertical="center"/>
    </xf>
    <xf numFmtId="0" fontId="0" fillId="0" borderId="13" xfId="0" applyBorder="1"/>
    <xf numFmtId="0" fontId="0" fillId="0" borderId="19" xfId="0" applyBorder="1"/>
    <xf numFmtId="9" fontId="0" fillId="0" borderId="20" xfId="2" applyFont="1" applyBorder="1"/>
    <xf numFmtId="0" fontId="0" fillId="6" borderId="17" xfId="0" applyFill="1" applyBorder="1"/>
    <xf numFmtId="164" fontId="0" fillId="0" borderId="17" xfId="0" applyNumberFormat="1" applyBorder="1"/>
    <xf numFmtId="164" fontId="0" fillId="0" borderId="15" xfId="0" applyNumberFormat="1" applyBorder="1"/>
    <xf numFmtId="0" fontId="0" fillId="0" borderId="18" xfId="0" applyFill="1" applyBorder="1"/>
    <xf numFmtId="0" fontId="0" fillId="6" borderId="21" xfId="0" applyFill="1" applyBorder="1"/>
    <xf numFmtId="0" fontId="0" fillId="0" borderId="22" xfId="0" applyBorder="1"/>
    <xf numFmtId="0" fontId="0" fillId="0" borderId="23" xfId="0" applyBorder="1"/>
    <xf numFmtId="0" fontId="0" fillId="0" borderId="0" xfId="0" applyBorder="1" applyAlignment="1">
      <alignment horizontal="center"/>
    </xf>
    <xf numFmtId="0" fontId="3" fillId="0" borderId="13" xfId="0" applyFont="1" applyFill="1" applyBorder="1"/>
    <xf numFmtId="0" fontId="3" fillId="0" borderId="19" xfId="0" applyFont="1" applyFill="1" applyBorder="1"/>
    <xf numFmtId="0" fontId="3" fillId="2" borderId="0" xfId="0" applyFont="1" applyFill="1" applyBorder="1"/>
    <xf numFmtId="0" fontId="3" fillId="2" borderId="20" xfId="0" applyFont="1" applyFill="1" applyBorder="1"/>
    <xf numFmtId="0" fontId="11" fillId="3" borderId="3" xfId="0" applyFont="1" applyFill="1" applyBorder="1" applyAlignment="1">
      <alignment horizontal="left" vertical="center"/>
    </xf>
    <xf numFmtId="0" fontId="11" fillId="3" borderId="1" xfId="0" applyFont="1" applyFill="1" applyBorder="1" applyAlignment="1">
      <alignment horizontal="left" vertical="center"/>
    </xf>
    <xf numFmtId="0" fontId="11" fillId="4" borderId="3" xfId="0" applyFont="1" applyFill="1" applyBorder="1" applyAlignment="1">
      <alignment horizontal="left" vertical="center"/>
    </xf>
    <xf numFmtId="0" fontId="11" fillId="4" borderId="1" xfId="0" applyFont="1" applyFill="1" applyBorder="1" applyAlignment="1">
      <alignment horizontal="left" vertical="center"/>
    </xf>
    <xf numFmtId="0" fontId="11" fillId="4" borderId="2" xfId="0" applyFont="1" applyFill="1" applyBorder="1" applyAlignment="1">
      <alignment horizontal="left" vertical="center"/>
    </xf>
    <xf numFmtId="0" fontId="0" fillId="0" borderId="13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7" xfId="0" applyBorder="1" applyAlignment="1">
      <alignment horizontal="center"/>
    </xf>
    <xf numFmtId="0" fontId="12" fillId="0" borderId="0" xfId="0" applyFont="1" applyAlignment="1">
      <alignment horizontal="center" vertical="center" wrapText="1"/>
    </xf>
    <xf numFmtId="0" fontId="12" fillId="8" borderId="0" xfId="0" applyFont="1" applyFill="1" applyAlignment="1">
      <alignment horizontal="center" vertical="center" wrapText="1"/>
    </xf>
    <xf numFmtId="0" fontId="1" fillId="0" borderId="0" xfId="1" applyAlignment="1"/>
    <xf numFmtId="0" fontId="0" fillId="0" borderId="0" xfId="0" applyAlignment="1"/>
    <xf numFmtId="0" fontId="1" fillId="0" borderId="0" xfId="1" applyAlignment="1">
      <alignment horizontal="left" vertical="center"/>
    </xf>
    <xf numFmtId="0" fontId="13" fillId="0" borderId="0" xfId="0" applyFont="1" applyAlignment="1">
      <alignment horizontal="left" vertical="center" wrapText="1"/>
    </xf>
    <xf numFmtId="0" fontId="14" fillId="0" borderId="0" xfId="0" applyFont="1" applyAlignment="1">
      <alignment horizontal="center" vertical="center" wrapText="1"/>
    </xf>
    <xf numFmtId="0" fontId="1" fillId="0" borderId="0" xfId="1" applyAlignment="1">
      <alignment horizontal="center" vertical="center" wrapText="1"/>
    </xf>
    <xf numFmtId="0" fontId="15" fillId="9" borderId="0" xfId="0" applyFont="1" applyFill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</xdr:row>
      <xdr:rowOff>0</xdr:rowOff>
    </xdr:from>
    <xdr:to>
      <xdr:col>4</xdr:col>
      <xdr:colOff>304800</xdr:colOff>
      <xdr:row>2</xdr:row>
      <xdr:rowOff>114300</xdr:rowOff>
    </xdr:to>
    <xdr:sp macro="" textlink="">
      <xdr:nvSpPr>
        <xdr:cNvPr id="1025" name="AutoShape 1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</xdr:row>
      <xdr:rowOff>0</xdr:rowOff>
    </xdr:from>
    <xdr:to>
      <xdr:col>5</xdr:col>
      <xdr:colOff>304800</xdr:colOff>
      <xdr:row>2</xdr:row>
      <xdr:rowOff>114300</xdr:rowOff>
    </xdr:to>
    <xdr:sp macro="" textlink="">
      <xdr:nvSpPr>
        <xdr:cNvPr id="1026" name="AutoShape 2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</xdr:row>
      <xdr:rowOff>0</xdr:rowOff>
    </xdr:from>
    <xdr:to>
      <xdr:col>4</xdr:col>
      <xdr:colOff>304800</xdr:colOff>
      <xdr:row>4</xdr:row>
      <xdr:rowOff>114300</xdr:rowOff>
    </xdr:to>
    <xdr:sp macro="" textlink="">
      <xdr:nvSpPr>
        <xdr:cNvPr id="1027" name="AutoShape 3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8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</xdr:row>
      <xdr:rowOff>0</xdr:rowOff>
    </xdr:from>
    <xdr:to>
      <xdr:col>5</xdr:col>
      <xdr:colOff>304800</xdr:colOff>
      <xdr:row>4</xdr:row>
      <xdr:rowOff>114300</xdr:rowOff>
    </xdr:to>
    <xdr:sp macro="" textlink="">
      <xdr:nvSpPr>
        <xdr:cNvPr id="1028" name="AutoShape 4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8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</xdr:row>
      <xdr:rowOff>0</xdr:rowOff>
    </xdr:from>
    <xdr:to>
      <xdr:col>4</xdr:col>
      <xdr:colOff>304800</xdr:colOff>
      <xdr:row>6</xdr:row>
      <xdr:rowOff>114300</xdr:rowOff>
    </xdr:to>
    <xdr:sp macro="" textlink="">
      <xdr:nvSpPr>
        <xdr:cNvPr id="1029" name="AutoShape 5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16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</xdr:row>
      <xdr:rowOff>0</xdr:rowOff>
    </xdr:from>
    <xdr:to>
      <xdr:col>5</xdr:col>
      <xdr:colOff>304800</xdr:colOff>
      <xdr:row>6</xdr:row>
      <xdr:rowOff>114300</xdr:rowOff>
    </xdr:to>
    <xdr:sp macro="" textlink="">
      <xdr:nvSpPr>
        <xdr:cNvPr id="1030" name="AutoShape 6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16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4</xdr:col>
      <xdr:colOff>304800</xdr:colOff>
      <xdr:row>8</xdr:row>
      <xdr:rowOff>114300</xdr:rowOff>
    </xdr:to>
    <xdr:sp macro="" textlink="">
      <xdr:nvSpPr>
        <xdr:cNvPr id="1031" name="AutoShape 7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74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</xdr:row>
      <xdr:rowOff>0</xdr:rowOff>
    </xdr:from>
    <xdr:to>
      <xdr:col>5</xdr:col>
      <xdr:colOff>304800</xdr:colOff>
      <xdr:row>8</xdr:row>
      <xdr:rowOff>114300</xdr:rowOff>
    </xdr:to>
    <xdr:sp macro="" textlink="">
      <xdr:nvSpPr>
        <xdr:cNvPr id="1032" name="AutoShape 8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74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304800</xdr:colOff>
      <xdr:row>10</xdr:row>
      <xdr:rowOff>114300</xdr:rowOff>
    </xdr:to>
    <xdr:sp macro="" textlink="">
      <xdr:nvSpPr>
        <xdr:cNvPr id="1033" name="AutoShape 9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32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304800</xdr:colOff>
      <xdr:row>10</xdr:row>
      <xdr:rowOff>114300</xdr:rowOff>
    </xdr:to>
    <xdr:sp macro="" textlink="">
      <xdr:nvSpPr>
        <xdr:cNvPr id="1034" name="AutoShape 10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32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</xdr:row>
      <xdr:rowOff>0</xdr:rowOff>
    </xdr:from>
    <xdr:to>
      <xdr:col>4</xdr:col>
      <xdr:colOff>304800</xdr:colOff>
      <xdr:row>12</xdr:row>
      <xdr:rowOff>114300</xdr:rowOff>
    </xdr:to>
    <xdr:sp macro="" textlink="">
      <xdr:nvSpPr>
        <xdr:cNvPr id="1035" name="AutoShape 11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90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</xdr:row>
      <xdr:rowOff>0</xdr:rowOff>
    </xdr:from>
    <xdr:to>
      <xdr:col>5</xdr:col>
      <xdr:colOff>304800</xdr:colOff>
      <xdr:row>12</xdr:row>
      <xdr:rowOff>114300</xdr:rowOff>
    </xdr:to>
    <xdr:sp macro="" textlink="">
      <xdr:nvSpPr>
        <xdr:cNvPr id="1036" name="AutoShape 12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90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</xdr:row>
      <xdr:rowOff>0</xdr:rowOff>
    </xdr:from>
    <xdr:to>
      <xdr:col>4</xdr:col>
      <xdr:colOff>304800</xdr:colOff>
      <xdr:row>14</xdr:row>
      <xdr:rowOff>114300</xdr:rowOff>
    </xdr:to>
    <xdr:sp macro="" textlink="">
      <xdr:nvSpPr>
        <xdr:cNvPr id="1037" name="AutoShape 13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486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</xdr:row>
      <xdr:rowOff>0</xdr:rowOff>
    </xdr:from>
    <xdr:to>
      <xdr:col>5</xdr:col>
      <xdr:colOff>304800</xdr:colOff>
      <xdr:row>14</xdr:row>
      <xdr:rowOff>114300</xdr:rowOff>
    </xdr:to>
    <xdr:sp macro="" textlink="">
      <xdr:nvSpPr>
        <xdr:cNvPr id="1038" name="AutoShape 14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486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304800</xdr:colOff>
      <xdr:row>16</xdr:row>
      <xdr:rowOff>114300</xdr:rowOff>
    </xdr:to>
    <xdr:sp macro="" textlink="">
      <xdr:nvSpPr>
        <xdr:cNvPr id="1039" name="AutoShape 15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067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304800</xdr:colOff>
      <xdr:row>16</xdr:row>
      <xdr:rowOff>114300</xdr:rowOff>
    </xdr:to>
    <xdr:sp macro="" textlink="">
      <xdr:nvSpPr>
        <xdr:cNvPr id="1040" name="AutoShape 16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067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</xdr:row>
      <xdr:rowOff>0</xdr:rowOff>
    </xdr:from>
    <xdr:to>
      <xdr:col>4</xdr:col>
      <xdr:colOff>304800</xdr:colOff>
      <xdr:row>18</xdr:row>
      <xdr:rowOff>76200</xdr:rowOff>
    </xdr:to>
    <xdr:sp macro="" textlink="">
      <xdr:nvSpPr>
        <xdr:cNvPr id="1041" name="AutoShape 17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64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</xdr:row>
      <xdr:rowOff>0</xdr:rowOff>
    </xdr:from>
    <xdr:to>
      <xdr:col>5</xdr:col>
      <xdr:colOff>304800</xdr:colOff>
      <xdr:row>18</xdr:row>
      <xdr:rowOff>76200</xdr:rowOff>
    </xdr:to>
    <xdr:sp macro="" textlink="">
      <xdr:nvSpPr>
        <xdr:cNvPr id="1042" name="AutoShape 18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64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</xdr:row>
      <xdr:rowOff>0</xdr:rowOff>
    </xdr:from>
    <xdr:to>
      <xdr:col>4</xdr:col>
      <xdr:colOff>304800</xdr:colOff>
      <xdr:row>20</xdr:row>
      <xdr:rowOff>114300</xdr:rowOff>
    </xdr:to>
    <xdr:sp macro="" textlink="">
      <xdr:nvSpPr>
        <xdr:cNvPr id="1043" name="AutoShape 19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076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</xdr:row>
      <xdr:rowOff>0</xdr:rowOff>
    </xdr:from>
    <xdr:to>
      <xdr:col>5</xdr:col>
      <xdr:colOff>304800</xdr:colOff>
      <xdr:row>20</xdr:row>
      <xdr:rowOff>114300</xdr:rowOff>
    </xdr:to>
    <xdr:sp macro="" textlink="">
      <xdr:nvSpPr>
        <xdr:cNvPr id="1044" name="AutoShape 20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076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304800</xdr:colOff>
      <xdr:row>22</xdr:row>
      <xdr:rowOff>114300</xdr:rowOff>
    </xdr:to>
    <xdr:sp macro="" textlink="">
      <xdr:nvSpPr>
        <xdr:cNvPr id="1045" name="AutoShape 21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65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304800</xdr:colOff>
      <xdr:row>22</xdr:row>
      <xdr:rowOff>114300</xdr:rowOff>
    </xdr:to>
    <xdr:sp macro="" textlink="">
      <xdr:nvSpPr>
        <xdr:cNvPr id="1046" name="AutoShape 2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65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</xdr:row>
      <xdr:rowOff>0</xdr:rowOff>
    </xdr:from>
    <xdr:to>
      <xdr:col>4</xdr:col>
      <xdr:colOff>304800</xdr:colOff>
      <xdr:row>24</xdr:row>
      <xdr:rowOff>114300</xdr:rowOff>
    </xdr:to>
    <xdr:sp macro="" textlink="">
      <xdr:nvSpPr>
        <xdr:cNvPr id="1047" name="AutoShape 23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429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</xdr:row>
      <xdr:rowOff>0</xdr:rowOff>
    </xdr:from>
    <xdr:to>
      <xdr:col>5</xdr:col>
      <xdr:colOff>304800</xdr:colOff>
      <xdr:row>24</xdr:row>
      <xdr:rowOff>114300</xdr:rowOff>
    </xdr:to>
    <xdr:sp macro="" textlink="">
      <xdr:nvSpPr>
        <xdr:cNvPr id="1048" name="AutoShape 24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429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25</xdr:row>
      <xdr:rowOff>0</xdr:rowOff>
    </xdr:from>
    <xdr:to>
      <xdr:col>4</xdr:col>
      <xdr:colOff>304800</xdr:colOff>
      <xdr:row>26</xdr:row>
      <xdr:rowOff>76200</xdr:rowOff>
    </xdr:to>
    <xdr:sp macro="" textlink="">
      <xdr:nvSpPr>
        <xdr:cNvPr id="1049" name="AutoShape 25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01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</xdr:row>
      <xdr:rowOff>0</xdr:rowOff>
    </xdr:from>
    <xdr:to>
      <xdr:col>5</xdr:col>
      <xdr:colOff>304800</xdr:colOff>
      <xdr:row>26</xdr:row>
      <xdr:rowOff>76200</xdr:rowOff>
    </xdr:to>
    <xdr:sp macro="" textlink="">
      <xdr:nvSpPr>
        <xdr:cNvPr id="1050" name="AutoShape 26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01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27</xdr:row>
      <xdr:rowOff>0</xdr:rowOff>
    </xdr:from>
    <xdr:to>
      <xdr:col>4</xdr:col>
      <xdr:colOff>304800</xdr:colOff>
      <xdr:row>28</xdr:row>
      <xdr:rowOff>114300</xdr:rowOff>
    </xdr:to>
    <xdr:sp macro="" textlink="">
      <xdr:nvSpPr>
        <xdr:cNvPr id="1051" name="AutoShape 27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43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</xdr:row>
      <xdr:rowOff>0</xdr:rowOff>
    </xdr:from>
    <xdr:to>
      <xdr:col>5</xdr:col>
      <xdr:colOff>304800</xdr:colOff>
      <xdr:row>28</xdr:row>
      <xdr:rowOff>114300</xdr:rowOff>
    </xdr:to>
    <xdr:sp macro="" textlink="">
      <xdr:nvSpPr>
        <xdr:cNvPr id="1052" name="AutoShape 28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43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304800</xdr:colOff>
      <xdr:row>30</xdr:row>
      <xdr:rowOff>114300</xdr:rowOff>
    </xdr:to>
    <xdr:sp macro="" textlink="">
      <xdr:nvSpPr>
        <xdr:cNvPr id="1053" name="AutoShape 29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02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</xdr:row>
      <xdr:rowOff>0</xdr:rowOff>
    </xdr:from>
    <xdr:to>
      <xdr:col>5</xdr:col>
      <xdr:colOff>304800</xdr:colOff>
      <xdr:row>30</xdr:row>
      <xdr:rowOff>114300</xdr:rowOff>
    </xdr:to>
    <xdr:sp macro="" textlink="">
      <xdr:nvSpPr>
        <xdr:cNvPr id="1054" name="AutoShape 30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02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31</xdr:row>
      <xdr:rowOff>0</xdr:rowOff>
    </xdr:from>
    <xdr:to>
      <xdr:col>4</xdr:col>
      <xdr:colOff>304800</xdr:colOff>
      <xdr:row>32</xdr:row>
      <xdr:rowOff>114300</xdr:rowOff>
    </xdr:to>
    <xdr:sp macro="" textlink="">
      <xdr:nvSpPr>
        <xdr:cNvPr id="1055" name="AutoShape 31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60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31</xdr:row>
      <xdr:rowOff>0</xdr:rowOff>
    </xdr:from>
    <xdr:to>
      <xdr:col>5</xdr:col>
      <xdr:colOff>304800</xdr:colOff>
      <xdr:row>32</xdr:row>
      <xdr:rowOff>114300</xdr:rowOff>
    </xdr:to>
    <xdr:sp macro="" textlink="">
      <xdr:nvSpPr>
        <xdr:cNvPr id="1056" name="AutoShape 32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60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33</xdr:row>
      <xdr:rowOff>0</xdr:rowOff>
    </xdr:from>
    <xdr:to>
      <xdr:col>4</xdr:col>
      <xdr:colOff>304800</xdr:colOff>
      <xdr:row>34</xdr:row>
      <xdr:rowOff>114300</xdr:rowOff>
    </xdr:to>
    <xdr:sp macro="" textlink="">
      <xdr:nvSpPr>
        <xdr:cNvPr id="1057" name="AutoShape 33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918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33</xdr:row>
      <xdr:rowOff>0</xdr:rowOff>
    </xdr:from>
    <xdr:to>
      <xdr:col>5</xdr:col>
      <xdr:colOff>304800</xdr:colOff>
      <xdr:row>34</xdr:row>
      <xdr:rowOff>114300</xdr:rowOff>
    </xdr:to>
    <xdr:sp macro="" textlink="">
      <xdr:nvSpPr>
        <xdr:cNvPr id="1058" name="AutoShape 34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918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35</xdr:row>
      <xdr:rowOff>0</xdr:rowOff>
    </xdr:from>
    <xdr:to>
      <xdr:col>4</xdr:col>
      <xdr:colOff>304800</xdr:colOff>
      <xdr:row>36</xdr:row>
      <xdr:rowOff>114300</xdr:rowOff>
    </xdr:to>
    <xdr:sp macro="" textlink="">
      <xdr:nvSpPr>
        <xdr:cNvPr id="1059" name="AutoShape 35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995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35</xdr:row>
      <xdr:rowOff>0</xdr:rowOff>
    </xdr:from>
    <xdr:to>
      <xdr:col>5</xdr:col>
      <xdr:colOff>304800</xdr:colOff>
      <xdr:row>36</xdr:row>
      <xdr:rowOff>114300</xdr:rowOff>
    </xdr:to>
    <xdr:sp macro="" textlink="">
      <xdr:nvSpPr>
        <xdr:cNvPr id="1060" name="AutoShape 36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995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37</xdr:row>
      <xdr:rowOff>0</xdr:rowOff>
    </xdr:from>
    <xdr:to>
      <xdr:col>4</xdr:col>
      <xdr:colOff>304800</xdr:colOff>
      <xdr:row>38</xdr:row>
      <xdr:rowOff>114300</xdr:rowOff>
    </xdr:to>
    <xdr:sp macro="" textlink="">
      <xdr:nvSpPr>
        <xdr:cNvPr id="1061" name="AutoShape 37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053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37</xdr:row>
      <xdr:rowOff>0</xdr:rowOff>
    </xdr:from>
    <xdr:to>
      <xdr:col>5</xdr:col>
      <xdr:colOff>304800</xdr:colOff>
      <xdr:row>38</xdr:row>
      <xdr:rowOff>114300</xdr:rowOff>
    </xdr:to>
    <xdr:sp macro="" textlink="">
      <xdr:nvSpPr>
        <xdr:cNvPr id="1062" name="AutoShape 38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053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39</xdr:row>
      <xdr:rowOff>0</xdr:rowOff>
    </xdr:from>
    <xdr:to>
      <xdr:col>4</xdr:col>
      <xdr:colOff>304800</xdr:colOff>
      <xdr:row>40</xdr:row>
      <xdr:rowOff>114300</xdr:rowOff>
    </xdr:to>
    <xdr:sp macro="" textlink="">
      <xdr:nvSpPr>
        <xdr:cNvPr id="1063" name="AutoShape 39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1115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39</xdr:row>
      <xdr:rowOff>0</xdr:rowOff>
    </xdr:from>
    <xdr:to>
      <xdr:col>5</xdr:col>
      <xdr:colOff>304800</xdr:colOff>
      <xdr:row>40</xdr:row>
      <xdr:rowOff>114300</xdr:rowOff>
    </xdr:to>
    <xdr:sp macro="" textlink="">
      <xdr:nvSpPr>
        <xdr:cNvPr id="1064" name="AutoShape 40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1115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41</xdr:row>
      <xdr:rowOff>0</xdr:rowOff>
    </xdr:from>
    <xdr:to>
      <xdr:col>4</xdr:col>
      <xdr:colOff>304800</xdr:colOff>
      <xdr:row>42</xdr:row>
      <xdr:rowOff>114300</xdr:rowOff>
    </xdr:to>
    <xdr:sp macro="" textlink="">
      <xdr:nvSpPr>
        <xdr:cNvPr id="1065" name="AutoShape 41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169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41</xdr:row>
      <xdr:rowOff>0</xdr:rowOff>
    </xdr:from>
    <xdr:to>
      <xdr:col>5</xdr:col>
      <xdr:colOff>304800</xdr:colOff>
      <xdr:row>42</xdr:row>
      <xdr:rowOff>114300</xdr:rowOff>
    </xdr:to>
    <xdr:sp macro="" textlink="">
      <xdr:nvSpPr>
        <xdr:cNvPr id="1066" name="AutoShape 42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169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43</xdr:row>
      <xdr:rowOff>0</xdr:rowOff>
    </xdr:from>
    <xdr:to>
      <xdr:col>4</xdr:col>
      <xdr:colOff>304800</xdr:colOff>
      <xdr:row>44</xdr:row>
      <xdr:rowOff>114300</xdr:rowOff>
    </xdr:to>
    <xdr:sp macro="" textlink="">
      <xdr:nvSpPr>
        <xdr:cNvPr id="1067" name="AutoShape 43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2277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43</xdr:row>
      <xdr:rowOff>0</xdr:rowOff>
    </xdr:from>
    <xdr:to>
      <xdr:col>5</xdr:col>
      <xdr:colOff>304800</xdr:colOff>
      <xdr:row>44</xdr:row>
      <xdr:rowOff>114300</xdr:rowOff>
    </xdr:to>
    <xdr:sp macro="" textlink="">
      <xdr:nvSpPr>
        <xdr:cNvPr id="1068" name="AutoShape 44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2277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45</xdr:row>
      <xdr:rowOff>0</xdr:rowOff>
    </xdr:from>
    <xdr:to>
      <xdr:col>4</xdr:col>
      <xdr:colOff>304800</xdr:colOff>
      <xdr:row>46</xdr:row>
      <xdr:rowOff>114300</xdr:rowOff>
    </xdr:to>
    <xdr:sp macro="" textlink="">
      <xdr:nvSpPr>
        <xdr:cNvPr id="1069" name="AutoShape 45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285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45</xdr:row>
      <xdr:rowOff>0</xdr:rowOff>
    </xdr:from>
    <xdr:to>
      <xdr:col>5</xdr:col>
      <xdr:colOff>304800</xdr:colOff>
      <xdr:row>46</xdr:row>
      <xdr:rowOff>114300</xdr:rowOff>
    </xdr:to>
    <xdr:sp macro="" textlink="">
      <xdr:nvSpPr>
        <xdr:cNvPr id="1070" name="AutoShape 46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285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47</xdr:row>
      <xdr:rowOff>0</xdr:rowOff>
    </xdr:from>
    <xdr:to>
      <xdr:col>4</xdr:col>
      <xdr:colOff>304800</xdr:colOff>
      <xdr:row>48</xdr:row>
      <xdr:rowOff>114300</xdr:rowOff>
    </xdr:to>
    <xdr:sp macro="" textlink="">
      <xdr:nvSpPr>
        <xdr:cNvPr id="1071" name="AutoShape 47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3630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47</xdr:row>
      <xdr:rowOff>0</xdr:rowOff>
    </xdr:from>
    <xdr:to>
      <xdr:col>5</xdr:col>
      <xdr:colOff>304800</xdr:colOff>
      <xdr:row>48</xdr:row>
      <xdr:rowOff>114300</xdr:rowOff>
    </xdr:to>
    <xdr:sp macro="" textlink="">
      <xdr:nvSpPr>
        <xdr:cNvPr id="1072" name="AutoShape 48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3630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49</xdr:row>
      <xdr:rowOff>0</xdr:rowOff>
    </xdr:from>
    <xdr:to>
      <xdr:col>4</xdr:col>
      <xdr:colOff>304800</xdr:colOff>
      <xdr:row>50</xdr:row>
      <xdr:rowOff>114300</xdr:rowOff>
    </xdr:to>
    <xdr:sp macro="" textlink="">
      <xdr:nvSpPr>
        <xdr:cNvPr id="1073" name="AutoShape 49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421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49</xdr:row>
      <xdr:rowOff>0</xdr:rowOff>
    </xdr:from>
    <xdr:to>
      <xdr:col>5</xdr:col>
      <xdr:colOff>304800</xdr:colOff>
      <xdr:row>50</xdr:row>
      <xdr:rowOff>114300</xdr:rowOff>
    </xdr:to>
    <xdr:sp macro="" textlink="">
      <xdr:nvSpPr>
        <xdr:cNvPr id="1074" name="AutoShape 50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421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51</xdr:row>
      <xdr:rowOff>0</xdr:rowOff>
    </xdr:from>
    <xdr:to>
      <xdr:col>4</xdr:col>
      <xdr:colOff>304800</xdr:colOff>
      <xdr:row>52</xdr:row>
      <xdr:rowOff>76200</xdr:rowOff>
    </xdr:to>
    <xdr:sp macro="" textlink="">
      <xdr:nvSpPr>
        <xdr:cNvPr id="1075" name="AutoShape 51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498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51</xdr:row>
      <xdr:rowOff>0</xdr:rowOff>
    </xdr:from>
    <xdr:to>
      <xdr:col>5</xdr:col>
      <xdr:colOff>304800</xdr:colOff>
      <xdr:row>52</xdr:row>
      <xdr:rowOff>76200</xdr:rowOff>
    </xdr:to>
    <xdr:sp macro="" textlink="">
      <xdr:nvSpPr>
        <xdr:cNvPr id="1076" name="AutoShape 5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498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53</xdr:row>
      <xdr:rowOff>0</xdr:rowOff>
    </xdr:from>
    <xdr:to>
      <xdr:col>4</xdr:col>
      <xdr:colOff>304800</xdr:colOff>
      <xdr:row>54</xdr:row>
      <xdr:rowOff>114300</xdr:rowOff>
    </xdr:to>
    <xdr:sp macro="" textlink="">
      <xdr:nvSpPr>
        <xdr:cNvPr id="1077" name="AutoShape 53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541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53</xdr:row>
      <xdr:rowOff>0</xdr:rowOff>
    </xdr:from>
    <xdr:to>
      <xdr:col>5</xdr:col>
      <xdr:colOff>304800</xdr:colOff>
      <xdr:row>54</xdr:row>
      <xdr:rowOff>114300</xdr:rowOff>
    </xdr:to>
    <xdr:sp macro="" textlink="">
      <xdr:nvSpPr>
        <xdr:cNvPr id="1078" name="AutoShape 54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541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55</xdr:row>
      <xdr:rowOff>0</xdr:rowOff>
    </xdr:from>
    <xdr:to>
      <xdr:col>4</xdr:col>
      <xdr:colOff>304800</xdr:colOff>
      <xdr:row>56</xdr:row>
      <xdr:rowOff>114300</xdr:rowOff>
    </xdr:to>
    <xdr:sp macro="" textlink="">
      <xdr:nvSpPr>
        <xdr:cNvPr id="1079" name="AutoShape 55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5992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55</xdr:row>
      <xdr:rowOff>0</xdr:rowOff>
    </xdr:from>
    <xdr:to>
      <xdr:col>5</xdr:col>
      <xdr:colOff>304800</xdr:colOff>
      <xdr:row>56</xdr:row>
      <xdr:rowOff>114300</xdr:rowOff>
    </xdr:to>
    <xdr:sp macro="" textlink="">
      <xdr:nvSpPr>
        <xdr:cNvPr id="1080" name="AutoShape 56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5992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57</xdr:row>
      <xdr:rowOff>0</xdr:rowOff>
    </xdr:from>
    <xdr:to>
      <xdr:col>4</xdr:col>
      <xdr:colOff>304800</xdr:colOff>
      <xdr:row>58</xdr:row>
      <xdr:rowOff>114300</xdr:rowOff>
    </xdr:to>
    <xdr:sp macro="" textlink="">
      <xdr:nvSpPr>
        <xdr:cNvPr id="1081" name="AutoShape 57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638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57</xdr:row>
      <xdr:rowOff>0</xdr:rowOff>
    </xdr:from>
    <xdr:to>
      <xdr:col>5</xdr:col>
      <xdr:colOff>304800</xdr:colOff>
      <xdr:row>58</xdr:row>
      <xdr:rowOff>114300</xdr:rowOff>
    </xdr:to>
    <xdr:sp macro="" textlink="">
      <xdr:nvSpPr>
        <xdr:cNvPr id="1082" name="AutoShape 58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638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59</xdr:row>
      <xdr:rowOff>0</xdr:rowOff>
    </xdr:from>
    <xdr:to>
      <xdr:col>4</xdr:col>
      <xdr:colOff>304800</xdr:colOff>
      <xdr:row>60</xdr:row>
      <xdr:rowOff>114300</xdr:rowOff>
    </xdr:to>
    <xdr:sp macro="" textlink="">
      <xdr:nvSpPr>
        <xdr:cNvPr id="1083" name="AutoShape 59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696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59</xdr:row>
      <xdr:rowOff>0</xdr:rowOff>
    </xdr:from>
    <xdr:to>
      <xdr:col>5</xdr:col>
      <xdr:colOff>304800</xdr:colOff>
      <xdr:row>60</xdr:row>
      <xdr:rowOff>114300</xdr:rowOff>
    </xdr:to>
    <xdr:sp macro="" textlink="">
      <xdr:nvSpPr>
        <xdr:cNvPr id="1084" name="AutoShape 60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696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61</xdr:row>
      <xdr:rowOff>0</xdr:rowOff>
    </xdr:from>
    <xdr:to>
      <xdr:col>4</xdr:col>
      <xdr:colOff>304800</xdr:colOff>
      <xdr:row>62</xdr:row>
      <xdr:rowOff>114300</xdr:rowOff>
    </xdr:to>
    <xdr:sp macro="" textlink="">
      <xdr:nvSpPr>
        <xdr:cNvPr id="1085" name="AutoShape 61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7545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61</xdr:row>
      <xdr:rowOff>0</xdr:rowOff>
    </xdr:from>
    <xdr:to>
      <xdr:col>5</xdr:col>
      <xdr:colOff>304800</xdr:colOff>
      <xdr:row>62</xdr:row>
      <xdr:rowOff>114300</xdr:rowOff>
    </xdr:to>
    <xdr:sp macro="" textlink="">
      <xdr:nvSpPr>
        <xdr:cNvPr id="1086" name="AutoShape 62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7545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63</xdr:row>
      <xdr:rowOff>0</xdr:rowOff>
    </xdr:from>
    <xdr:to>
      <xdr:col>4</xdr:col>
      <xdr:colOff>304800</xdr:colOff>
      <xdr:row>64</xdr:row>
      <xdr:rowOff>114300</xdr:rowOff>
    </xdr:to>
    <xdr:sp macro="" textlink="">
      <xdr:nvSpPr>
        <xdr:cNvPr id="1087" name="AutoShape 63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812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63</xdr:row>
      <xdr:rowOff>0</xdr:rowOff>
    </xdr:from>
    <xdr:to>
      <xdr:col>5</xdr:col>
      <xdr:colOff>304800</xdr:colOff>
      <xdr:row>64</xdr:row>
      <xdr:rowOff>114300</xdr:rowOff>
    </xdr:to>
    <xdr:sp macro="" textlink="">
      <xdr:nvSpPr>
        <xdr:cNvPr id="1088" name="AutoShape 64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812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65</xdr:row>
      <xdr:rowOff>0</xdr:rowOff>
    </xdr:from>
    <xdr:to>
      <xdr:col>4</xdr:col>
      <xdr:colOff>304800</xdr:colOff>
      <xdr:row>66</xdr:row>
      <xdr:rowOff>114300</xdr:rowOff>
    </xdr:to>
    <xdr:sp macro="" textlink="">
      <xdr:nvSpPr>
        <xdr:cNvPr id="1089" name="AutoShape 65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870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65</xdr:row>
      <xdr:rowOff>0</xdr:rowOff>
    </xdr:from>
    <xdr:to>
      <xdr:col>5</xdr:col>
      <xdr:colOff>304800</xdr:colOff>
      <xdr:row>66</xdr:row>
      <xdr:rowOff>114300</xdr:rowOff>
    </xdr:to>
    <xdr:sp macro="" textlink="">
      <xdr:nvSpPr>
        <xdr:cNvPr id="1090" name="AutoShape 66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870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67</xdr:row>
      <xdr:rowOff>0</xdr:rowOff>
    </xdr:from>
    <xdr:to>
      <xdr:col>4</xdr:col>
      <xdr:colOff>304800</xdr:colOff>
      <xdr:row>68</xdr:row>
      <xdr:rowOff>114300</xdr:rowOff>
    </xdr:to>
    <xdr:sp macro="" textlink="">
      <xdr:nvSpPr>
        <xdr:cNvPr id="1091" name="AutoShape 67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9478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67</xdr:row>
      <xdr:rowOff>0</xdr:rowOff>
    </xdr:from>
    <xdr:to>
      <xdr:col>5</xdr:col>
      <xdr:colOff>304800</xdr:colOff>
      <xdr:row>68</xdr:row>
      <xdr:rowOff>114300</xdr:rowOff>
    </xdr:to>
    <xdr:sp macro="" textlink="">
      <xdr:nvSpPr>
        <xdr:cNvPr id="1092" name="AutoShape 68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9478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69</xdr:row>
      <xdr:rowOff>0</xdr:rowOff>
    </xdr:from>
    <xdr:to>
      <xdr:col>4</xdr:col>
      <xdr:colOff>304800</xdr:colOff>
      <xdr:row>70</xdr:row>
      <xdr:rowOff>114300</xdr:rowOff>
    </xdr:to>
    <xdr:sp macro="" textlink="">
      <xdr:nvSpPr>
        <xdr:cNvPr id="1093" name="AutoShape 69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005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69</xdr:row>
      <xdr:rowOff>0</xdr:rowOff>
    </xdr:from>
    <xdr:to>
      <xdr:col>5</xdr:col>
      <xdr:colOff>304800</xdr:colOff>
      <xdr:row>70</xdr:row>
      <xdr:rowOff>114300</xdr:rowOff>
    </xdr:to>
    <xdr:sp macro="" textlink="">
      <xdr:nvSpPr>
        <xdr:cNvPr id="1094" name="AutoShape 70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005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71</xdr:row>
      <xdr:rowOff>0</xdr:rowOff>
    </xdr:from>
    <xdr:to>
      <xdr:col>4</xdr:col>
      <xdr:colOff>304800</xdr:colOff>
      <xdr:row>72</xdr:row>
      <xdr:rowOff>114300</xdr:rowOff>
    </xdr:to>
    <xdr:sp macro="" textlink="">
      <xdr:nvSpPr>
        <xdr:cNvPr id="1095" name="AutoShape 71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064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71</xdr:row>
      <xdr:rowOff>0</xdr:rowOff>
    </xdr:from>
    <xdr:to>
      <xdr:col>5</xdr:col>
      <xdr:colOff>304800</xdr:colOff>
      <xdr:row>72</xdr:row>
      <xdr:rowOff>114300</xdr:rowOff>
    </xdr:to>
    <xdr:sp macro="" textlink="">
      <xdr:nvSpPr>
        <xdr:cNvPr id="1096" name="AutoShape 72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064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73</xdr:row>
      <xdr:rowOff>0</xdr:rowOff>
    </xdr:from>
    <xdr:to>
      <xdr:col>4</xdr:col>
      <xdr:colOff>304800</xdr:colOff>
      <xdr:row>74</xdr:row>
      <xdr:rowOff>76200</xdr:rowOff>
    </xdr:to>
    <xdr:sp macro="" textlink="">
      <xdr:nvSpPr>
        <xdr:cNvPr id="1097" name="AutoShape 73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122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73</xdr:row>
      <xdr:rowOff>0</xdr:rowOff>
    </xdr:from>
    <xdr:to>
      <xdr:col>5</xdr:col>
      <xdr:colOff>304800</xdr:colOff>
      <xdr:row>74</xdr:row>
      <xdr:rowOff>76200</xdr:rowOff>
    </xdr:to>
    <xdr:sp macro="" textlink="">
      <xdr:nvSpPr>
        <xdr:cNvPr id="1098" name="AutoShape 74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122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75</xdr:row>
      <xdr:rowOff>0</xdr:rowOff>
    </xdr:from>
    <xdr:to>
      <xdr:col>4</xdr:col>
      <xdr:colOff>304800</xdr:colOff>
      <xdr:row>76</xdr:row>
      <xdr:rowOff>114300</xdr:rowOff>
    </xdr:to>
    <xdr:sp macro="" textlink="">
      <xdr:nvSpPr>
        <xdr:cNvPr id="1099" name="AutoShape 75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165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75</xdr:row>
      <xdr:rowOff>0</xdr:rowOff>
    </xdr:from>
    <xdr:to>
      <xdr:col>5</xdr:col>
      <xdr:colOff>304800</xdr:colOff>
      <xdr:row>76</xdr:row>
      <xdr:rowOff>114300</xdr:rowOff>
    </xdr:to>
    <xdr:sp macro="" textlink="">
      <xdr:nvSpPr>
        <xdr:cNvPr id="1100" name="AutoShape 76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165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77</xdr:row>
      <xdr:rowOff>0</xdr:rowOff>
    </xdr:from>
    <xdr:to>
      <xdr:col>4</xdr:col>
      <xdr:colOff>304800</xdr:colOff>
      <xdr:row>78</xdr:row>
      <xdr:rowOff>114300</xdr:rowOff>
    </xdr:to>
    <xdr:sp macro="" textlink="">
      <xdr:nvSpPr>
        <xdr:cNvPr id="1101" name="AutoShape 77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223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77</xdr:row>
      <xdr:rowOff>0</xdr:rowOff>
    </xdr:from>
    <xdr:to>
      <xdr:col>5</xdr:col>
      <xdr:colOff>304800</xdr:colOff>
      <xdr:row>78</xdr:row>
      <xdr:rowOff>114300</xdr:rowOff>
    </xdr:to>
    <xdr:sp macro="" textlink="">
      <xdr:nvSpPr>
        <xdr:cNvPr id="1102" name="AutoShape 78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223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79</xdr:row>
      <xdr:rowOff>0</xdr:rowOff>
    </xdr:from>
    <xdr:to>
      <xdr:col>4</xdr:col>
      <xdr:colOff>304800</xdr:colOff>
      <xdr:row>80</xdr:row>
      <xdr:rowOff>114300</xdr:rowOff>
    </xdr:to>
    <xdr:sp macro="" textlink="">
      <xdr:nvSpPr>
        <xdr:cNvPr id="1103" name="AutoShape 79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300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79</xdr:row>
      <xdr:rowOff>0</xdr:rowOff>
    </xdr:from>
    <xdr:to>
      <xdr:col>5</xdr:col>
      <xdr:colOff>304800</xdr:colOff>
      <xdr:row>80</xdr:row>
      <xdr:rowOff>114300</xdr:rowOff>
    </xdr:to>
    <xdr:sp macro="" textlink="">
      <xdr:nvSpPr>
        <xdr:cNvPr id="1104" name="AutoShape 80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300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81</xdr:row>
      <xdr:rowOff>0</xdr:rowOff>
    </xdr:from>
    <xdr:to>
      <xdr:col>4</xdr:col>
      <xdr:colOff>304800</xdr:colOff>
      <xdr:row>82</xdr:row>
      <xdr:rowOff>114300</xdr:rowOff>
    </xdr:to>
    <xdr:sp macro="" textlink="">
      <xdr:nvSpPr>
        <xdr:cNvPr id="1105" name="AutoShape 81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358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81</xdr:row>
      <xdr:rowOff>0</xdr:rowOff>
    </xdr:from>
    <xdr:to>
      <xdr:col>5</xdr:col>
      <xdr:colOff>304800</xdr:colOff>
      <xdr:row>82</xdr:row>
      <xdr:rowOff>114300</xdr:rowOff>
    </xdr:to>
    <xdr:sp macro="" textlink="">
      <xdr:nvSpPr>
        <xdr:cNvPr id="1106" name="AutoShape 82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358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83</xdr:row>
      <xdr:rowOff>0</xdr:rowOff>
    </xdr:from>
    <xdr:to>
      <xdr:col>4</xdr:col>
      <xdr:colOff>304800</xdr:colOff>
      <xdr:row>84</xdr:row>
      <xdr:rowOff>114300</xdr:rowOff>
    </xdr:to>
    <xdr:sp macro="" textlink="">
      <xdr:nvSpPr>
        <xdr:cNvPr id="1107" name="AutoShape 83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416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83</xdr:row>
      <xdr:rowOff>0</xdr:rowOff>
    </xdr:from>
    <xdr:to>
      <xdr:col>5</xdr:col>
      <xdr:colOff>304800</xdr:colOff>
      <xdr:row>84</xdr:row>
      <xdr:rowOff>114300</xdr:rowOff>
    </xdr:to>
    <xdr:sp macro="" textlink="">
      <xdr:nvSpPr>
        <xdr:cNvPr id="1108" name="AutoShape 84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416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85</xdr:row>
      <xdr:rowOff>0</xdr:rowOff>
    </xdr:from>
    <xdr:to>
      <xdr:col>4</xdr:col>
      <xdr:colOff>304800</xdr:colOff>
      <xdr:row>86</xdr:row>
      <xdr:rowOff>114300</xdr:rowOff>
    </xdr:to>
    <xdr:sp macro="" textlink="">
      <xdr:nvSpPr>
        <xdr:cNvPr id="1109" name="AutoShape 85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474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85</xdr:row>
      <xdr:rowOff>0</xdr:rowOff>
    </xdr:from>
    <xdr:to>
      <xdr:col>5</xdr:col>
      <xdr:colOff>304800</xdr:colOff>
      <xdr:row>86</xdr:row>
      <xdr:rowOff>114300</xdr:rowOff>
    </xdr:to>
    <xdr:sp macro="" textlink="">
      <xdr:nvSpPr>
        <xdr:cNvPr id="1110" name="AutoShape 86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474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87</xdr:row>
      <xdr:rowOff>0</xdr:rowOff>
    </xdr:from>
    <xdr:to>
      <xdr:col>4</xdr:col>
      <xdr:colOff>304800</xdr:colOff>
      <xdr:row>88</xdr:row>
      <xdr:rowOff>114300</xdr:rowOff>
    </xdr:to>
    <xdr:sp macro="" textlink="">
      <xdr:nvSpPr>
        <xdr:cNvPr id="1111" name="AutoShape 87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532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87</xdr:row>
      <xdr:rowOff>0</xdr:rowOff>
    </xdr:from>
    <xdr:to>
      <xdr:col>5</xdr:col>
      <xdr:colOff>304800</xdr:colOff>
      <xdr:row>88</xdr:row>
      <xdr:rowOff>114300</xdr:rowOff>
    </xdr:to>
    <xdr:sp macro="" textlink="">
      <xdr:nvSpPr>
        <xdr:cNvPr id="1112" name="AutoShape 88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532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89</xdr:row>
      <xdr:rowOff>0</xdr:rowOff>
    </xdr:from>
    <xdr:to>
      <xdr:col>4</xdr:col>
      <xdr:colOff>304800</xdr:colOff>
      <xdr:row>90</xdr:row>
      <xdr:rowOff>114300</xdr:rowOff>
    </xdr:to>
    <xdr:sp macro="" textlink="">
      <xdr:nvSpPr>
        <xdr:cNvPr id="1113" name="AutoShape 89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59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89</xdr:row>
      <xdr:rowOff>0</xdr:rowOff>
    </xdr:from>
    <xdr:to>
      <xdr:col>5</xdr:col>
      <xdr:colOff>304800</xdr:colOff>
      <xdr:row>90</xdr:row>
      <xdr:rowOff>114300</xdr:rowOff>
    </xdr:to>
    <xdr:sp macro="" textlink="">
      <xdr:nvSpPr>
        <xdr:cNvPr id="1114" name="AutoShape 90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59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91</xdr:row>
      <xdr:rowOff>0</xdr:rowOff>
    </xdr:from>
    <xdr:to>
      <xdr:col>4</xdr:col>
      <xdr:colOff>304800</xdr:colOff>
      <xdr:row>92</xdr:row>
      <xdr:rowOff>114300</xdr:rowOff>
    </xdr:to>
    <xdr:sp macro="" textlink="">
      <xdr:nvSpPr>
        <xdr:cNvPr id="1115" name="AutoShape 91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648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91</xdr:row>
      <xdr:rowOff>0</xdr:rowOff>
    </xdr:from>
    <xdr:to>
      <xdr:col>5</xdr:col>
      <xdr:colOff>304800</xdr:colOff>
      <xdr:row>92</xdr:row>
      <xdr:rowOff>114300</xdr:rowOff>
    </xdr:to>
    <xdr:sp macro="" textlink="">
      <xdr:nvSpPr>
        <xdr:cNvPr id="1116" name="AutoShape 92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648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93</xdr:row>
      <xdr:rowOff>0</xdr:rowOff>
    </xdr:from>
    <xdr:to>
      <xdr:col>4</xdr:col>
      <xdr:colOff>304800</xdr:colOff>
      <xdr:row>94</xdr:row>
      <xdr:rowOff>114300</xdr:rowOff>
    </xdr:to>
    <xdr:sp macro="" textlink="">
      <xdr:nvSpPr>
        <xdr:cNvPr id="1117" name="AutoShape 93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707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93</xdr:row>
      <xdr:rowOff>0</xdr:rowOff>
    </xdr:from>
    <xdr:to>
      <xdr:col>5</xdr:col>
      <xdr:colOff>304800</xdr:colOff>
      <xdr:row>94</xdr:row>
      <xdr:rowOff>114300</xdr:rowOff>
    </xdr:to>
    <xdr:sp macro="" textlink="">
      <xdr:nvSpPr>
        <xdr:cNvPr id="1118" name="AutoShape 94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707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95</xdr:row>
      <xdr:rowOff>0</xdr:rowOff>
    </xdr:from>
    <xdr:to>
      <xdr:col>4</xdr:col>
      <xdr:colOff>304800</xdr:colOff>
      <xdr:row>96</xdr:row>
      <xdr:rowOff>76200</xdr:rowOff>
    </xdr:to>
    <xdr:sp macro="" textlink="">
      <xdr:nvSpPr>
        <xdr:cNvPr id="1119" name="AutoShape 95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765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95</xdr:row>
      <xdr:rowOff>0</xdr:rowOff>
    </xdr:from>
    <xdr:to>
      <xdr:col>5</xdr:col>
      <xdr:colOff>304800</xdr:colOff>
      <xdr:row>96</xdr:row>
      <xdr:rowOff>76200</xdr:rowOff>
    </xdr:to>
    <xdr:sp macro="" textlink="">
      <xdr:nvSpPr>
        <xdr:cNvPr id="1120" name="AutoShape 96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765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97</xdr:row>
      <xdr:rowOff>0</xdr:rowOff>
    </xdr:from>
    <xdr:to>
      <xdr:col>4</xdr:col>
      <xdr:colOff>304800</xdr:colOff>
      <xdr:row>98</xdr:row>
      <xdr:rowOff>76200</xdr:rowOff>
    </xdr:to>
    <xdr:sp macro="" textlink="">
      <xdr:nvSpPr>
        <xdr:cNvPr id="1121" name="AutoShape 97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8079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97</xdr:row>
      <xdr:rowOff>0</xdr:rowOff>
    </xdr:from>
    <xdr:to>
      <xdr:col>5</xdr:col>
      <xdr:colOff>304800</xdr:colOff>
      <xdr:row>98</xdr:row>
      <xdr:rowOff>76200</xdr:rowOff>
    </xdr:to>
    <xdr:sp macro="" textlink="">
      <xdr:nvSpPr>
        <xdr:cNvPr id="1122" name="AutoShape 9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8079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99</xdr:row>
      <xdr:rowOff>0</xdr:rowOff>
    </xdr:from>
    <xdr:to>
      <xdr:col>4</xdr:col>
      <xdr:colOff>304800</xdr:colOff>
      <xdr:row>100</xdr:row>
      <xdr:rowOff>114300</xdr:rowOff>
    </xdr:to>
    <xdr:sp macro="" textlink="">
      <xdr:nvSpPr>
        <xdr:cNvPr id="1123" name="AutoShape 99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850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99</xdr:row>
      <xdr:rowOff>0</xdr:rowOff>
    </xdr:from>
    <xdr:to>
      <xdr:col>5</xdr:col>
      <xdr:colOff>304800</xdr:colOff>
      <xdr:row>100</xdr:row>
      <xdr:rowOff>114300</xdr:rowOff>
    </xdr:to>
    <xdr:sp macro="" textlink="">
      <xdr:nvSpPr>
        <xdr:cNvPr id="1124" name="AutoShape 100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850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101</xdr:row>
      <xdr:rowOff>0</xdr:rowOff>
    </xdr:from>
    <xdr:to>
      <xdr:col>4</xdr:col>
      <xdr:colOff>304800</xdr:colOff>
      <xdr:row>102</xdr:row>
      <xdr:rowOff>114300</xdr:rowOff>
    </xdr:to>
    <xdr:sp macro="" textlink="">
      <xdr:nvSpPr>
        <xdr:cNvPr id="1125" name="AutoShape 101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908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101</xdr:row>
      <xdr:rowOff>0</xdr:rowOff>
    </xdr:from>
    <xdr:to>
      <xdr:col>5</xdr:col>
      <xdr:colOff>304800</xdr:colOff>
      <xdr:row>102</xdr:row>
      <xdr:rowOff>114300</xdr:rowOff>
    </xdr:to>
    <xdr:sp macro="" textlink="">
      <xdr:nvSpPr>
        <xdr:cNvPr id="1126" name="AutoShape 102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908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103</xdr:row>
      <xdr:rowOff>0</xdr:rowOff>
    </xdr:from>
    <xdr:to>
      <xdr:col>4</xdr:col>
      <xdr:colOff>304800</xdr:colOff>
      <xdr:row>104</xdr:row>
      <xdr:rowOff>114300</xdr:rowOff>
    </xdr:to>
    <xdr:sp macro="" textlink="">
      <xdr:nvSpPr>
        <xdr:cNvPr id="1127" name="AutoShape 103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986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103</xdr:row>
      <xdr:rowOff>0</xdr:rowOff>
    </xdr:from>
    <xdr:to>
      <xdr:col>5</xdr:col>
      <xdr:colOff>304800</xdr:colOff>
      <xdr:row>104</xdr:row>
      <xdr:rowOff>114300</xdr:rowOff>
    </xdr:to>
    <xdr:sp macro="" textlink="">
      <xdr:nvSpPr>
        <xdr:cNvPr id="1128" name="AutoShape 104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986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105</xdr:row>
      <xdr:rowOff>0</xdr:rowOff>
    </xdr:from>
    <xdr:to>
      <xdr:col>4</xdr:col>
      <xdr:colOff>304800</xdr:colOff>
      <xdr:row>106</xdr:row>
      <xdr:rowOff>114300</xdr:rowOff>
    </xdr:to>
    <xdr:sp macro="" textlink="">
      <xdr:nvSpPr>
        <xdr:cNvPr id="1129" name="AutoShape 105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044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105</xdr:row>
      <xdr:rowOff>0</xdr:rowOff>
    </xdr:from>
    <xdr:to>
      <xdr:col>5</xdr:col>
      <xdr:colOff>304800</xdr:colOff>
      <xdr:row>106</xdr:row>
      <xdr:rowOff>114300</xdr:rowOff>
    </xdr:to>
    <xdr:sp macro="" textlink="">
      <xdr:nvSpPr>
        <xdr:cNvPr id="1130" name="AutoShape 106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044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107</xdr:row>
      <xdr:rowOff>0</xdr:rowOff>
    </xdr:from>
    <xdr:to>
      <xdr:col>4</xdr:col>
      <xdr:colOff>304800</xdr:colOff>
      <xdr:row>108</xdr:row>
      <xdr:rowOff>114300</xdr:rowOff>
    </xdr:to>
    <xdr:sp macro="" textlink="">
      <xdr:nvSpPr>
        <xdr:cNvPr id="1131" name="AutoShape 107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102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107</xdr:row>
      <xdr:rowOff>0</xdr:rowOff>
    </xdr:from>
    <xdr:to>
      <xdr:col>5</xdr:col>
      <xdr:colOff>304800</xdr:colOff>
      <xdr:row>108</xdr:row>
      <xdr:rowOff>114300</xdr:rowOff>
    </xdr:to>
    <xdr:sp macro="" textlink="">
      <xdr:nvSpPr>
        <xdr:cNvPr id="1132" name="AutoShape 108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102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109</xdr:row>
      <xdr:rowOff>0</xdr:rowOff>
    </xdr:from>
    <xdr:to>
      <xdr:col>4</xdr:col>
      <xdr:colOff>304800</xdr:colOff>
      <xdr:row>110</xdr:row>
      <xdr:rowOff>114300</xdr:rowOff>
    </xdr:to>
    <xdr:sp macro="" textlink="">
      <xdr:nvSpPr>
        <xdr:cNvPr id="1133" name="AutoShape 109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1794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109</xdr:row>
      <xdr:rowOff>0</xdr:rowOff>
    </xdr:from>
    <xdr:to>
      <xdr:col>5</xdr:col>
      <xdr:colOff>304800</xdr:colOff>
      <xdr:row>110</xdr:row>
      <xdr:rowOff>114300</xdr:rowOff>
    </xdr:to>
    <xdr:sp macro="" textlink="">
      <xdr:nvSpPr>
        <xdr:cNvPr id="1134" name="AutoShape 110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1794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111</xdr:row>
      <xdr:rowOff>0</xdr:rowOff>
    </xdr:from>
    <xdr:to>
      <xdr:col>4</xdr:col>
      <xdr:colOff>304800</xdr:colOff>
      <xdr:row>112</xdr:row>
      <xdr:rowOff>114300</xdr:rowOff>
    </xdr:to>
    <xdr:sp macro="" textlink="">
      <xdr:nvSpPr>
        <xdr:cNvPr id="1135" name="AutoShape 111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237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111</xdr:row>
      <xdr:rowOff>0</xdr:rowOff>
    </xdr:from>
    <xdr:to>
      <xdr:col>5</xdr:col>
      <xdr:colOff>304800</xdr:colOff>
      <xdr:row>112</xdr:row>
      <xdr:rowOff>114300</xdr:rowOff>
    </xdr:to>
    <xdr:sp macro="" textlink="">
      <xdr:nvSpPr>
        <xdr:cNvPr id="1136" name="AutoShape 112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237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113</xdr:row>
      <xdr:rowOff>0</xdr:rowOff>
    </xdr:from>
    <xdr:to>
      <xdr:col>4</xdr:col>
      <xdr:colOff>304800</xdr:colOff>
      <xdr:row>114</xdr:row>
      <xdr:rowOff>114300</xdr:rowOff>
    </xdr:to>
    <xdr:sp macro="" textlink="">
      <xdr:nvSpPr>
        <xdr:cNvPr id="1137" name="AutoShape 113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295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113</xdr:row>
      <xdr:rowOff>0</xdr:rowOff>
    </xdr:from>
    <xdr:to>
      <xdr:col>5</xdr:col>
      <xdr:colOff>304800</xdr:colOff>
      <xdr:row>114</xdr:row>
      <xdr:rowOff>114300</xdr:rowOff>
    </xdr:to>
    <xdr:sp macro="" textlink="">
      <xdr:nvSpPr>
        <xdr:cNvPr id="1138" name="AutoShape 114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295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115</xdr:row>
      <xdr:rowOff>0</xdr:rowOff>
    </xdr:from>
    <xdr:to>
      <xdr:col>4</xdr:col>
      <xdr:colOff>304800</xdr:colOff>
      <xdr:row>116</xdr:row>
      <xdr:rowOff>76200</xdr:rowOff>
    </xdr:to>
    <xdr:sp macro="" textlink="">
      <xdr:nvSpPr>
        <xdr:cNvPr id="1139" name="AutoShape 11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353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115</xdr:row>
      <xdr:rowOff>0</xdr:rowOff>
    </xdr:from>
    <xdr:to>
      <xdr:col>5</xdr:col>
      <xdr:colOff>304800</xdr:colOff>
      <xdr:row>116</xdr:row>
      <xdr:rowOff>76200</xdr:rowOff>
    </xdr:to>
    <xdr:sp macro="" textlink="">
      <xdr:nvSpPr>
        <xdr:cNvPr id="1140" name="AutoShape 116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353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117</xdr:row>
      <xdr:rowOff>0</xdr:rowOff>
    </xdr:from>
    <xdr:to>
      <xdr:col>4</xdr:col>
      <xdr:colOff>304800</xdr:colOff>
      <xdr:row>118</xdr:row>
      <xdr:rowOff>114300</xdr:rowOff>
    </xdr:to>
    <xdr:sp macro="" textlink="">
      <xdr:nvSpPr>
        <xdr:cNvPr id="1141" name="AutoShape 117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3966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117</xdr:row>
      <xdr:rowOff>0</xdr:rowOff>
    </xdr:from>
    <xdr:to>
      <xdr:col>5</xdr:col>
      <xdr:colOff>304800</xdr:colOff>
      <xdr:row>118</xdr:row>
      <xdr:rowOff>114300</xdr:rowOff>
    </xdr:to>
    <xdr:sp macro="" textlink="">
      <xdr:nvSpPr>
        <xdr:cNvPr id="1142" name="AutoShape 118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3966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119</xdr:row>
      <xdr:rowOff>0</xdr:rowOff>
    </xdr:from>
    <xdr:to>
      <xdr:col>4</xdr:col>
      <xdr:colOff>304800</xdr:colOff>
      <xdr:row>120</xdr:row>
      <xdr:rowOff>114300</xdr:rowOff>
    </xdr:to>
    <xdr:sp macro="" textlink="">
      <xdr:nvSpPr>
        <xdr:cNvPr id="1143" name="AutoShape 119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4547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119</xdr:row>
      <xdr:rowOff>0</xdr:rowOff>
    </xdr:from>
    <xdr:to>
      <xdr:col>5</xdr:col>
      <xdr:colOff>304800</xdr:colOff>
      <xdr:row>120</xdr:row>
      <xdr:rowOff>114300</xdr:rowOff>
    </xdr:to>
    <xdr:sp macro="" textlink="">
      <xdr:nvSpPr>
        <xdr:cNvPr id="1144" name="AutoShape 120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4547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121</xdr:row>
      <xdr:rowOff>0</xdr:rowOff>
    </xdr:from>
    <xdr:to>
      <xdr:col>4</xdr:col>
      <xdr:colOff>304800</xdr:colOff>
      <xdr:row>122</xdr:row>
      <xdr:rowOff>114300</xdr:rowOff>
    </xdr:to>
    <xdr:sp macro="" textlink="">
      <xdr:nvSpPr>
        <xdr:cNvPr id="1145" name="AutoShape 121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512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121</xdr:row>
      <xdr:rowOff>0</xdr:rowOff>
    </xdr:from>
    <xdr:to>
      <xdr:col>5</xdr:col>
      <xdr:colOff>304800</xdr:colOff>
      <xdr:row>122</xdr:row>
      <xdr:rowOff>114300</xdr:rowOff>
    </xdr:to>
    <xdr:sp macro="" textlink="">
      <xdr:nvSpPr>
        <xdr:cNvPr id="1146" name="AutoShape 122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512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</xdr:row>
      <xdr:rowOff>0</xdr:rowOff>
    </xdr:from>
    <xdr:to>
      <xdr:col>4</xdr:col>
      <xdr:colOff>304800</xdr:colOff>
      <xdr:row>124</xdr:row>
      <xdr:rowOff>114300</xdr:rowOff>
    </xdr:to>
    <xdr:sp macro="" textlink="">
      <xdr:nvSpPr>
        <xdr:cNvPr id="1147" name="AutoShape 123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570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</xdr:row>
      <xdr:rowOff>0</xdr:rowOff>
    </xdr:from>
    <xdr:to>
      <xdr:col>5</xdr:col>
      <xdr:colOff>304800</xdr:colOff>
      <xdr:row>124</xdr:row>
      <xdr:rowOff>114300</xdr:rowOff>
    </xdr:to>
    <xdr:sp macro="" textlink="">
      <xdr:nvSpPr>
        <xdr:cNvPr id="1148" name="AutoShape 124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570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125</xdr:row>
      <xdr:rowOff>0</xdr:rowOff>
    </xdr:from>
    <xdr:to>
      <xdr:col>4</xdr:col>
      <xdr:colOff>304800</xdr:colOff>
      <xdr:row>126</xdr:row>
      <xdr:rowOff>114300</xdr:rowOff>
    </xdr:to>
    <xdr:sp macro="" textlink="">
      <xdr:nvSpPr>
        <xdr:cNvPr id="1149" name="AutoShape 125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629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125</xdr:row>
      <xdr:rowOff>0</xdr:rowOff>
    </xdr:from>
    <xdr:to>
      <xdr:col>5</xdr:col>
      <xdr:colOff>304800</xdr:colOff>
      <xdr:row>126</xdr:row>
      <xdr:rowOff>114300</xdr:rowOff>
    </xdr:to>
    <xdr:sp macro="" textlink="">
      <xdr:nvSpPr>
        <xdr:cNvPr id="1150" name="AutoShape 126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629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127</xdr:row>
      <xdr:rowOff>0</xdr:rowOff>
    </xdr:from>
    <xdr:to>
      <xdr:col>4</xdr:col>
      <xdr:colOff>304800</xdr:colOff>
      <xdr:row>128</xdr:row>
      <xdr:rowOff>76200</xdr:rowOff>
    </xdr:to>
    <xdr:sp macro="" textlink="">
      <xdr:nvSpPr>
        <xdr:cNvPr id="1151" name="AutoShape 127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687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127</xdr:row>
      <xdr:rowOff>0</xdr:rowOff>
    </xdr:from>
    <xdr:to>
      <xdr:col>5</xdr:col>
      <xdr:colOff>304800</xdr:colOff>
      <xdr:row>128</xdr:row>
      <xdr:rowOff>76200</xdr:rowOff>
    </xdr:to>
    <xdr:sp macro="" textlink="">
      <xdr:nvSpPr>
        <xdr:cNvPr id="1152" name="AutoShape 128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687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129</xdr:row>
      <xdr:rowOff>0</xdr:rowOff>
    </xdr:from>
    <xdr:to>
      <xdr:col>4</xdr:col>
      <xdr:colOff>304800</xdr:colOff>
      <xdr:row>130</xdr:row>
      <xdr:rowOff>114300</xdr:rowOff>
    </xdr:to>
    <xdr:sp macro="" textlink="">
      <xdr:nvSpPr>
        <xdr:cNvPr id="1153" name="AutoShape 129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729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129</xdr:row>
      <xdr:rowOff>0</xdr:rowOff>
    </xdr:from>
    <xdr:to>
      <xdr:col>5</xdr:col>
      <xdr:colOff>304800</xdr:colOff>
      <xdr:row>130</xdr:row>
      <xdr:rowOff>114300</xdr:rowOff>
    </xdr:to>
    <xdr:sp macro="" textlink="">
      <xdr:nvSpPr>
        <xdr:cNvPr id="1154" name="AutoShape 130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729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131</xdr:row>
      <xdr:rowOff>0</xdr:rowOff>
    </xdr:from>
    <xdr:to>
      <xdr:col>4</xdr:col>
      <xdr:colOff>304800</xdr:colOff>
      <xdr:row>132</xdr:row>
      <xdr:rowOff>114300</xdr:rowOff>
    </xdr:to>
    <xdr:sp macro="" textlink="">
      <xdr:nvSpPr>
        <xdr:cNvPr id="1155" name="AutoShape 131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788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131</xdr:row>
      <xdr:rowOff>0</xdr:rowOff>
    </xdr:from>
    <xdr:to>
      <xdr:col>5</xdr:col>
      <xdr:colOff>304800</xdr:colOff>
      <xdr:row>132</xdr:row>
      <xdr:rowOff>114300</xdr:rowOff>
    </xdr:to>
    <xdr:sp macro="" textlink="">
      <xdr:nvSpPr>
        <xdr:cNvPr id="1156" name="AutoShape 132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788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133</xdr:row>
      <xdr:rowOff>0</xdr:rowOff>
    </xdr:from>
    <xdr:to>
      <xdr:col>4</xdr:col>
      <xdr:colOff>304800</xdr:colOff>
      <xdr:row>134</xdr:row>
      <xdr:rowOff>114300</xdr:rowOff>
    </xdr:to>
    <xdr:sp macro="" textlink="">
      <xdr:nvSpPr>
        <xdr:cNvPr id="1157" name="AutoShape 133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846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133</xdr:row>
      <xdr:rowOff>0</xdr:rowOff>
    </xdr:from>
    <xdr:to>
      <xdr:col>5</xdr:col>
      <xdr:colOff>304800</xdr:colOff>
      <xdr:row>134</xdr:row>
      <xdr:rowOff>114300</xdr:rowOff>
    </xdr:to>
    <xdr:sp macro="" textlink="">
      <xdr:nvSpPr>
        <xdr:cNvPr id="1158" name="AutoShape 134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846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135</xdr:row>
      <xdr:rowOff>0</xdr:rowOff>
    </xdr:from>
    <xdr:to>
      <xdr:col>4</xdr:col>
      <xdr:colOff>304800</xdr:colOff>
      <xdr:row>136</xdr:row>
      <xdr:rowOff>114300</xdr:rowOff>
    </xdr:to>
    <xdr:sp macro="" textlink="">
      <xdr:nvSpPr>
        <xdr:cNvPr id="1159" name="AutoShape 135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904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135</xdr:row>
      <xdr:rowOff>0</xdr:rowOff>
    </xdr:from>
    <xdr:to>
      <xdr:col>5</xdr:col>
      <xdr:colOff>304800</xdr:colOff>
      <xdr:row>136</xdr:row>
      <xdr:rowOff>114300</xdr:rowOff>
    </xdr:to>
    <xdr:sp macro="" textlink="">
      <xdr:nvSpPr>
        <xdr:cNvPr id="1160" name="AutoShape 136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904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137</xdr:row>
      <xdr:rowOff>0</xdr:rowOff>
    </xdr:from>
    <xdr:to>
      <xdr:col>4</xdr:col>
      <xdr:colOff>304800</xdr:colOff>
      <xdr:row>138</xdr:row>
      <xdr:rowOff>114300</xdr:rowOff>
    </xdr:to>
    <xdr:sp macro="" textlink="">
      <xdr:nvSpPr>
        <xdr:cNvPr id="1161" name="AutoShape 137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962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137</xdr:row>
      <xdr:rowOff>0</xdr:rowOff>
    </xdr:from>
    <xdr:to>
      <xdr:col>5</xdr:col>
      <xdr:colOff>304800</xdr:colOff>
      <xdr:row>138</xdr:row>
      <xdr:rowOff>114300</xdr:rowOff>
    </xdr:to>
    <xdr:sp macro="" textlink="">
      <xdr:nvSpPr>
        <xdr:cNvPr id="1162" name="AutoShape 138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962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139</xdr:row>
      <xdr:rowOff>0</xdr:rowOff>
    </xdr:from>
    <xdr:to>
      <xdr:col>4</xdr:col>
      <xdr:colOff>304800</xdr:colOff>
      <xdr:row>140</xdr:row>
      <xdr:rowOff>114300</xdr:rowOff>
    </xdr:to>
    <xdr:sp macro="" textlink="">
      <xdr:nvSpPr>
        <xdr:cNvPr id="1163" name="AutoShape 139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0395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139</xdr:row>
      <xdr:rowOff>0</xdr:rowOff>
    </xdr:from>
    <xdr:to>
      <xdr:col>5</xdr:col>
      <xdr:colOff>304800</xdr:colOff>
      <xdr:row>140</xdr:row>
      <xdr:rowOff>114300</xdr:rowOff>
    </xdr:to>
    <xdr:sp macro="" textlink="">
      <xdr:nvSpPr>
        <xdr:cNvPr id="1164" name="AutoShape 140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0395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141</xdr:row>
      <xdr:rowOff>0</xdr:rowOff>
    </xdr:from>
    <xdr:to>
      <xdr:col>4</xdr:col>
      <xdr:colOff>304800</xdr:colOff>
      <xdr:row>142</xdr:row>
      <xdr:rowOff>114300</xdr:rowOff>
    </xdr:to>
    <xdr:sp macro="" textlink="">
      <xdr:nvSpPr>
        <xdr:cNvPr id="1165" name="AutoShape 141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0976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141</xdr:row>
      <xdr:rowOff>0</xdr:rowOff>
    </xdr:from>
    <xdr:to>
      <xdr:col>5</xdr:col>
      <xdr:colOff>304800</xdr:colOff>
      <xdr:row>142</xdr:row>
      <xdr:rowOff>114300</xdr:rowOff>
    </xdr:to>
    <xdr:sp macro="" textlink="">
      <xdr:nvSpPr>
        <xdr:cNvPr id="1166" name="AutoShape 142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0976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143</xdr:row>
      <xdr:rowOff>0</xdr:rowOff>
    </xdr:from>
    <xdr:to>
      <xdr:col>4</xdr:col>
      <xdr:colOff>304800</xdr:colOff>
      <xdr:row>144</xdr:row>
      <xdr:rowOff>114300</xdr:rowOff>
    </xdr:to>
    <xdr:sp macro="" textlink="">
      <xdr:nvSpPr>
        <xdr:cNvPr id="1167" name="AutoShape 143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155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143</xdr:row>
      <xdr:rowOff>0</xdr:rowOff>
    </xdr:from>
    <xdr:to>
      <xdr:col>5</xdr:col>
      <xdr:colOff>304800</xdr:colOff>
      <xdr:row>144</xdr:row>
      <xdr:rowOff>114300</xdr:rowOff>
    </xdr:to>
    <xdr:sp macro="" textlink="">
      <xdr:nvSpPr>
        <xdr:cNvPr id="1168" name="AutoShape 144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155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145</xdr:row>
      <xdr:rowOff>0</xdr:rowOff>
    </xdr:from>
    <xdr:to>
      <xdr:col>4</xdr:col>
      <xdr:colOff>304800</xdr:colOff>
      <xdr:row>146</xdr:row>
      <xdr:rowOff>114300</xdr:rowOff>
    </xdr:to>
    <xdr:sp macro="" textlink="">
      <xdr:nvSpPr>
        <xdr:cNvPr id="1169" name="AutoShape 14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213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145</xdr:row>
      <xdr:rowOff>0</xdr:rowOff>
    </xdr:from>
    <xdr:to>
      <xdr:col>5</xdr:col>
      <xdr:colOff>304800</xdr:colOff>
      <xdr:row>146</xdr:row>
      <xdr:rowOff>114300</xdr:rowOff>
    </xdr:to>
    <xdr:sp macro="" textlink="">
      <xdr:nvSpPr>
        <xdr:cNvPr id="1170" name="AutoShape 146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213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147</xdr:row>
      <xdr:rowOff>0</xdr:rowOff>
    </xdr:from>
    <xdr:to>
      <xdr:col>4</xdr:col>
      <xdr:colOff>304800</xdr:colOff>
      <xdr:row>148</xdr:row>
      <xdr:rowOff>114300</xdr:rowOff>
    </xdr:to>
    <xdr:sp macro="" textlink="">
      <xdr:nvSpPr>
        <xdr:cNvPr id="1171" name="AutoShape 147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252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147</xdr:row>
      <xdr:rowOff>0</xdr:rowOff>
    </xdr:from>
    <xdr:to>
      <xdr:col>5</xdr:col>
      <xdr:colOff>304800</xdr:colOff>
      <xdr:row>148</xdr:row>
      <xdr:rowOff>114300</xdr:rowOff>
    </xdr:to>
    <xdr:sp macro="" textlink="">
      <xdr:nvSpPr>
        <xdr:cNvPr id="1172" name="AutoShape 148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252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149</xdr:row>
      <xdr:rowOff>0</xdr:rowOff>
    </xdr:from>
    <xdr:to>
      <xdr:col>4</xdr:col>
      <xdr:colOff>304800</xdr:colOff>
      <xdr:row>150</xdr:row>
      <xdr:rowOff>114300</xdr:rowOff>
    </xdr:to>
    <xdr:sp macro="" textlink="">
      <xdr:nvSpPr>
        <xdr:cNvPr id="1173" name="AutoShape 149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311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149</xdr:row>
      <xdr:rowOff>0</xdr:rowOff>
    </xdr:from>
    <xdr:to>
      <xdr:col>5</xdr:col>
      <xdr:colOff>304800</xdr:colOff>
      <xdr:row>150</xdr:row>
      <xdr:rowOff>114300</xdr:rowOff>
    </xdr:to>
    <xdr:sp macro="" textlink="">
      <xdr:nvSpPr>
        <xdr:cNvPr id="1174" name="AutoShape 150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311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151</xdr:row>
      <xdr:rowOff>0</xdr:rowOff>
    </xdr:from>
    <xdr:to>
      <xdr:col>4</xdr:col>
      <xdr:colOff>304800</xdr:colOff>
      <xdr:row>152</xdr:row>
      <xdr:rowOff>114300</xdr:rowOff>
    </xdr:to>
    <xdr:sp macro="" textlink="">
      <xdr:nvSpPr>
        <xdr:cNvPr id="1175" name="AutoShape 151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369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151</xdr:row>
      <xdr:rowOff>0</xdr:rowOff>
    </xdr:from>
    <xdr:to>
      <xdr:col>5</xdr:col>
      <xdr:colOff>304800</xdr:colOff>
      <xdr:row>152</xdr:row>
      <xdr:rowOff>114300</xdr:rowOff>
    </xdr:to>
    <xdr:sp macro="" textlink="">
      <xdr:nvSpPr>
        <xdr:cNvPr id="1176" name="AutoShape 152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369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153</xdr:row>
      <xdr:rowOff>0</xdr:rowOff>
    </xdr:from>
    <xdr:to>
      <xdr:col>4</xdr:col>
      <xdr:colOff>304800</xdr:colOff>
      <xdr:row>154</xdr:row>
      <xdr:rowOff>114300</xdr:rowOff>
    </xdr:to>
    <xdr:sp macro="" textlink="">
      <xdr:nvSpPr>
        <xdr:cNvPr id="1177" name="AutoShape 153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446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153</xdr:row>
      <xdr:rowOff>0</xdr:rowOff>
    </xdr:from>
    <xdr:to>
      <xdr:col>5</xdr:col>
      <xdr:colOff>304800</xdr:colOff>
      <xdr:row>154</xdr:row>
      <xdr:rowOff>114300</xdr:rowOff>
    </xdr:to>
    <xdr:sp macro="" textlink="">
      <xdr:nvSpPr>
        <xdr:cNvPr id="1178" name="AutoShape 15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446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155</xdr:row>
      <xdr:rowOff>0</xdr:rowOff>
    </xdr:from>
    <xdr:to>
      <xdr:col>4</xdr:col>
      <xdr:colOff>304800</xdr:colOff>
      <xdr:row>156</xdr:row>
      <xdr:rowOff>114300</xdr:rowOff>
    </xdr:to>
    <xdr:sp macro="" textlink="">
      <xdr:nvSpPr>
        <xdr:cNvPr id="1179" name="AutoShape 15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504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155</xdr:row>
      <xdr:rowOff>0</xdr:rowOff>
    </xdr:from>
    <xdr:to>
      <xdr:col>5</xdr:col>
      <xdr:colOff>304800</xdr:colOff>
      <xdr:row>156</xdr:row>
      <xdr:rowOff>114300</xdr:rowOff>
    </xdr:to>
    <xdr:sp macro="" textlink="">
      <xdr:nvSpPr>
        <xdr:cNvPr id="1180" name="AutoShape 156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504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157</xdr:row>
      <xdr:rowOff>0</xdr:rowOff>
    </xdr:from>
    <xdr:to>
      <xdr:col>4</xdr:col>
      <xdr:colOff>304800</xdr:colOff>
      <xdr:row>158</xdr:row>
      <xdr:rowOff>114300</xdr:rowOff>
    </xdr:to>
    <xdr:sp macro="" textlink="">
      <xdr:nvSpPr>
        <xdr:cNvPr id="1181" name="AutoShape 157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562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157</xdr:row>
      <xdr:rowOff>0</xdr:rowOff>
    </xdr:from>
    <xdr:to>
      <xdr:col>5</xdr:col>
      <xdr:colOff>304800</xdr:colOff>
      <xdr:row>158</xdr:row>
      <xdr:rowOff>114300</xdr:rowOff>
    </xdr:to>
    <xdr:sp macro="" textlink="">
      <xdr:nvSpPr>
        <xdr:cNvPr id="1182" name="AutoShape 158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562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159</xdr:row>
      <xdr:rowOff>0</xdr:rowOff>
    </xdr:from>
    <xdr:to>
      <xdr:col>4</xdr:col>
      <xdr:colOff>304800</xdr:colOff>
      <xdr:row>160</xdr:row>
      <xdr:rowOff>114300</xdr:rowOff>
    </xdr:to>
    <xdr:sp macro="" textlink="">
      <xdr:nvSpPr>
        <xdr:cNvPr id="1183" name="AutoShape 159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6205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159</xdr:row>
      <xdr:rowOff>0</xdr:rowOff>
    </xdr:from>
    <xdr:to>
      <xdr:col>5</xdr:col>
      <xdr:colOff>304800</xdr:colOff>
      <xdr:row>160</xdr:row>
      <xdr:rowOff>114300</xdr:rowOff>
    </xdr:to>
    <xdr:sp macro="" textlink="">
      <xdr:nvSpPr>
        <xdr:cNvPr id="1184" name="AutoShape 160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6205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161</xdr:row>
      <xdr:rowOff>0</xdr:rowOff>
    </xdr:from>
    <xdr:to>
      <xdr:col>4</xdr:col>
      <xdr:colOff>304800</xdr:colOff>
      <xdr:row>162</xdr:row>
      <xdr:rowOff>114300</xdr:rowOff>
    </xdr:to>
    <xdr:sp macro="" textlink="">
      <xdr:nvSpPr>
        <xdr:cNvPr id="1185" name="AutoShape 161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678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161</xdr:row>
      <xdr:rowOff>0</xdr:rowOff>
    </xdr:from>
    <xdr:to>
      <xdr:col>5</xdr:col>
      <xdr:colOff>304800</xdr:colOff>
      <xdr:row>162</xdr:row>
      <xdr:rowOff>114300</xdr:rowOff>
    </xdr:to>
    <xdr:sp macro="" textlink="">
      <xdr:nvSpPr>
        <xdr:cNvPr id="1186" name="AutoShape 162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678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163</xdr:row>
      <xdr:rowOff>0</xdr:rowOff>
    </xdr:from>
    <xdr:to>
      <xdr:col>4</xdr:col>
      <xdr:colOff>304800</xdr:colOff>
      <xdr:row>164</xdr:row>
      <xdr:rowOff>114300</xdr:rowOff>
    </xdr:to>
    <xdr:sp macro="" textlink="">
      <xdr:nvSpPr>
        <xdr:cNvPr id="1187" name="AutoShape 163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755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163</xdr:row>
      <xdr:rowOff>0</xdr:rowOff>
    </xdr:from>
    <xdr:to>
      <xdr:col>5</xdr:col>
      <xdr:colOff>304800</xdr:colOff>
      <xdr:row>164</xdr:row>
      <xdr:rowOff>114300</xdr:rowOff>
    </xdr:to>
    <xdr:sp macro="" textlink="">
      <xdr:nvSpPr>
        <xdr:cNvPr id="1188" name="AutoShape 164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755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165</xdr:row>
      <xdr:rowOff>0</xdr:rowOff>
    </xdr:from>
    <xdr:to>
      <xdr:col>4</xdr:col>
      <xdr:colOff>304800</xdr:colOff>
      <xdr:row>166</xdr:row>
      <xdr:rowOff>114300</xdr:rowOff>
    </xdr:to>
    <xdr:sp macro="" textlink="">
      <xdr:nvSpPr>
        <xdr:cNvPr id="1189" name="AutoShape 16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832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165</xdr:row>
      <xdr:rowOff>0</xdr:rowOff>
    </xdr:from>
    <xdr:to>
      <xdr:col>5</xdr:col>
      <xdr:colOff>304800</xdr:colOff>
      <xdr:row>166</xdr:row>
      <xdr:rowOff>114300</xdr:rowOff>
    </xdr:to>
    <xdr:sp macro="" textlink="">
      <xdr:nvSpPr>
        <xdr:cNvPr id="1190" name="AutoShape 16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832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167</xdr:row>
      <xdr:rowOff>0</xdr:rowOff>
    </xdr:from>
    <xdr:to>
      <xdr:col>4</xdr:col>
      <xdr:colOff>304800</xdr:colOff>
      <xdr:row>168</xdr:row>
      <xdr:rowOff>114300</xdr:rowOff>
    </xdr:to>
    <xdr:sp macro="" textlink="">
      <xdr:nvSpPr>
        <xdr:cNvPr id="1191" name="AutoShape 167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891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167</xdr:row>
      <xdr:rowOff>0</xdr:rowOff>
    </xdr:from>
    <xdr:to>
      <xdr:col>5</xdr:col>
      <xdr:colOff>304800</xdr:colOff>
      <xdr:row>168</xdr:row>
      <xdr:rowOff>114300</xdr:rowOff>
    </xdr:to>
    <xdr:sp macro="" textlink="">
      <xdr:nvSpPr>
        <xdr:cNvPr id="1192" name="AutoShape 168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891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169</xdr:row>
      <xdr:rowOff>0</xdr:rowOff>
    </xdr:from>
    <xdr:to>
      <xdr:col>4</xdr:col>
      <xdr:colOff>304800</xdr:colOff>
      <xdr:row>170</xdr:row>
      <xdr:rowOff>114300</xdr:rowOff>
    </xdr:to>
    <xdr:sp macro="" textlink="">
      <xdr:nvSpPr>
        <xdr:cNvPr id="1193" name="AutoShape 16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949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169</xdr:row>
      <xdr:rowOff>0</xdr:rowOff>
    </xdr:from>
    <xdr:to>
      <xdr:col>5</xdr:col>
      <xdr:colOff>304800</xdr:colOff>
      <xdr:row>170</xdr:row>
      <xdr:rowOff>114300</xdr:rowOff>
    </xdr:to>
    <xdr:sp macro="" textlink="">
      <xdr:nvSpPr>
        <xdr:cNvPr id="1194" name="AutoShape 170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949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171</xdr:row>
      <xdr:rowOff>0</xdr:rowOff>
    </xdr:from>
    <xdr:to>
      <xdr:col>4</xdr:col>
      <xdr:colOff>304800</xdr:colOff>
      <xdr:row>172</xdr:row>
      <xdr:rowOff>114300</xdr:rowOff>
    </xdr:to>
    <xdr:sp macro="" textlink="">
      <xdr:nvSpPr>
        <xdr:cNvPr id="1195" name="AutoShape 171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007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171</xdr:row>
      <xdr:rowOff>0</xdr:rowOff>
    </xdr:from>
    <xdr:to>
      <xdr:col>5</xdr:col>
      <xdr:colOff>304800</xdr:colOff>
      <xdr:row>172</xdr:row>
      <xdr:rowOff>114300</xdr:rowOff>
    </xdr:to>
    <xdr:sp macro="" textlink="">
      <xdr:nvSpPr>
        <xdr:cNvPr id="1196" name="AutoShape 172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007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173</xdr:row>
      <xdr:rowOff>0</xdr:rowOff>
    </xdr:from>
    <xdr:to>
      <xdr:col>4</xdr:col>
      <xdr:colOff>304800</xdr:colOff>
      <xdr:row>174</xdr:row>
      <xdr:rowOff>114300</xdr:rowOff>
    </xdr:to>
    <xdr:sp macro="" textlink="">
      <xdr:nvSpPr>
        <xdr:cNvPr id="1197" name="AutoShape 173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065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173</xdr:row>
      <xdr:rowOff>0</xdr:rowOff>
    </xdr:from>
    <xdr:to>
      <xdr:col>5</xdr:col>
      <xdr:colOff>304800</xdr:colOff>
      <xdr:row>174</xdr:row>
      <xdr:rowOff>114300</xdr:rowOff>
    </xdr:to>
    <xdr:sp macro="" textlink="">
      <xdr:nvSpPr>
        <xdr:cNvPr id="1198" name="AutoShape 174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065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175</xdr:row>
      <xdr:rowOff>0</xdr:rowOff>
    </xdr:from>
    <xdr:to>
      <xdr:col>4</xdr:col>
      <xdr:colOff>304800</xdr:colOff>
      <xdr:row>176</xdr:row>
      <xdr:rowOff>114300</xdr:rowOff>
    </xdr:to>
    <xdr:sp macro="" textlink="">
      <xdr:nvSpPr>
        <xdr:cNvPr id="1199" name="AutoShape 17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123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175</xdr:row>
      <xdr:rowOff>0</xdr:rowOff>
    </xdr:from>
    <xdr:to>
      <xdr:col>5</xdr:col>
      <xdr:colOff>304800</xdr:colOff>
      <xdr:row>176</xdr:row>
      <xdr:rowOff>114300</xdr:rowOff>
    </xdr:to>
    <xdr:sp macro="" textlink="">
      <xdr:nvSpPr>
        <xdr:cNvPr id="1200" name="AutoShape 176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123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177</xdr:row>
      <xdr:rowOff>0</xdr:rowOff>
    </xdr:from>
    <xdr:to>
      <xdr:col>4</xdr:col>
      <xdr:colOff>304800</xdr:colOff>
      <xdr:row>178</xdr:row>
      <xdr:rowOff>114300</xdr:rowOff>
    </xdr:to>
    <xdr:sp macro="" textlink="">
      <xdr:nvSpPr>
        <xdr:cNvPr id="1201" name="AutoShape 177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18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177</xdr:row>
      <xdr:rowOff>0</xdr:rowOff>
    </xdr:from>
    <xdr:to>
      <xdr:col>5</xdr:col>
      <xdr:colOff>304800</xdr:colOff>
      <xdr:row>178</xdr:row>
      <xdr:rowOff>114300</xdr:rowOff>
    </xdr:to>
    <xdr:sp macro="" textlink="">
      <xdr:nvSpPr>
        <xdr:cNvPr id="1202" name="AutoShape 178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18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179</xdr:row>
      <xdr:rowOff>0</xdr:rowOff>
    </xdr:from>
    <xdr:to>
      <xdr:col>4</xdr:col>
      <xdr:colOff>304800</xdr:colOff>
      <xdr:row>180</xdr:row>
      <xdr:rowOff>114300</xdr:rowOff>
    </xdr:to>
    <xdr:sp macro="" textlink="">
      <xdr:nvSpPr>
        <xdr:cNvPr id="1203" name="AutoShape 179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239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179</xdr:row>
      <xdr:rowOff>0</xdr:rowOff>
    </xdr:from>
    <xdr:to>
      <xdr:col>5</xdr:col>
      <xdr:colOff>304800</xdr:colOff>
      <xdr:row>180</xdr:row>
      <xdr:rowOff>114300</xdr:rowOff>
    </xdr:to>
    <xdr:sp macro="" textlink="">
      <xdr:nvSpPr>
        <xdr:cNvPr id="1204" name="AutoShape 180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239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181</xdr:row>
      <xdr:rowOff>0</xdr:rowOff>
    </xdr:from>
    <xdr:to>
      <xdr:col>4</xdr:col>
      <xdr:colOff>304800</xdr:colOff>
      <xdr:row>182</xdr:row>
      <xdr:rowOff>114300</xdr:rowOff>
    </xdr:to>
    <xdr:sp macro="" textlink="">
      <xdr:nvSpPr>
        <xdr:cNvPr id="1205" name="AutoShape 181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2978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181</xdr:row>
      <xdr:rowOff>0</xdr:rowOff>
    </xdr:from>
    <xdr:to>
      <xdr:col>5</xdr:col>
      <xdr:colOff>304800</xdr:colOff>
      <xdr:row>182</xdr:row>
      <xdr:rowOff>114300</xdr:rowOff>
    </xdr:to>
    <xdr:sp macro="" textlink="">
      <xdr:nvSpPr>
        <xdr:cNvPr id="1206" name="AutoShape 182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2978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183</xdr:row>
      <xdr:rowOff>0</xdr:rowOff>
    </xdr:from>
    <xdr:to>
      <xdr:col>4</xdr:col>
      <xdr:colOff>304800</xdr:colOff>
      <xdr:row>184</xdr:row>
      <xdr:rowOff>114300</xdr:rowOff>
    </xdr:to>
    <xdr:sp macro="" textlink="">
      <xdr:nvSpPr>
        <xdr:cNvPr id="1207" name="AutoShape 183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3559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183</xdr:row>
      <xdr:rowOff>0</xdr:rowOff>
    </xdr:from>
    <xdr:to>
      <xdr:col>5</xdr:col>
      <xdr:colOff>304800</xdr:colOff>
      <xdr:row>184</xdr:row>
      <xdr:rowOff>114300</xdr:rowOff>
    </xdr:to>
    <xdr:sp macro="" textlink="">
      <xdr:nvSpPr>
        <xdr:cNvPr id="1208" name="AutoShape 184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559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185</xdr:row>
      <xdr:rowOff>0</xdr:rowOff>
    </xdr:from>
    <xdr:to>
      <xdr:col>4</xdr:col>
      <xdr:colOff>304800</xdr:colOff>
      <xdr:row>186</xdr:row>
      <xdr:rowOff>114300</xdr:rowOff>
    </xdr:to>
    <xdr:sp macro="" textlink="">
      <xdr:nvSpPr>
        <xdr:cNvPr id="1209" name="AutoShape 185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414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185</xdr:row>
      <xdr:rowOff>0</xdr:rowOff>
    </xdr:from>
    <xdr:to>
      <xdr:col>5</xdr:col>
      <xdr:colOff>304800</xdr:colOff>
      <xdr:row>186</xdr:row>
      <xdr:rowOff>114300</xdr:rowOff>
    </xdr:to>
    <xdr:sp macro="" textlink="">
      <xdr:nvSpPr>
        <xdr:cNvPr id="1210" name="AutoShape 186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414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187</xdr:row>
      <xdr:rowOff>0</xdr:rowOff>
    </xdr:from>
    <xdr:to>
      <xdr:col>4</xdr:col>
      <xdr:colOff>304800</xdr:colOff>
      <xdr:row>188</xdr:row>
      <xdr:rowOff>114300</xdr:rowOff>
    </xdr:to>
    <xdr:sp macro="" textlink="">
      <xdr:nvSpPr>
        <xdr:cNvPr id="1211" name="AutoShape 187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491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187</xdr:row>
      <xdr:rowOff>0</xdr:rowOff>
    </xdr:from>
    <xdr:to>
      <xdr:col>5</xdr:col>
      <xdr:colOff>304800</xdr:colOff>
      <xdr:row>188</xdr:row>
      <xdr:rowOff>114300</xdr:rowOff>
    </xdr:to>
    <xdr:sp macro="" textlink="">
      <xdr:nvSpPr>
        <xdr:cNvPr id="1212" name="AutoShape 188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491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189</xdr:row>
      <xdr:rowOff>0</xdr:rowOff>
    </xdr:from>
    <xdr:to>
      <xdr:col>4</xdr:col>
      <xdr:colOff>304800</xdr:colOff>
      <xdr:row>190</xdr:row>
      <xdr:rowOff>114300</xdr:rowOff>
    </xdr:to>
    <xdr:sp macro="" textlink="">
      <xdr:nvSpPr>
        <xdr:cNvPr id="1213" name="AutoShape 189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5492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189</xdr:row>
      <xdr:rowOff>0</xdr:rowOff>
    </xdr:from>
    <xdr:to>
      <xdr:col>5</xdr:col>
      <xdr:colOff>304800</xdr:colOff>
      <xdr:row>190</xdr:row>
      <xdr:rowOff>114300</xdr:rowOff>
    </xdr:to>
    <xdr:sp macro="" textlink="">
      <xdr:nvSpPr>
        <xdr:cNvPr id="1214" name="AutoShape 190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5492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191</xdr:row>
      <xdr:rowOff>0</xdr:rowOff>
    </xdr:from>
    <xdr:to>
      <xdr:col>4</xdr:col>
      <xdr:colOff>304800</xdr:colOff>
      <xdr:row>192</xdr:row>
      <xdr:rowOff>114300</xdr:rowOff>
    </xdr:to>
    <xdr:sp macro="" textlink="">
      <xdr:nvSpPr>
        <xdr:cNvPr id="1215" name="AutoShape 191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607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191</xdr:row>
      <xdr:rowOff>0</xdr:rowOff>
    </xdr:from>
    <xdr:to>
      <xdr:col>5</xdr:col>
      <xdr:colOff>304800</xdr:colOff>
      <xdr:row>192</xdr:row>
      <xdr:rowOff>114300</xdr:rowOff>
    </xdr:to>
    <xdr:sp macro="" textlink="">
      <xdr:nvSpPr>
        <xdr:cNvPr id="1216" name="AutoShape 192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607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193</xdr:row>
      <xdr:rowOff>0</xdr:rowOff>
    </xdr:from>
    <xdr:to>
      <xdr:col>4</xdr:col>
      <xdr:colOff>304800</xdr:colOff>
      <xdr:row>194</xdr:row>
      <xdr:rowOff>114300</xdr:rowOff>
    </xdr:to>
    <xdr:sp macro="" textlink="">
      <xdr:nvSpPr>
        <xdr:cNvPr id="1217" name="AutoShape 193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665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193</xdr:row>
      <xdr:rowOff>0</xdr:rowOff>
    </xdr:from>
    <xdr:to>
      <xdr:col>5</xdr:col>
      <xdr:colOff>304800</xdr:colOff>
      <xdr:row>194</xdr:row>
      <xdr:rowOff>114300</xdr:rowOff>
    </xdr:to>
    <xdr:sp macro="" textlink="">
      <xdr:nvSpPr>
        <xdr:cNvPr id="1218" name="AutoShape 194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665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195</xdr:row>
      <xdr:rowOff>0</xdr:rowOff>
    </xdr:from>
    <xdr:to>
      <xdr:col>4</xdr:col>
      <xdr:colOff>304800</xdr:colOff>
      <xdr:row>196</xdr:row>
      <xdr:rowOff>114300</xdr:rowOff>
    </xdr:to>
    <xdr:sp macro="" textlink="">
      <xdr:nvSpPr>
        <xdr:cNvPr id="1219" name="AutoShape 195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7235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195</xdr:row>
      <xdr:rowOff>0</xdr:rowOff>
    </xdr:from>
    <xdr:to>
      <xdr:col>5</xdr:col>
      <xdr:colOff>304800</xdr:colOff>
      <xdr:row>196</xdr:row>
      <xdr:rowOff>114300</xdr:rowOff>
    </xdr:to>
    <xdr:sp macro="" textlink="">
      <xdr:nvSpPr>
        <xdr:cNvPr id="1220" name="AutoShape 196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7235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197</xdr:row>
      <xdr:rowOff>0</xdr:rowOff>
    </xdr:from>
    <xdr:to>
      <xdr:col>4</xdr:col>
      <xdr:colOff>304800</xdr:colOff>
      <xdr:row>198</xdr:row>
      <xdr:rowOff>114300</xdr:rowOff>
    </xdr:to>
    <xdr:sp macro="" textlink="">
      <xdr:nvSpPr>
        <xdr:cNvPr id="1221" name="AutoShape 197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7816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197</xdr:row>
      <xdr:rowOff>0</xdr:rowOff>
    </xdr:from>
    <xdr:to>
      <xdr:col>5</xdr:col>
      <xdr:colOff>304800</xdr:colOff>
      <xdr:row>198</xdr:row>
      <xdr:rowOff>114300</xdr:rowOff>
    </xdr:to>
    <xdr:sp macro="" textlink="">
      <xdr:nvSpPr>
        <xdr:cNvPr id="1222" name="AutoShape 198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7816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199</xdr:row>
      <xdr:rowOff>0</xdr:rowOff>
    </xdr:from>
    <xdr:to>
      <xdr:col>4</xdr:col>
      <xdr:colOff>304800</xdr:colOff>
      <xdr:row>200</xdr:row>
      <xdr:rowOff>114300</xdr:rowOff>
    </xdr:to>
    <xdr:sp macro="" textlink="">
      <xdr:nvSpPr>
        <xdr:cNvPr id="1223" name="AutoShape 199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8397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199</xdr:row>
      <xdr:rowOff>0</xdr:rowOff>
    </xdr:from>
    <xdr:to>
      <xdr:col>5</xdr:col>
      <xdr:colOff>304800</xdr:colOff>
      <xdr:row>200</xdr:row>
      <xdr:rowOff>114300</xdr:rowOff>
    </xdr:to>
    <xdr:sp macro="" textlink="">
      <xdr:nvSpPr>
        <xdr:cNvPr id="1224" name="AutoShape 200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8397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201</xdr:row>
      <xdr:rowOff>0</xdr:rowOff>
    </xdr:from>
    <xdr:to>
      <xdr:col>4</xdr:col>
      <xdr:colOff>304800</xdr:colOff>
      <xdr:row>202</xdr:row>
      <xdr:rowOff>114300</xdr:rowOff>
    </xdr:to>
    <xdr:sp macro="" textlink="">
      <xdr:nvSpPr>
        <xdr:cNvPr id="1225" name="AutoShape 201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897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201</xdr:row>
      <xdr:rowOff>0</xdr:rowOff>
    </xdr:from>
    <xdr:to>
      <xdr:col>5</xdr:col>
      <xdr:colOff>304800</xdr:colOff>
      <xdr:row>202</xdr:row>
      <xdr:rowOff>114300</xdr:rowOff>
    </xdr:to>
    <xdr:sp macro="" textlink="">
      <xdr:nvSpPr>
        <xdr:cNvPr id="1226" name="AutoShape 202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897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203</xdr:row>
      <xdr:rowOff>0</xdr:rowOff>
    </xdr:from>
    <xdr:to>
      <xdr:col>4</xdr:col>
      <xdr:colOff>304800</xdr:colOff>
      <xdr:row>204</xdr:row>
      <xdr:rowOff>114300</xdr:rowOff>
    </xdr:to>
    <xdr:sp macro="" textlink="">
      <xdr:nvSpPr>
        <xdr:cNvPr id="1227" name="AutoShape 203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955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203</xdr:row>
      <xdr:rowOff>0</xdr:rowOff>
    </xdr:from>
    <xdr:to>
      <xdr:col>5</xdr:col>
      <xdr:colOff>304800</xdr:colOff>
      <xdr:row>204</xdr:row>
      <xdr:rowOff>114300</xdr:rowOff>
    </xdr:to>
    <xdr:sp macro="" textlink="">
      <xdr:nvSpPr>
        <xdr:cNvPr id="1228" name="AutoShape 20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955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205</xdr:row>
      <xdr:rowOff>0</xdr:rowOff>
    </xdr:from>
    <xdr:to>
      <xdr:col>4</xdr:col>
      <xdr:colOff>304800</xdr:colOff>
      <xdr:row>206</xdr:row>
      <xdr:rowOff>114300</xdr:rowOff>
    </xdr:to>
    <xdr:sp macro="" textlink="">
      <xdr:nvSpPr>
        <xdr:cNvPr id="1229" name="AutoShape 205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014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205</xdr:row>
      <xdr:rowOff>0</xdr:rowOff>
    </xdr:from>
    <xdr:to>
      <xdr:col>5</xdr:col>
      <xdr:colOff>304800</xdr:colOff>
      <xdr:row>206</xdr:row>
      <xdr:rowOff>114300</xdr:rowOff>
    </xdr:to>
    <xdr:sp macro="" textlink="">
      <xdr:nvSpPr>
        <xdr:cNvPr id="1230" name="AutoShape 206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014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207</xdr:row>
      <xdr:rowOff>0</xdr:rowOff>
    </xdr:from>
    <xdr:to>
      <xdr:col>4</xdr:col>
      <xdr:colOff>304800</xdr:colOff>
      <xdr:row>208</xdr:row>
      <xdr:rowOff>114300</xdr:rowOff>
    </xdr:to>
    <xdr:sp macro="" textlink="">
      <xdr:nvSpPr>
        <xdr:cNvPr id="1231" name="AutoShape 207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072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207</xdr:row>
      <xdr:rowOff>0</xdr:rowOff>
    </xdr:from>
    <xdr:to>
      <xdr:col>5</xdr:col>
      <xdr:colOff>304800</xdr:colOff>
      <xdr:row>208</xdr:row>
      <xdr:rowOff>114300</xdr:rowOff>
    </xdr:to>
    <xdr:sp macro="" textlink="">
      <xdr:nvSpPr>
        <xdr:cNvPr id="1232" name="AutoShape 208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072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209</xdr:row>
      <xdr:rowOff>0</xdr:rowOff>
    </xdr:from>
    <xdr:to>
      <xdr:col>4</xdr:col>
      <xdr:colOff>304800</xdr:colOff>
      <xdr:row>210</xdr:row>
      <xdr:rowOff>114300</xdr:rowOff>
    </xdr:to>
    <xdr:sp macro="" textlink="">
      <xdr:nvSpPr>
        <xdr:cNvPr id="1233" name="AutoShape 209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130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209</xdr:row>
      <xdr:rowOff>0</xdr:rowOff>
    </xdr:from>
    <xdr:to>
      <xdr:col>5</xdr:col>
      <xdr:colOff>304800</xdr:colOff>
      <xdr:row>210</xdr:row>
      <xdr:rowOff>114300</xdr:rowOff>
    </xdr:to>
    <xdr:sp macro="" textlink="">
      <xdr:nvSpPr>
        <xdr:cNvPr id="1234" name="AutoShape 210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130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211</xdr:row>
      <xdr:rowOff>0</xdr:rowOff>
    </xdr:from>
    <xdr:to>
      <xdr:col>4</xdr:col>
      <xdr:colOff>304800</xdr:colOff>
      <xdr:row>212</xdr:row>
      <xdr:rowOff>114300</xdr:rowOff>
    </xdr:to>
    <xdr:sp macro="" textlink="">
      <xdr:nvSpPr>
        <xdr:cNvPr id="1235" name="AutoShape 21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188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211</xdr:row>
      <xdr:rowOff>0</xdr:rowOff>
    </xdr:from>
    <xdr:to>
      <xdr:col>5</xdr:col>
      <xdr:colOff>304800</xdr:colOff>
      <xdr:row>212</xdr:row>
      <xdr:rowOff>114300</xdr:rowOff>
    </xdr:to>
    <xdr:sp macro="" textlink="">
      <xdr:nvSpPr>
        <xdr:cNvPr id="1236" name="AutoShape 212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188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213</xdr:row>
      <xdr:rowOff>0</xdr:rowOff>
    </xdr:from>
    <xdr:to>
      <xdr:col>4</xdr:col>
      <xdr:colOff>304800</xdr:colOff>
      <xdr:row>214</xdr:row>
      <xdr:rowOff>114300</xdr:rowOff>
    </xdr:to>
    <xdr:sp macro="" textlink="">
      <xdr:nvSpPr>
        <xdr:cNvPr id="1237" name="AutoShape 213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246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213</xdr:row>
      <xdr:rowOff>0</xdr:rowOff>
    </xdr:from>
    <xdr:to>
      <xdr:col>5</xdr:col>
      <xdr:colOff>304800</xdr:colOff>
      <xdr:row>214</xdr:row>
      <xdr:rowOff>114300</xdr:rowOff>
    </xdr:to>
    <xdr:sp macro="" textlink="">
      <xdr:nvSpPr>
        <xdr:cNvPr id="1238" name="AutoShape 21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246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215</xdr:row>
      <xdr:rowOff>0</xdr:rowOff>
    </xdr:from>
    <xdr:to>
      <xdr:col>4</xdr:col>
      <xdr:colOff>304800</xdr:colOff>
      <xdr:row>216</xdr:row>
      <xdr:rowOff>114300</xdr:rowOff>
    </xdr:to>
    <xdr:sp macro="" textlink="">
      <xdr:nvSpPr>
        <xdr:cNvPr id="1239" name="AutoShape 215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3045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215</xdr:row>
      <xdr:rowOff>0</xdr:rowOff>
    </xdr:from>
    <xdr:to>
      <xdr:col>5</xdr:col>
      <xdr:colOff>304800</xdr:colOff>
      <xdr:row>216</xdr:row>
      <xdr:rowOff>114300</xdr:rowOff>
    </xdr:to>
    <xdr:sp macro="" textlink="">
      <xdr:nvSpPr>
        <xdr:cNvPr id="1240" name="AutoShape 21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3045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217</xdr:row>
      <xdr:rowOff>0</xdr:rowOff>
    </xdr:from>
    <xdr:to>
      <xdr:col>4</xdr:col>
      <xdr:colOff>304800</xdr:colOff>
      <xdr:row>218</xdr:row>
      <xdr:rowOff>114300</xdr:rowOff>
    </xdr:to>
    <xdr:sp macro="" textlink="">
      <xdr:nvSpPr>
        <xdr:cNvPr id="1241" name="AutoShape 217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381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217</xdr:row>
      <xdr:rowOff>0</xdr:rowOff>
    </xdr:from>
    <xdr:to>
      <xdr:col>5</xdr:col>
      <xdr:colOff>304800</xdr:colOff>
      <xdr:row>218</xdr:row>
      <xdr:rowOff>114300</xdr:rowOff>
    </xdr:to>
    <xdr:sp macro="" textlink="">
      <xdr:nvSpPr>
        <xdr:cNvPr id="1242" name="AutoShape 21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381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219</xdr:row>
      <xdr:rowOff>0</xdr:rowOff>
    </xdr:from>
    <xdr:to>
      <xdr:col>4</xdr:col>
      <xdr:colOff>304800</xdr:colOff>
      <xdr:row>220</xdr:row>
      <xdr:rowOff>114300</xdr:rowOff>
    </xdr:to>
    <xdr:sp macro="" textlink="">
      <xdr:nvSpPr>
        <xdr:cNvPr id="1243" name="AutoShape 219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4398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219</xdr:row>
      <xdr:rowOff>0</xdr:rowOff>
    </xdr:from>
    <xdr:to>
      <xdr:col>5</xdr:col>
      <xdr:colOff>304800</xdr:colOff>
      <xdr:row>220</xdr:row>
      <xdr:rowOff>114300</xdr:rowOff>
    </xdr:to>
    <xdr:sp macro="" textlink="">
      <xdr:nvSpPr>
        <xdr:cNvPr id="1244" name="AutoShape 220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4398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221</xdr:row>
      <xdr:rowOff>0</xdr:rowOff>
    </xdr:from>
    <xdr:to>
      <xdr:col>4</xdr:col>
      <xdr:colOff>304800</xdr:colOff>
      <xdr:row>222</xdr:row>
      <xdr:rowOff>114300</xdr:rowOff>
    </xdr:to>
    <xdr:sp macro="" textlink="">
      <xdr:nvSpPr>
        <xdr:cNvPr id="1245" name="AutoShape 221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517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221</xdr:row>
      <xdr:rowOff>0</xdr:rowOff>
    </xdr:from>
    <xdr:to>
      <xdr:col>5</xdr:col>
      <xdr:colOff>304800</xdr:colOff>
      <xdr:row>222</xdr:row>
      <xdr:rowOff>114300</xdr:rowOff>
    </xdr:to>
    <xdr:sp macro="" textlink="">
      <xdr:nvSpPr>
        <xdr:cNvPr id="1246" name="AutoShape 222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517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223</xdr:row>
      <xdr:rowOff>0</xdr:rowOff>
    </xdr:from>
    <xdr:to>
      <xdr:col>4</xdr:col>
      <xdr:colOff>304800</xdr:colOff>
      <xdr:row>224</xdr:row>
      <xdr:rowOff>76200</xdr:rowOff>
    </xdr:to>
    <xdr:sp macro="" textlink="">
      <xdr:nvSpPr>
        <xdr:cNvPr id="1247" name="AutoShape 223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575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223</xdr:row>
      <xdr:rowOff>0</xdr:rowOff>
    </xdr:from>
    <xdr:to>
      <xdr:col>5</xdr:col>
      <xdr:colOff>304800</xdr:colOff>
      <xdr:row>224</xdr:row>
      <xdr:rowOff>76200</xdr:rowOff>
    </xdr:to>
    <xdr:sp macro="" textlink="">
      <xdr:nvSpPr>
        <xdr:cNvPr id="1248" name="AutoShape 224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575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225</xdr:row>
      <xdr:rowOff>0</xdr:rowOff>
    </xdr:from>
    <xdr:to>
      <xdr:col>4</xdr:col>
      <xdr:colOff>304800</xdr:colOff>
      <xdr:row>226</xdr:row>
      <xdr:rowOff>114300</xdr:rowOff>
    </xdr:to>
    <xdr:sp macro="" textlink="">
      <xdr:nvSpPr>
        <xdr:cNvPr id="1249" name="AutoShape 225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6179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225</xdr:row>
      <xdr:rowOff>0</xdr:rowOff>
    </xdr:from>
    <xdr:to>
      <xdr:col>5</xdr:col>
      <xdr:colOff>304800</xdr:colOff>
      <xdr:row>226</xdr:row>
      <xdr:rowOff>114300</xdr:rowOff>
    </xdr:to>
    <xdr:sp macro="" textlink="">
      <xdr:nvSpPr>
        <xdr:cNvPr id="1250" name="AutoShape 22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6179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227</xdr:row>
      <xdr:rowOff>0</xdr:rowOff>
    </xdr:from>
    <xdr:to>
      <xdr:col>4</xdr:col>
      <xdr:colOff>304800</xdr:colOff>
      <xdr:row>228</xdr:row>
      <xdr:rowOff>114300</xdr:rowOff>
    </xdr:to>
    <xdr:sp macro="" textlink="">
      <xdr:nvSpPr>
        <xdr:cNvPr id="1251" name="AutoShape 227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6760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227</xdr:row>
      <xdr:rowOff>0</xdr:rowOff>
    </xdr:from>
    <xdr:to>
      <xdr:col>5</xdr:col>
      <xdr:colOff>304800</xdr:colOff>
      <xdr:row>228</xdr:row>
      <xdr:rowOff>114300</xdr:rowOff>
    </xdr:to>
    <xdr:sp macro="" textlink="">
      <xdr:nvSpPr>
        <xdr:cNvPr id="1252" name="AutoShape 228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6760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229</xdr:row>
      <xdr:rowOff>0</xdr:rowOff>
    </xdr:from>
    <xdr:to>
      <xdr:col>4</xdr:col>
      <xdr:colOff>304800</xdr:colOff>
      <xdr:row>230</xdr:row>
      <xdr:rowOff>76200</xdr:rowOff>
    </xdr:to>
    <xdr:sp macro="" textlink="">
      <xdr:nvSpPr>
        <xdr:cNvPr id="1253" name="AutoShape 229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7341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229</xdr:row>
      <xdr:rowOff>0</xdr:rowOff>
    </xdr:from>
    <xdr:to>
      <xdr:col>5</xdr:col>
      <xdr:colOff>304800</xdr:colOff>
      <xdr:row>230</xdr:row>
      <xdr:rowOff>76200</xdr:rowOff>
    </xdr:to>
    <xdr:sp macro="" textlink="">
      <xdr:nvSpPr>
        <xdr:cNvPr id="1254" name="AutoShape 230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7341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231</xdr:row>
      <xdr:rowOff>0</xdr:rowOff>
    </xdr:from>
    <xdr:to>
      <xdr:col>4</xdr:col>
      <xdr:colOff>304800</xdr:colOff>
      <xdr:row>232</xdr:row>
      <xdr:rowOff>114300</xdr:rowOff>
    </xdr:to>
    <xdr:sp macro="" textlink="">
      <xdr:nvSpPr>
        <xdr:cNvPr id="1255" name="AutoShape 231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7770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231</xdr:row>
      <xdr:rowOff>0</xdr:rowOff>
    </xdr:from>
    <xdr:to>
      <xdr:col>5</xdr:col>
      <xdr:colOff>304800</xdr:colOff>
      <xdr:row>232</xdr:row>
      <xdr:rowOff>114300</xdr:rowOff>
    </xdr:to>
    <xdr:sp macro="" textlink="">
      <xdr:nvSpPr>
        <xdr:cNvPr id="1256" name="AutoShape 232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7770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233</xdr:row>
      <xdr:rowOff>0</xdr:rowOff>
    </xdr:from>
    <xdr:to>
      <xdr:col>4</xdr:col>
      <xdr:colOff>304800</xdr:colOff>
      <xdr:row>234</xdr:row>
      <xdr:rowOff>114300</xdr:rowOff>
    </xdr:to>
    <xdr:sp macro="" textlink="">
      <xdr:nvSpPr>
        <xdr:cNvPr id="1257" name="AutoShape 233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835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233</xdr:row>
      <xdr:rowOff>0</xdr:rowOff>
    </xdr:from>
    <xdr:to>
      <xdr:col>5</xdr:col>
      <xdr:colOff>304800</xdr:colOff>
      <xdr:row>234</xdr:row>
      <xdr:rowOff>114300</xdr:rowOff>
    </xdr:to>
    <xdr:sp macro="" textlink="">
      <xdr:nvSpPr>
        <xdr:cNvPr id="1258" name="AutoShape 23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835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235</xdr:row>
      <xdr:rowOff>0</xdr:rowOff>
    </xdr:from>
    <xdr:to>
      <xdr:col>4</xdr:col>
      <xdr:colOff>304800</xdr:colOff>
      <xdr:row>236</xdr:row>
      <xdr:rowOff>114300</xdr:rowOff>
    </xdr:to>
    <xdr:sp macro="" textlink="">
      <xdr:nvSpPr>
        <xdr:cNvPr id="1259" name="AutoShape 235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8932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235</xdr:row>
      <xdr:rowOff>0</xdr:rowOff>
    </xdr:from>
    <xdr:to>
      <xdr:col>5</xdr:col>
      <xdr:colOff>304800</xdr:colOff>
      <xdr:row>236</xdr:row>
      <xdr:rowOff>114300</xdr:rowOff>
    </xdr:to>
    <xdr:sp macro="" textlink="">
      <xdr:nvSpPr>
        <xdr:cNvPr id="1260" name="AutoShape 236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8932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237</xdr:row>
      <xdr:rowOff>0</xdr:rowOff>
    </xdr:from>
    <xdr:to>
      <xdr:col>4</xdr:col>
      <xdr:colOff>304800</xdr:colOff>
      <xdr:row>238</xdr:row>
      <xdr:rowOff>114300</xdr:rowOff>
    </xdr:to>
    <xdr:sp macro="" textlink="">
      <xdr:nvSpPr>
        <xdr:cNvPr id="1261" name="AutoShape 237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951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237</xdr:row>
      <xdr:rowOff>0</xdr:rowOff>
    </xdr:from>
    <xdr:to>
      <xdr:col>5</xdr:col>
      <xdr:colOff>304800</xdr:colOff>
      <xdr:row>238</xdr:row>
      <xdr:rowOff>114300</xdr:rowOff>
    </xdr:to>
    <xdr:sp macro="" textlink="">
      <xdr:nvSpPr>
        <xdr:cNvPr id="1262" name="AutoShape 23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951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239</xdr:row>
      <xdr:rowOff>0</xdr:rowOff>
    </xdr:from>
    <xdr:to>
      <xdr:col>4</xdr:col>
      <xdr:colOff>304800</xdr:colOff>
      <xdr:row>240</xdr:row>
      <xdr:rowOff>114300</xdr:rowOff>
    </xdr:to>
    <xdr:sp macro="" textlink="">
      <xdr:nvSpPr>
        <xdr:cNvPr id="1263" name="AutoShape 239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990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239</xdr:row>
      <xdr:rowOff>0</xdr:rowOff>
    </xdr:from>
    <xdr:to>
      <xdr:col>5</xdr:col>
      <xdr:colOff>304800</xdr:colOff>
      <xdr:row>240</xdr:row>
      <xdr:rowOff>114300</xdr:rowOff>
    </xdr:to>
    <xdr:sp macro="" textlink="">
      <xdr:nvSpPr>
        <xdr:cNvPr id="1264" name="AutoShape 240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990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241</xdr:row>
      <xdr:rowOff>0</xdr:rowOff>
    </xdr:from>
    <xdr:to>
      <xdr:col>4</xdr:col>
      <xdr:colOff>304800</xdr:colOff>
      <xdr:row>242</xdr:row>
      <xdr:rowOff>114300</xdr:rowOff>
    </xdr:to>
    <xdr:sp macro="" textlink="">
      <xdr:nvSpPr>
        <xdr:cNvPr id="1265" name="AutoShape 241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048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241</xdr:row>
      <xdr:rowOff>0</xdr:rowOff>
    </xdr:from>
    <xdr:to>
      <xdr:col>5</xdr:col>
      <xdr:colOff>304800</xdr:colOff>
      <xdr:row>242</xdr:row>
      <xdr:rowOff>114300</xdr:rowOff>
    </xdr:to>
    <xdr:sp macro="" textlink="">
      <xdr:nvSpPr>
        <xdr:cNvPr id="1266" name="AutoShape 242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048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243</xdr:row>
      <xdr:rowOff>0</xdr:rowOff>
    </xdr:from>
    <xdr:to>
      <xdr:col>4</xdr:col>
      <xdr:colOff>304800</xdr:colOff>
      <xdr:row>244</xdr:row>
      <xdr:rowOff>114300</xdr:rowOff>
    </xdr:to>
    <xdr:sp macro="" textlink="">
      <xdr:nvSpPr>
        <xdr:cNvPr id="1267" name="AutoShape 243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106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243</xdr:row>
      <xdr:rowOff>0</xdr:rowOff>
    </xdr:from>
    <xdr:to>
      <xdr:col>5</xdr:col>
      <xdr:colOff>304800</xdr:colOff>
      <xdr:row>244</xdr:row>
      <xdr:rowOff>114300</xdr:rowOff>
    </xdr:to>
    <xdr:sp macro="" textlink="">
      <xdr:nvSpPr>
        <xdr:cNvPr id="1268" name="AutoShape 244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106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245</xdr:row>
      <xdr:rowOff>0</xdr:rowOff>
    </xdr:from>
    <xdr:to>
      <xdr:col>4</xdr:col>
      <xdr:colOff>304800</xdr:colOff>
      <xdr:row>246</xdr:row>
      <xdr:rowOff>114300</xdr:rowOff>
    </xdr:to>
    <xdr:sp macro="" textlink="">
      <xdr:nvSpPr>
        <xdr:cNvPr id="1269" name="AutoShape 245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1837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245</xdr:row>
      <xdr:rowOff>0</xdr:rowOff>
    </xdr:from>
    <xdr:to>
      <xdr:col>5</xdr:col>
      <xdr:colOff>304800</xdr:colOff>
      <xdr:row>246</xdr:row>
      <xdr:rowOff>114300</xdr:rowOff>
    </xdr:to>
    <xdr:sp macro="" textlink="">
      <xdr:nvSpPr>
        <xdr:cNvPr id="1270" name="AutoShape 246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1837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247</xdr:row>
      <xdr:rowOff>0</xdr:rowOff>
    </xdr:from>
    <xdr:to>
      <xdr:col>4</xdr:col>
      <xdr:colOff>304800</xdr:colOff>
      <xdr:row>248</xdr:row>
      <xdr:rowOff>114300</xdr:rowOff>
    </xdr:to>
    <xdr:sp macro="" textlink="">
      <xdr:nvSpPr>
        <xdr:cNvPr id="1271" name="AutoShape 247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2418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247</xdr:row>
      <xdr:rowOff>0</xdr:rowOff>
    </xdr:from>
    <xdr:to>
      <xdr:col>5</xdr:col>
      <xdr:colOff>304800</xdr:colOff>
      <xdr:row>248</xdr:row>
      <xdr:rowOff>114300</xdr:rowOff>
    </xdr:to>
    <xdr:sp macro="" textlink="">
      <xdr:nvSpPr>
        <xdr:cNvPr id="1272" name="AutoShape 248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2418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249</xdr:row>
      <xdr:rowOff>0</xdr:rowOff>
    </xdr:from>
    <xdr:to>
      <xdr:col>4</xdr:col>
      <xdr:colOff>304800</xdr:colOff>
      <xdr:row>250</xdr:row>
      <xdr:rowOff>114300</xdr:rowOff>
    </xdr:to>
    <xdr:sp macro="" textlink="">
      <xdr:nvSpPr>
        <xdr:cNvPr id="1273" name="AutoShape 249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299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249</xdr:row>
      <xdr:rowOff>0</xdr:rowOff>
    </xdr:from>
    <xdr:to>
      <xdr:col>5</xdr:col>
      <xdr:colOff>304800</xdr:colOff>
      <xdr:row>250</xdr:row>
      <xdr:rowOff>114300</xdr:rowOff>
    </xdr:to>
    <xdr:sp macro="" textlink="">
      <xdr:nvSpPr>
        <xdr:cNvPr id="1274" name="AutoShape 250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299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251</xdr:row>
      <xdr:rowOff>0</xdr:rowOff>
    </xdr:from>
    <xdr:to>
      <xdr:col>4</xdr:col>
      <xdr:colOff>304800</xdr:colOff>
      <xdr:row>252</xdr:row>
      <xdr:rowOff>114300</xdr:rowOff>
    </xdr:to>
    <xdr:sp macro="" textlink="">
      <xdr:nvSpPr>
        <xdr:cNvPr id="1275" name="AutoShape 251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3771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251</xdr:row>
      <xdr:rowOff>0</xdr:rowOff>
    </xdr:from>
    <xdr:to>
      <xdr:col>5</xdr:col>
      <xdr:colOff>304800</xdr:colOff>
      <xdr:row>252</xdr:row>
      <xdr:rowOff>114300</xdr:rowOff>
    </xdr:to>
    <xdr:sp macro="" textlink="">
      <xdr:nvSpPr>
        <xdr:cNvPr id="1276" name="AutoShape 252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3771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253</xdr:row>
      <xdr:rowOff>0</xdr:rowOff>
    </xdr:from>
    <xdr:to>
      <xdr:col>4</xdr:col>
      <xdr:colOff>304800</xdr:colOff>
      <xdr:row>254</xdr:row>
      <xdr:rowOff>114300</xdr:rowOff>
    </xdr:to>
    <xdr:sp macro="" textlink="">
      <xdr:nvSpPr>
        <xdr:cNvPr id="1277" name="AutoShape 253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4352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253</xdr:row>
      <xdr:rowOff>0</xdr:rowOff>
    </xdr:from>
    <xdr:to>
      <xdr:col>5</xdr:col>
      <xdr:colOff>304800</xdr:colOff>
      <xdr:row>254</xdr:row>
      <xdr:rowOff>114300</xdr:rowOff>
    </xdr:to>
    <xdr:sp macro="" textlink="">
      <xdr:nvSpPr>
        <xdr:cNvPr id="1278" name="AutoShape 254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4352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255</xdr:row>
      <xdr:rowOff>0</xdr:rowOff>
    </xdr:from>
    <xdr:to>
      <xdr:col>4</xdr:col>
      <xdr:colOff>304800</xdr:colOff>
      <xdr:row>256</xdr:row>
      <xdr:rowOff>114300</xdr:rowOff>
    </xdr:to>
    <xdr:sp macro="" textlink="">
      <xdr:nvSpPr>
        <xdr:cNvPr id="1279" name="AutoShape 255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493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255</xdr:row>
      <xdr:rowOff>0</xdr:rowOff>
    </xdr:from>
    <xdr:to>
      <xdr:col>5</xdr:col>
      <xdr:colOff>304800</xdr:colOff>
      <xdr:row>256</xdr:row>
      <xdr:rowOff>114300</xdr:rowOff>
    </xdr:to>
    <xdr:sp macro="" textlink="">
      <xdr:nvSpPr>
        <xdr:cNvPr id="1280" name="AutoShape 256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493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257</xdr:row>
      <xdr:rowOff>0</xdr:rowOff>
    </xdr:from>
    <xdr:to>
      <xdr:col>4</xdr:col>
      <xdr:colOff>304800</xdr:colOff>
      <xdr:row>258</xdr:row>
      <xdr:rowOff>114300</xdr:rowOff>
    </xdr:to>
    <xdr:sp macro="" textlink="">
      <xdr:nvSpPr>
        <xdr:cNvPr id="1281" name="AutoShape 257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551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257</xdr:row>
      <xdr:rowOff>0</xdr:rowOff>
    </xdr:from>
    <xdr:to>
      <xdr:col>5</xdr:col>
      <xdr:colOff>304800</xdr:colOff>
      <xdr:row>258</xdr:row>
      <xdr:rowOff>114300</xdr:rowOff>
    </xdr:to>
    <xdr:sp macro="" textlink="">
      <xdr:nvSpPr>
        <xdr:cNvPr id="1282" name="AutoShape 258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551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259</xdr:row>
      <xdr:rowOff>0</xdr:rowOff>
    </xdr:from>
    <xdr:to>
      <xdr:col>4</xdr:col>
      <xdr:colOff>304800</xdr:colOff>
      <xdr:row>260</xdr:row>
      <xdr:rowOff>114300</xdr:rowOff>
    </xdr:to>
    <xdr:sp macro="" textlink="">
      <xdr:nvSpPr>
        <xdr:cNvPr id="1283" name="AutoShape 25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6095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259</xdr:row>
      <xdr:rowOff>0</xdr:rowOff>
    </xdr:from>
    <xdr:to>
      <xdr:col>5</xdr:col>
      <xdr:colOff>304800</xdr:colOff>
      <xdr:row>260</xdr:row>
      <xdr:rowOff>114300</xdr:rowOff>
    </xdr:to>
    <xdr:sp macro="" textlink="">
      <xdr:nvSpPr>
        <xdr:cNvPr id="1284" name="AutoShape 260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6095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261</xdr:row>
      <xdr:rowOff>0</xdr:rowOff>
    </xdr:from>
    <xdr:to>
      <xdr:col>4</xdr:col>
      <xdr:colOff>304800</xdr:colOff>
      <xdr:row>262</xdr:row>
      <xdr:rowOff>114300</xdr:rowOff>
    </xdr:to>
    <xdr:sp macro="" textlink="">
      <xdr:nvSpPr>
        <xdr:cNvPr id="1285" name="AutoShape 261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667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261</xdr:row>
      <xdr:rowOff>0</xdr:rowOff>
    </xdr:from>
    <xdr:to>
      <xdr:col>5</xdr:col>
      <xdr:colOff>304800</xdr:colOff>
      <xdr:row>262</xdr:row>
      <xdr:rowOff>114300</xdr:rowOff>
    </xdr:to>
    <xdr:sp macro="" textlink="">
      <xdr:nvSpPr>
        <xdr:cNvPr id="1286" name="AutoShape 262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667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263</xdr:row>
      <xdr:rowOff>0</xdr:rowOff>
    </xdr:from>
    <xdr:to>
      <xdr:col>4</xdr:col>
      <xdr:colOff>304800</xdr:colOff>
      <xdr:row>264</xdr:row>
      <xdr:rowOff>76200</xdr:rowOff>
    </xdr:to>
    <xdr:sp macro="" textlink="">
      <xdr:nvSpPr>
        <xdr:cNvPr id="1287" name="AutoShape 263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7257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263</xdr:row>
      <xdr:rowOff>0</xdr:rowOff>
    </xdr:from>
    <xdr:to>
      <xdr:col>5</xdr:col>
      <xdr:colOff>304800</xdr:colOff>
      <xdr:row>264</xdr:row>
      <xdr:rowOff>76200</xdr:rowOff>
    </xdr:to>
    <xdr:sp macro="" textlink="">
      <xdr:nvSpPr>
        <xdr:cNvPr id="1288" name="AutoShape 264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7257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265</xdr:row>
      <xdr:rowOff>0</xdr:rowOff>
    </xdr:from>
    <xdr:to>
      <xdr:col>4</xdr:col>
      <xdr:colOff>304800</xdr:colOff>
      <xdr:row>266</xdr:row>
      <xdr:rowOff>114300</xdr:rowOff>
    </xdr:to>
    <xdr:sp macro="" textlink="">
      <xdr:nvSpPr>
        <xdr:cNvPr id="1289" name="AutoShape 265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76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265</xdr:row>
      <xdr:rowOff>0</xdr:rowOff>
    </xdr:from>
    <xdr:to>
      <xdr:col>5</xdr:col>
      <xdr:colOff>304800</xdr:colOff>
      <xdr:row>266</xdr:row>
      <xdr:rowOff>114300</xdr:rowOff>
    </xdr:to>
    <xdr:sp macro="" textlink="">
      <xdr:nvSpPr>
        <xdr:cNvPr id="1290" name="AutoShape 266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76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267</xdr:row>
      <xdr:rowOff>0</xdr:rowOff>
    </xdr:from>
    <xdr:to>
      <xdr:col>4</xdr:col>
      <xdr:colOff>304800</xdr:colOff>
      <xdr:row>268</xdr:row>
      <xdr:rowOff>114300</xdr:rowOff>
    </xdr:to>
    <xdr:sp macro="" textlink="">
      <xdr:nvSpPr>
        <xdr:cNvPr id="1291" name="AutoShape 267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826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267</xdr:row>
      <xdr:rowOff>0</xdr:rowOff>
    </xdr:from>
    <xdr:to>
      <xdr:col>5</xdr:col>
      <xdr:colOff>304800</xdr:colOff>
      <xdr:row>268</xdr:row>
      <xdr:rowOff>114300</xdr:rowOff>
    </xdr:to>
    <xdr:sp macro="" textlink="">
      <xdr:nvSpPr>
        <xdr:cNvPr id="1292" name="AutoShape 268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826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269</xdr:row>
      <xdr:rowOff>0</xdr:rowOff>
    </xdr:from>
    <xdr:to>
      <xdr:col>4</xdr:col>
      <xdr:colOff>304800</xdr:colOff>
      <xdr:row>270</xdr:row>
      <xdr:rowOff>114300</xdr:rowOff>
    </xdr:to>
    <xdr:sp macro="" textlink="">
      <xdr:nvSpPr>
        <xdr:cNvPr id="1293" name="AutoShape 26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884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269</xdr:row>
      <xdr:rowOff>0</xdr:rowOff>
    </xdr:from>
    <xdr:to>
      <xdr:col>5</xdr:col>
      <xdr:colOff>304800</xdr:colOff>
      <xdr:row>270</xdr:row>
      <xdr:rowOff>114300</xdr:rowOff>
    </xdr:to>
    <xdr:sp macro="" textlink="">
      <xdr:nvSpPr>
        <xdr:cNvPr id="1294" name="AutoShape 270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884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271</xdr:row>
      <xdr:rowOff>0</xdr:rowOff>
    </xdr:from>
    <xdr:to>
      <xdr:col>4</xdr:col>
      <xdr:colOff>304800</xdr:colOff>
      <xdr:row>272</xdr:row>
      <xdr:rowOff>114300</xdr:rowOff>
    </xdr:to>
    <xdr:sp macro="" textlink="">
      <xdr:nvSpPr>
        <xdr:cNvPr id="1295" name="AutoShape 271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942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271</xdr:row>
      <xdr:rowOff>0</xdr:rowOff>
    </xdr:from>
    <xdr:to>
      <xdr:col>5</xdr:col>
      <xdr:colOff>304800</xdr:colOff>
      <xdr:row>272</xdr:row>
      <xdr:rowOff>114300</xdr:rowOff>
    </xdr:to>
    <xdr:sp macro="" textlink="">
      <xdr:nvSpPr>
        <xdr:cNvPr id="1296" name="AutoShape 272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942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273</xdr:row>
      <xdr:rowOff>0</xdr:rowOff>
    </xdr:from>
    <xdr:to>
      <xdr:col>4</xdr:col>
      <xdr:colOff>304800</xdr:colOff>
      <xdr:row>274</xdr:row>
      <xdr:rowOff>114300</xdr:rowOff>
    </xdr:to>
    <xdr:sp macro="" textlink="">
      <xdr:nvSpPr>
        <xdr:cNvPr id="1297" name="AutoShape 273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001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273</xdr:row>
      <xdr:rowOff>0</xdr:rowOff>
    </xdr:from>
    <xdr:to>
      <xdr:col>5</xdr:col>
      <xdr:colOff>304800</xdr:colOff>
      <xdr:row>274</xdr:row>
      <xdr:rowOff>114300</xdr:rowOff>
    </xdr:to>
    <xdr:sp macro="" textlink="">
      <xdr:nvSpPr>
        <xdr:cNvPr id="1298" name="AutoShape 274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001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275</xdr:row>
      <xdr:rowOff>0</xdr:rowOff>
    </xdr:from>
    <xdr:to>
      <xdr:col>4</xdr:col>
      <xdr:colOff>304800</xdr:colOff>
      <xdr:row>276</xdr:row>
      <xdr:rowOff>76200</xdr:rowOff>
    </xdr:to>
    <xdr:sp macro="" textlink="">
      <xdr:nvSpPr>
        <xdr:cNvPr id="1299" name="AutoShape 275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059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275</xdr:row>
      <xdr:rowOff>0</xdr:rowOff>
    </xdr:from>
    <xdr:to>
      <xdr:col>5</xdr:col>
      <xdr:colOff>304800</xdr:colOff>
      <xdr:row>276</xdr:row>
      <xdr:rowOff>76200</xdr:rowOff>
    </xdr:to>
    <xdr:sp macro="" textlink="">
      <xdr:nvSpPr>
        <xdr:cNvPr id="1300" name="AutoShape 276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059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277</xdr:row>
      <xdr:rowOff>0</xdr:rowOff>
    </xdr:from>
    <xdr:to>
      <xdr:col>4</xdr:col>
      <xdr:colOff>304800</xdr:colOff>
      <xdr:row>278</xdr:row>
      <xdr:rowOff>114300</xdr:rowOff>
    </xdr:to>
    <xdr:sp macro="" textlink="">
      <xdr:nvSpPr>
        <xdr:cNvPr id="1301" name="AutoShape 277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101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277</xdr:row>
      <xdr:rowOff>0</xdr:rowOff>
    </xdr:from>
    <xdr:to>
      <xdr:col>5</xdr:col>
      <xdr:colOff>304800</xdr:colOff>
      <xdr:row>278</xdr:row>
      <xdr:rowOff>114300</xdr:rowOff>
    </xdr:to>
    <xdr:sp macro="" textlink="">
      <xdr:nvSpPr>
        <xdr:cNvPr id="1302" name="AutoShape 278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101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279</xdr:row>
      <xdr:rowOff>0</xdr:rowOff>
    </xdr:from>
    <xdr:to>
      <xdr:col>4</xdr:col>
      <xdr:colOff>304800</xdr:colOff>
      <xdr:row>280</xdr:row>
      <xdr:rowOff>114300</xdr:rowOff>
    </xdr:to>
    <xdr:sp macro="" textlink="">
      <xdr:nvSpPr>
        <xdr:cNvPr id="1303" name="AutoShape 279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160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279</xdr:row>
      <xdr:rowOff>0</xdr:rowOff>
    </xdr:from>
    <xdr:to>
      <xdr:col>5</xdr:col>
      <xdr:colOff>304800</xdr:colOff>
      <xdr:row>280</xdr:row>
      <xdr:rowOff>114300</xdr:rowOff>
    </xdr:to>
    <xdr:sp macro="" textlink="">
      <xdr:nvSpPr>
        <xdr:cNvPr id="1304" name="AutoShape 280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160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281</xdr:row>
      <xdr:rowOff>0</xdr:rowOff>
    </xdr:from>
    <xdr:to>
      <xdr:col>4</xdr:col>
      <xdr:colOff>304800</xdr:colOff>
      <xdr:row>282</xdr:row>
      <xdr:rowOff>76200</xdr:rowOff>
    </xdr:to>
    <xdr:sp macro="" textlink="">
      <xdr:nvSpPr>
        <xdr:cNvPr id="1305" name="AutoShape 281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218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281</xdr:row>
      <xdr:rowOff>0</xdr:rowOff>
    </xdr:from>
    <xdr:to>
      <xdr:col>5</xdr:col>
      <xdr:colOff>304800</xdr:colOff>
      <xdr:row>282</xdr:row>
      <xdr:rowOff>76200</xdr:rowOff>
    </xdr:to>
    <xdr:sp macro="" textlink="">
      <xdr:nvSpPr>
        <xdr:cNvPr id="1306" name="AutoShape 282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218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283</xdr:row>
      <xdr:rowOff>0</xdr:rowOff>
    </xdr:from>
    <xdr:to>
      <xdr:col>4</xdr:col>
      <xdr:colOff>304800</xdr:colOff>
      <xdr:row>284</xdr:row>
      <xdr:rowOff>114300</xdr:rowOff>
    </xdr:to>
    <xdr:sp macro="" textlink="">
      <xdr:nvSpPr>
        <xdr:cNvPr id="1307" name="AutoShape 283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261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283</xdr:row>
      <xdr:rowOff>0</xdr:rowOff>
    </xdr:from>
    <xdr:to>
      <xdr:col>5</xdr:col>
      <xdr:colOff>304800</xdr:colOff>
      <xdr:row>284</xdr:row>
      <xdr:rowOff>114300</xdr:rowOff>
    </xdr:to>
    <xdr:sp macro="" textlink="">
      <xdr:nvSpPr>
        <xdr:cNvPr id="1308" name="AutoShape 284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261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285</xdr:row>
      <xdr:rowOff>0</xdr:rowOff>
    </xdr:from>
    <xdr:to>
      <xdr:col>4</xdr:col>
      <xdr:colOff>304800</xdr:colOff>
      <xdr:row>286</xdr:row>
      <xdr:rowOff>76200</xdr:rowOff>
    </xdr:to>
    <xdr:sp macro="" textlink="">
      <xdr:nvSpPr>
        <xdr:cNvPr id="1309" name="AutoShape 285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319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285</xdr:row>
      <xdr:rowOff>0</xdr:rowOff>
    </xdr:from>
    <xdr:to>
      <xdr:col>5</xdr:col>
      <xdr:colOff>304800</xdr:colOff>
      <xdr:row>286</xdr:row>
      <xdr:rowOff>76200</xdr:rowOff>
    </xdr:to>
    <xdr:sp macro="" textlink="">
      <xdr:nvSpPr>
        <xdr:cNvPr id="1310" name="AutoShape 286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319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287</xdr:row>
      <xdr:rowOff>0</xdr:rowOff>
    </xdr:from>
    <xdr:to>
      <xdr:col>4</xdr:col>
      <xdr:colOff>304800</xdr:colOff>
      <xdr:row>288</xdr:row>
      <xdr:rowOff>114300</xdr:rowOff>
    </xdr:to>
    <xdr:sp macro="" textlink="">
      <xdr:nvSpPr>
        <xdr:cNvPr id="1311" name="AutoShape 287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3619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287</xdr:row>
      <xdr:rowOff>0</xdr:rowOff>
    </xdr:from>
    <xdr:to>
      <xdr:col>5</xdr:col>
      <xdr:colOff>304800</xdr:colOff>
      <xdr:row>288</xdr:row>
      <xdr:rowOff>114300</xdr:rowOff>
    </xdr:to>
    <xdr:sp macro="" textlink="">
      <xdr:nvSpPr>
        <xdr:cNvPr id="1312" name="AutoShape 288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3619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289</xdr:row>
      <xdr:rowOff>0</xdr:rowOff>
    </xdr:from>
    <xdr:to>
      <xdr:col>4</xdr:col>
      <xdr:colOff>304800</xdr:colOff>
      <xdr:row>290</xdr:row>
      <xdr:rowOff>114300</xdr:rowOff>
    </xdr:to>
    <xdr:sp macro="" textlink="">
      <xdr:nvSpPr>
        <xdr:cNvPr id="1313" name="AutoShape 289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420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289</xdr:row>
      <xdr:rowOff>0</xdr:rowOff>
    </xdr:from>
    <xdr:to>
      <xdr:col>5</xdr:col>
      <xdr:colOff>304800</xdr:colOff>
      <xdr:row>290</xdr:row>
      <xdr:rowOff>114300</xdr:rowOff>
    </xdr:to>
    <xdr:sp macro="" textlink="">
      <xdr:nvSpPr>
        <xdr:cNvPr id="1314" name="AutoShape 290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420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291</xdr:row>
      <xdr:rowOff>0</xdr:rowOff>
    </xdr:from>
    <xdr:to>
      <xdr:col>4</xdr:col>
      <xdr:colOff>304800</xdr:colOff>
      <xdr:row>292</xdr:row>
      <xdr:rowOff>114300</xdr:rowOff>
    </xdr:to>
    <xdr:sp macro="" textlink="">
      <xdr:nvSpPr>
        <xdr:cNvPr id="1315" name="AutoShape 291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47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291</xdr:row>
      <xdr:rowOff>0</xdr:rowOff>
    </xdr:from>
    <xdr:to>
      <xdr:col>5</xdr:col>
      <xdr:colOff>304800</xdr:colOff>
      <xdr:row>292</xdr:row>
      <xdr:rowOff>114300</xdr:rowOff>
    </xdr:to>
    <xdr:sp macro="" textlink="">
      <xdr:nvSpPr>
        <xdr:cNvPr id="1316" name="AutoShape 292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47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293</xdr:row>
      <xdr:rowOff>0</xdr:rowOff>
    </xdr:from>
    <xdr:to>
      <xdr:col>4</xdr:col>
      <xdr:colOff>304800</xdr:colOff>
      <xdr:row>294</xdr:row>
      <xdr:rowOff>114300</xdr:rowOff>
    </xdr:to>
    <xdr:sp macro="" textlink="">
      <xdr:nvSpPr>
        <xdr:cNvPr id="1317" name="AutoShape 293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555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293</xdr:row>
      <xdr:rowOff>0</xdr:rowOff>
    </xdr:from>
    <xdr:to>
      <xdr:col>5</xdr:col>
      <xdr:colOff>304800</xdr:colOff>
      <xdr:row>294</xdr:row>
      <xdr:rowOff>114300</xdr:rowOff>
    </xdr:to>
    <xdr:sp macro="" textlink="">
      <xdr:nvSpPr>
        <xdr:cNvPr id="1318" name="AutoShape 294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555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295</xdr:row>
      <xdr:rowOff>0</xdr:rowOff>
    </xdr:from>
    <xdr:to>
      <xdr:col>4</xdr:col>
      <xdr:colOff>304800</xdr:colOff>
      <xdr:row>296</xdr:row>
      <xdr:rowOff>114300</xdr:rowOff>
    </xdr:to>
    <xdr:sp macro="" textlink="">
      <xdr:nvSpPr>
        <xdr:cNvPr id="1319" name="AutoShape 295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6134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295</xdr:row>
      <xdr:rowOff>0</xdr:rowOff>
    </xdr:from>
    <xdr:to>
      <xdr:col>5</xdr:col>
      <xdr:colOff>304800</xdr:colOff>
      <xdr:row>296</xdr:row>
      <xdr:rowOff>114300</xdr:rowOff>
    </xdr:to>
    <xdr:sp macro="" textlink="">
      <xdr:nvSpPr>
        <xdr:cNvPr id="1320" name="AutoShape 296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6134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297</xdr:row>
      <xdr:rowOff>0</xdr:rowOff>
    </xdr:from>
    <xdr:to>
      <xdr:col>4</xdr:col>
      <xdr:colOff>304800</xdr:colOff>
      <xdr:row>298</xdr:row>
      <xdr:rowOff>114300</xdr:rowOff>
    </xdr:to>
    <xdr:sp macro="" textlink="">
      <xdr:nvSpPr>
        <xdr:cNvPr id="1321" name="AutoShape 297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671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297</xdr:row>
      <xdr:rowOff>0</xdr:rowOff>
    </xdr:from>
    <xdr:to>
      <xdr:col>5</xdr:col>
      <xdr:colOff>304800</xdr:colOff>
      <xdr:row>298</xdr:row>
      <xdr:rowOff>114300</xdr:rowOff>
    </xdr:to>
    <xdr:sp macro="" textlink="">
      <xdr:nvSpPr>
        <xdr:cNvPr id="1322" name="AutoShape 298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671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299</xdr:row>
      <xdr:rowOff>0</xdr:rowOff>
    </xdr:from>
    <xdr:to>
      <xdr:col>4</xdr:col>
      <xdr:colOff>304800</xdr:colOff>
      <xdr:row>300</xdr:row>
      <xdr:rowOff>114300</xdr:rowOff>
    </xdr:to>
    <xdr:sp macro="" textlink="">
      <xdr:nvSpPr>
        <xdr:cNvPr id="1323" name="AutoShape 299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729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299</xdr:row>
      <xdr:rowOff>0</xdr:rowOff>
    </xdr:from>
    <xdr:to>
      <xdr:col>5</xdr:col>
      <xdr:colOff>304800</xdr:colOff>
      <xdr:row>300</xdr:row>
      <xdr:rowOff>114300</xdr:rowOff>
    </xdr:to>
    <xdr:sp macro="" textlink="">
      <xdr:nvSpPr>
        <xdr:cNvPr id="1324" name="AutoShape 300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729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301</xdr:row>
      <xdr:rowOff>0</xdr:rowOff>
    </xdr:from>
    <xdr:to>
      <xdr:col>4</xdr:col>
      <xdr:colOff>304800</xdr:colOff>
      <xdr:row>302</xdr:row>
      <xdr:rowOff>114300</xdr:rowOff>
    </xdr:to>
    <xdr:sp macro="" textlink="">
      <xdr:nvSpPr>
        <xdr:cNvPr id="1325" name="AutoShape 301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787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301</xdr:row>
      <xdr:rowOff>0</xdr:rowOff>
    </xdr:from>
    <xdr:to>
      <xdr:col>5</xdr:col>
      <xdr:colOff>304800</xdr:colOff>
      <xdr:row>302</xdr:row>
      <xdr:rowOff>114300</xdr:rowOff>
    </xdr:to>
    <xdr:sp macro="" textlink="">
      <xdr:nvSpPr>
        <xdr:cNvPr id="1326" name="AutoShape 302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787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303</xdr:row>
      <xdr:rowOff>0</xdr:rowOff>
    </xdr:from>
    <xdr:to>
      <xdr:col>4</xdr:col>
      <xdr:colOff>304800</xdr:colOff>
      <xdr:row>304</xdr:row>
      <xdr:rowOff>76200</xdr:rowOff>
    </xdr:to>
    <xdr:sp macro="" textlink="">
      <xdr:nvSpPr>
        <xdr:cNvPr id="1327" name="AutoShape 303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113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303</xdr:row>
      <xdr:rowOff>0</xdr:rowOff>
    </xdr:from>
    <xdr:to>
      <xdr:col>5</xdr:col>
      <xdr:colOff>304800</xdr:colOff>
      <xdr:row>304</xdr:row>
      <xdr:rowOff>76200</xdr:rowOff>
    </xdr:to>
    <xdr:sp macro="" textlink="">
      <xdr:nvSpPr>
        <xdr:cNvPr id="1328" name="AutoShape 304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113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305</xdr:row>
      <xdr:rowOff>0</xdr:rowOff>
    </xdr:from>
    <xdr:to>
      <xdr:col>4</xdr:col>
      <xdr:colOff>304800</xdr:colOff>
      <xdr:row>306</xdr:row>
      <xdr:rowOff>76200</xdr:rowOff>
    </xdr:to>
    <xdr:sp macro="" textlink="">
      <xdr:nvSpPr>
        <xdr:cNvPr id="1329" name="AutoShape 305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156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305</xdr:row>
      <xdr:rowOff>0</xdr:rowOff>
    </xdr:from>
    <xdr:to>
      <xdr:col>5</xdr:col>
      <xdr:colOff>304800</xdr:colOff>
      <xdr:row>306</xdr:row>
      <xdr:rowOff>76200</xdr:rowOff>
    </xdr:to>
    <xdr:sp macro="" textlink="">
      <xdr:nvSpPr>
        <xdr:cNvPr id="1330" name="AutoShape 306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156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307</xdr:row>
      <xdr:rowOff>0</xdr:rowOff>
    </xdr:from>
    <xdr:to>
      <xdr:col>4</xdr:col>
      <xdr:colOff>304800</xdr:colOff>
      <xdr:row>308</xdr:row>
      <xdr:rowOff>114300</xdr:rowOff>
    </xdr:to>
    <xdr:sp macro="" textlink="">
      <xdr:nvSpPr>
        <xdr:cNvPr id="1331" name="AutoShape 307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198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307</xdr:row>
      <xdr:rowOff>0</xdr:rowOff>
    </xdr:from>
    <xdr:to>
      <xdr:col>5</xdr:col>
      <xdr:colOff>304800</xdr:colOff>
      <xdr:row>308</xdr:row>
      <xdr:rowOff>114300</xdr:rowOff>
    </xdr:to>
    <xdr:sp macro="" textlink="">
      <xdr:nvSpPr>
        <xdr:cNvPr id="1332" name="AutoShape 308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198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309</xdr:row>
      <xdr:rowOff>0</xdr:rowOff>
    </xdr:from>
    <xdr:to>
      <xdr:col>4</xdr:col>
      <xdr:colOff>304800</xdr:colOff>
      <xdr:row>310</xdr:row>
      <xdr:rowOff>114300</xdr:rowOff>
    </xdr:to>
    <xdr:sp macro="" textlink="">
      <xdr:nvSpPr>
        <xdr:cNvPr id="1333" name="AutoShape 309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256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309</xdr:row>
      <xdr:rowOff>0</xdr:rowOff>
    </xdr:from>
    <xdr:to>
      <xdr:col>5</xdr:col>
      <xdr:colOff>304800</xdr:colOff>
      <xdr:row>310</xdr:row>
      <xdr:rowOff>114300</xdr:rowOff>
    </xdr:to>
    <xdr:sp macro="" textlink="">
      <xdr:nvSpPr>
        <xdr:cNvPr id="1334" name="AutoShape 310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256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311</xdr:row>
      <xdr:rowOff>0</xdr:rowOff>
    </xdr:from>
    <xdr:to>
      <xdr:col>4</xdr:col>
      <xdr:colOff>304800</xdr:colOff>
      <xdr:row>312</xdr:row>
      <xdr:rowOff>114300</xdr:rowOff>
    </xdr:to>
    <xdr:sp macro="" textlink="">
      <xdr:nvSpPr>
        <xdr:cNvPr id="1335" name="AutoShape 311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3150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311</xdr:row>
      <xdr:rowOff>0</xdr:rowOff>
    </xdr:from>
    <xdr:to>
      <xdr:col>5</xdr:col>
      <xdr:colOff>304800</xdr:colOff>
      <xdr:row>312</xdr:row>
      <xdr:rowOff>114300</xdr:rowOff>
    </xdr:to>
    <xdr:sp macro="" textlink="">
      <xdr:nvSpPr>
        <xdr:cNvPr id="1336" name="AutoShape 312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3150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313</xdr:row>
      <xdr:rowOff>0</xdr:rowOff>
    </xdr:from>
    <xdr:to>
      <xdr:col>4</xdr:col>
      <xdr:colOff>304800</xdr:colOff>
      <xdr:row>314</xdr:row>
      <xdr:rowOff>114300</xdr:rowOff>
    </xdr:to>
    <xdr:sp macro="" textlink="">
      <xdr:nvSpPr>
        <xdr:cNvPr id="1337" name="AutoShape 313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3731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313</xdr:row>
      <xdr:rowOff>0</xdr:rowOff>
    </xdr:from>
    <xdr:to>
      <xdr:col>5</xdr:col>
      <xdr:colOff>304800</xdr:colOff>
      <xdr:row>314</xdr:row>
      <xdr:rowOff>114300</xdr:rowOff>
    </xdr:to>
    <xdr:sp macro="" textlink="">
      <xdr:nvSpPr>
        <xdr:cNvPr id="1338" name="AutoShape 314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3731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315</xdr:row>
      <xdr:rowOff>0</xdr:rowOff>
    </xdr:from>
    <xdr:to>
      <xdr:col>4</xdr:col>
      <xdr:colOff>304800</xdr:colOff>
      <xdr:row>316</xdr:row>
      <xdr:rowOff>114300</xdr:rowOff>
    </xdr:to>
    <xdr:sp macro="" textlink="">
      <xdr:nvSpPr>
        <xdr:cNvPr id="1339" name="AutoShape 315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431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315</xdr:row>
      <xdr:rowOff>0</xdr:rowOff>
    </xdr:from>
    <xdr:to>
      <xdr:col>5</xdr:col>
      <xdr:colOff>304800</xdr:colOff>
      <xdr:row>316</xdr:row>
      <xdr:rowOff>114300</xdr:rowOff>
    </xdr:to>
    <xdr:sp macro="" textlink="">
      <xdr:nvSpPr>
        <xdr:cNvPr id="1340" name="AutoShape 316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431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317</xdr:row>
      <xdr:rowOff>0</xdr:rowOff>
    </xdr:from>
    <xdr:to>
      <xdr:col>4</xdr:col>
      <xdr:colOff>304800</xdr:colOff>
      <xdr:row>318</xdr:row>
      <xdr:rowOff>114300</xdr:rowOff>
    </xdr:to>
    <xdr:sp macro="" textlink="">
      <xdr:nvSpPr>
        <xdr:cNvPr id="1341" name="AutoShape 317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489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317</xdr:row>
      <xdr:rowOff>0</xdr:rowOff>
    </xdr:from>
    <xdr:to>
      <xdr:col>5</xdr:col>
      <xdr:colOff>304800</xdr:colOff>
      <xdr:row>318</xdr:row>
      <xdr:rowOff>114300</xdr:rowOff>
    </xdr:to>
    <xdr:sp macro="" textlink="">
      <xdr:nvSpPr>
        <xdr:cNvPr id="1342" name="AutoShape 318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489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319</xdr:row>
      <xdr:rowOff>0</xdr:rowOff>
    </xdr:from>
    <xdr:to>
      <xdr:col>4</xdr:col>
      <xdr:colOff>304800</xdr:colOff>
      <xdr:row>320</xdr:row>
      <xdr:rowOff>114300</xdr:rowOff>
    </xdr:to>
    <xdr:sp macro="" textlink="">
      <xdr:nvSpPr>
        <xdr:cNvPr id="1343" name="AutoShape 319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5474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319</xdr:row>
      <xdr:rowOff>0</xdr:rowOff>
    </xdr:from>
    <xdr:to>
      <xdr:col>5</xdr:col>
      <xdr:colOff>304800</xdr:colOff>
      <xdr:row>320</xdr:row>
      <xdr:rowOff>114300</xdr:rowOff>
    </xdr:to>
    <xdr:sp macro="" textlink="">
      <xdr:nvSpPr>
        <xdr:cNvPr id="1344" name="AutoShape 320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5474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321</xdr:row>
      <xdr:rowOff>0</xdr:rowOff>
    </xdr:from>
    <xdr:to>
      <xdr:col>4</xdr:col>
      <xdr:colOff>304800</xdr:colOff>
      <xdr:row>322</xdr:row>
      <xdr:rowOff>114300</xdr:rowOff>
    </xdr:to>
    <xdr:sp macro="" textlink="">
      <xdr:nvSpPr>
        <xdr:cNvPr id="1345" name="AutoShape 321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605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321</xdr:row>
      <xdr:rowOff>0</xdr:rowOff>
    </xdr:from>
    <xdr:to>
      <xdr:col>5</xdr:col>
      <xdr:colOff>304800</xdr:colOff>
      <xdr:row>322</xdr:row>
      <xdr:rowOff>114300</xdr:rowOff>
    </xdr:to>
    <xdr:sp macro="" textlink="">
      <xdr:nvSpPr>
        <xdr:cNvPr id="1346" name="AutoShape 322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605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323</xdr:row>
      <xdr:rowOff>0</xdr:rowOff>
    </xdr:from>
    <xdr:to>
      <xdr:col>4</xdr:col>
      <xdr:colOff>304800</xdr:colOff>
      <xdr:row>324</xdr:row>
      <xdr:rowOff>114300</xdr:rowOff>
    </xdr:to>
    <xdr:sp macro="" textlink="">
      <xdr:nvSpPr>
        <xdr:cNvPr id="1347" name="AutoShape 323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663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323</xdr:row>
      <xdr:rowOff>0</xdr:rowOff>
    </xdr:from>
    <xdr:to>
      <xdr:col>5</xdr:col>
      <xdr:colOff>304800</xdr:colOff>
      <xdr:row>324</xdr:row>
      <xdr:rowOff>114300</xdr:rowOff>
    </xdr:to>
    <xdr:sp macro="" textlink="">
      <xdr:nvSpPr>
        <xdr:cNvPr id="1348" name="AutoShape 324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663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325</xdr:row>
      <xdr:rowOff>0</xdr:rowOff>
    </xdr:from>
    <xdr:to>
      <xdr:col>4</xdr:col>
      <xdr:colOff>304800</xdr:colOff>
      <xdr:row>326</xdr:row>
      <xdr:rowOff>114300</xdr:rowOff>
    </xdr:to>
    <xdr:sp macro="" textlink="">
      <xdr:nvSpPr>
        <xdr:cNvPr id="1349" name="AutoShape 325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7217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325</xdr:row>
      <xdr:rowOff>0</xdr:rowOff>
    </xdr:from>
    <xdr:to>
      <xdr:col>5</xdr:col>
      <xdr:colOff>304800</xdr:colOff>
      <xdr:row>326</xdr:row>
      <xdr:rowOff>114300</xdr:rowOff>
    </xdr:to>
    <xdr:sp macro="" textlink="">
      <xdr:nvSpPr>
        <xdr:cNvPr id="1350" name="AutoShape 326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7217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327</xdr:row>
      <xdr:rowOff>0</xdr:rowOff>
    </xdr:from>
    <xdr:to>
      <xdr:col>4</xdr:col>
      <xdr:colOff>304800</xdr:colOff>
      <xdr:row>328</xdr:row>
      <xdr:rowOff>76200</xdr:rowOff>
    </xdr:to>
    <xdr:sp macro="" textlink="">
      <xdr:nvSpPr>
        <xdr:cNvPr id="1351" name="AutoShape 327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779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327</xdr:row>
      <xdr:rowOff>0</xdr:rowOff>
    </xdr:from>
    <xdr:to>
      <xdr:col>5</xdr:col>
      <xdr:colOff>304800</xdr:colOff>
      <xdr:row>328</xdr:row>
      <xdr:rowOff>76200</xdr:rowOff>
    </xdr:to>
    <xdr:sp macro="" textlink="">
      <xdr:nvSpPr>
        <xdr:cNvPr id="1352" name="AutoShape 328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779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329</xdr:row>
      <xdr:rowOff>0</xdr:rowOff>
    </xdr:from>
    <xdr:to>
      <xdr:col>4</xdr:col>
      <xdr:colOff>304800</xdr:colOff>
      <xdr:row>330</xdr:row>
      <xdr:rowOff>114300</xdr:rowOff>
    </xdr:to>
    <xdr:sp macro="" textlink="">
      <xdr:nvSpPr>
        <xdr:cNvPr id="1353" name="AutoShape 329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822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329</xdr:row>
      <xdr:rowOff>0</xdr:rowOff>
    </xdr:from>
    <xdr:to>
      <xdr:col>5</xdr:col>
      <xdr:colOff>304800</xdr:colOff>
      <xdr:row>330</xdr:row>
      <xdr:rowOff>114300</xdr:rowOff>
    </xdr:to>
    <xdr:sp macro="" textlink="">
      <xdr:nvSpPr>
        <xdr:cNvPr id="1354" name="AutoShape 330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822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331</xdr:row>
      <xdr:rowOff>0</xdr:rowOff>
    </xdr:from>
    <xdr:to>
      <xdr:col>4</xdr:col>
      <xdr:colOff>304800</xdr:colOff>
      <xdr:row>332</xdr:row>
      <xdr:rowOff>114300</xdr:rowOff>
    </xdr:to>
    <xdr:sp macro="" textlink="">
      <xdr:nvSpPr>
        <xdr:cNvPr id="1355" name="AutoShape 331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880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331</xdr:row>
      <xdr:rowOff>0</xdr:rowOff>
    </xdr:from>
    <xdr:to>
      <xdr:col>5</xdr:col>
      <xdr:colOff>304800</xdr:colOff>
      <xdr:row>332</xdr:row>
      <xdr:rowOff>114300</xdr:rowOff>
    </xdr:to>
    <xdr:sp macro="" textlink="">
      <xdr:nvSpPr>
        <xdr:cNvPr id="1356" name="AutoShape 332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880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333</xdr:row>
      <xdr:rowOff>0</xdr:rowOff>
    </xdr:from>
    <xdr:to>
      <xdr:col>4</xdr:col>
      <xdr:colOff>304800</xdr:colOff>
      <xdr:row>334</xdr:row>
      <xdr:rowOff>114300</xdr:rowOff>
    </xdr:to>
    <xdr:sp macro="" textlink="">
      <xdr:nvSpPr>
        <xdr:cNvPr id="1357" name="AutoShape 333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938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333</xdr:row>
      <xdr:rowOff>0</xdr:rowOff>
    </xdr:from>
    <xdr:to>
      <xdr:col>5</xdr:col>
      <xdr:colOff>304800</xdr:colOff>
      <xdr:row>334</xdr:row>
      <xdr:rowOff>114300</xdr:rowOff>
    </xdr:to>
    <xdr:sp macro="" textlink="">
      <xdr:nvSpPr>
        <xdr:cNvPr id="1358" name="AutoShape 334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938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335</xdr:row>
      <xdr:rowOff>0</xdr:rowOff>
    </xdr:from>
    <xdr:to>
      <xdr:col>4</xdr:col>
      <xdr:colOff>304800</xdr:colOff>
      <xdr:row>336</xdr:row>
      <xdr:rowOff>114300</xdr:rowOff>
    </xdr:to>
    <xdr:sp macro="" textlink="">
      <xdr:nvSpPr>
        <xdr:cNvPr id="1359" name="AutoShape 335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9970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335</xdr:row>
      <xdr:rowOff>0</xdr:rowOff>
    </xdr:from>
    <xdr:to>
      <xdr:col>5</xdr:col>
      <xdr:colOff>304800</xdr:colOff>
      <xdr:row>336</xdr:row>
      <xdr:rowOff>114300</xdr:rowOff>
    </xdr:to>
    <xdr:sp macro="" textlink="">
      <xdr:nvSpPr>
        <xdr:cNvPr id="1360" name="AutoShape 336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9970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337</xdr:row>
      <xdr:rowOff>0</xdr:rowOff>
    </xdr:from>
    <xdr:to>
      <xdr:col>4</xdr:col>
      <xdr:colOff>304800</xdr:colOff>
      <xdr:row>338</xdr:row>
      <xdr:rowOff>76200</xdr:rowOff>
    </xdr:to>
    <xdr:sp macro="" textlink="">
      <xdr:nvSpPr>
        <xdr:cNvPr id="1361" name="AutoShape 337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0551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337</xdr:row>
      <xdr:rowOff>0</xdr:rowOff>
    </xdr:from>
    <xdr:to>
      <xdr:col>5</xdr:col>
      <xdr:colOff>304800</xdr:colOff>
      <xdr:row>338</xdr:row>
      <xdr:rowOff>76200</xdr:rowOff>
    </xdr:to>
    <xdr:sp macro="" textlink="">
      <xdr:nvSpPr>
        <xdr:cNvPr id="1362" name="AutoShape 33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0551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339</xdr:row>
      <xdr:rowOff>0</xdr:rowOff>
    </xdr:from>
    <xdr:to>
      <xdr:col>4</xdr:col>
      <xdr:colOff>304800</xdr:colOff>
      <xdr:row>340</xdr:row>
      <xdr:rowOff>114300</xdr:rowOff>
    </xdr:to>
    <xdr:sp macro="" textlink="">
      <xdr:nvSpPr>
        <xdr:cNvPr id="1363" name="AutoShape 339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098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339</xdr:row>
      <xdr:rowOff>0</xdr:rowOff>
    </xdr:from>
    <xdr:to>
      <xdr:col>5</xdr:col>
      <xdr:colOff>304800</xdr:colOff>
      <xdr:row>340</xdr:row>
      <xdr:rowOff>114300</xdr:rowOff>
    </xdr:to>
    <xdr:sp macro="" textlink="">
      <xdr:nvSpPr>
        <xdr:cNvPr id="1364" name="AutoShape 340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098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341</xdr:row>
      <xdr:rowOff>0</xdr:rowOff>
    </xdr:from>
    <xdr:to>
      <xdr:col>4</xdr:col>
      <xdr:colOff>304800</xdr:colOff>
      <xdr:row>342</xdr:row>
      <xdr:rowOff>114300</xdr:rowOff>
    </xdr:to>
    <xdr:sp macro="" textlink="">
      <xdr:nvSpPr>
        <xdr:cNvPr id="1365" name="AutoShape 34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156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341</xdr:row>
      <xdr:rowOff>0</xdr:rowOff>
    </xdr:from>
    <xdr:to>
      <xdr:col>5</xdr:col>
      <xdr:colOff>304800</xdr:colOff>
      <xdr:row>342</xdr:row>
      <xdr:rowOff>114300</xdr:rowOff>
    </xdr:to>
    <xdr:sp macro="" textlink="">
      <xdr:nvSpPr>
        <xdr:cNvPr id="1366" name="AutoShape 342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156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343</xdr:row>
      <xdr:rowOff>0</xdr:rowOff>
    </xdr:from>
    <xdr:to>
      <xdr:col>4</xdr:col>
      <xdr:colOff>304800</xdr:colOff>
      <xdr:row>344</xdr:row>
      <xdr:rowOff>76200</xdr:rowOff>
    </xdr:to>
    <xdr:sp macro="" textlink="">
      <xdr:nvSpPr>
        <xdr:cNvPr id="1367" name="AutoShape 343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214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343</xdr:row>
      <xdr:rowOff>0</xdr:rowOff>
    </xdr:from>
    <xdr:to>
      <xdr:col>5</xdr:col>
      <xdr:colOff>304800</xdr:colOff>
      <xdr:row>344</xdr:row>
      <xdr:rowOff>76200</xdr:rowOff>
    </xdr:to>
    <xdr:sp macro="" textlink="">
      <xdr:nvSpPr>
        <xdr:cNvPr id="1368" name="AutoShape 344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214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345</xdr:row>
      <xdr:rowOff>0</xdr:rowOff>
    </xdr:from>
    <xdr:to>
      <xdr:col>4</xdr:col>
      <xdr:colOff>304800</xdr:colOff>
      <xdr:row>346</xdr:row>
      <xdr:rowOff>114300</xdr:rowOff>
    </xdr:to>
    <xdr:sp macro="" textlink="">
      <xdr:nvSpPr>
        <xdr:cNvPr id="1369" name="AutoShape 345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257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345</xdr:row>
      <xdr:rowOff>0</xdr:rowOff>
    </xdr:from>
    <xdr:to>
      <xdr:col>5</xdr:col>
      <xdr:colOff>304800</xdr:colOff>
      <xdr:row>346</xdr:row>
      <xdr:rowOff>114300</xdr:rowOff>
    </xdr:to>
    <xdr:sp macro="" textlink="">
      <xdr:nvSpPr>
        <xdr:cNvPr id="1370" name="AutoShape 346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257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347</xdr:row>
      <xdr:rowOff>0</xdr:rowOff>
    </xdr:from>
    <xdr:to>
      <xdr:col>4</xdr:col>
      <xdr:colOff>304800</xdr:colOff>
      <xdr:row>348</xdr:row>
      <xdr:rowOff>114300</xdr:rowOff>
    </xdr:to>
    <xdr:sp macro="" textlink="">
      <xdr:nvSpPr>
        <xdr:cNvPr id="1371" name="AutoShape 347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315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347</xdr:row>
      <xdr:rowOff>0</xdr:rowOff>
    </xdr:from>
    <xdr:to>
      <xdr:col>5</xdr:col>
      <xdr:colOff>304800</xdr:colOff>
      <xdr:row>348</xdr:row>
      <xdr:rowOff>114300</xdr:rowOff>
    </xdr:to>
    <xdr:sp macro="" textlink="">
      <xdr:nvSpPr>
        <xdr:cNvPr id="1372" name="AutoShape 348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315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349</xdr:row>
      <xdr:rowOff>0</xdr:rowOff>
    </xdr:from>
    <xdr:to>
      <xdr:col>4</xdr:col>
      <xdr:colOff>304800</xdr:colOff>
      <xdr:row>350</xdr:row>
      <xdr:rowOff>114300</xdr:rowOff>
    </xdr:to>
    <xdr:sp macro="" textlink="">
      <xdr:nvSpPr>
        <xdr:cNvPr id="1373" name="AutoShape 34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373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349</xdr:row>
      <xdr:rowOff>0</xdr:rowOff>
    </xdr:from>
    <xdr:to>
      <xdr:col>5</xdr:col>
      <xdr:colOff>304800</xdr:colOff>
      <xdr:row>350</xdr:row>
      <xdr:rowOff>114300</xdr:rowOff>
    </xdr:to>
    <xdr:sp macro="" textlink="">
      <xdr:nvSpPr>
        <xdr:cNvPr id="1374" name="AutoShape 350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373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351</xdr:row>
      <xdr:rowOff>0</xdr:rowOff>
    </xdr:from>
    <xdr:to>
      <xdr:col>4</xdr:col>
      <xdr:colOff>304800</xdr:colOff>
      <xdr:row>352</xdr:row>
      <xdr:rowOff>114300</xdr:rowOff>
    </xdr:to>
    <xdr:sp macro="" textlink="">
      <xdr:nvSpPr>
        <xdr:cNvPr id="1375" name="AutoShape 35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431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351</xdr:row>
      <xdr:rowOff>0</xdr:rowOff>
    </xdr:from>
    <xdr:to>
      <xdr:col>5</xdr:col>
      <xdr:colOff>304800</xdr:colOff>
      <xdr:row>352</xdr:row>
      <xdr:rowOff>114300</xdr:rowOff>
    </xdr:to>
    <xdr:sp macro="" textlink="">
      <xdr:nvSpPr>
        <xdr:cNvPr id="1376" name="AutoShape 352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431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353</xdr:row>
      <xdr:rowOff>0</xdr:rowOff>
    </xdr:from>
    <xdr:to>
      <xdr:col>4</xdr:col>
      <xdr:colOff>304800</xdr:colOff>
      <xdr:row>354</xdr:row>
      <xdr:rowOff>114300</xdr:rowOff>
    </xdr:to>
    <xdr:sp macro="" textlink="">
      <xdr:nvSpPr>
        <xdr:cNvPr id="1377" name="AutoShape 353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489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353</xdr:row>
      <xdr:rowOff>0</xdr:rowOff>
    </xdr:from>
    <xdr:to>
      <xdr:col>5</xdr:col>
      <xdr:colOff>304800</xdr:colOff>
      <xdr:row>354</xdr:row>
      <xdr:rowOff>114300</xdr:rowOff>
    </xdr:to>
    <xdr:sp macro="" textlink="">
      <xdr:nvSpPr>
        <xdr:cNvPr id="1378" name="AutoShape 354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489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355</xdr:row>
      <xdr:rowOff>0</xdr:rowOff>
    </xdr:from>
    <xdr:to>
      <xdr:col>4</xdr:col>
      <xdr:colOff>304800</xdr:colOff>
      <xdr:row>356</xdr:row>
      <xdr:rowOff>76200</xdr:rowOff>
    </xdr:to>
    <xdr:sp macro="" textlink="">
      <xdr:nvSpPr>
        <xdr:cNvPr id="1379" name="AutoShape 35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547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355</xdr:row>
      <xdr:rowOff>0</xdr:rowOff>
    </xdr:from>
    <xdr:to>
      <xdr:col>5</xdr:col>
      <xdr:colOff>304800</xdr:colOff>
      <xdr:row>356</xdr:row>
      <xdr:rowOff>76200</xdr:rowOff>
    </xdr:to>
    <xdr:sp macro="" textlink="">
      <xdr:nvSpPr>
        <xdr:cNvPr id="1380" name="AutoShape 356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547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357</xdr:row>
      <xdr:rowOff>0</xdr:rowOff>
    </xdr:from>
    <xdr:to>
      <xdr:col>4</xdr:col>
      <xdr:colOff>304800</xdr:colOff>
      <xdr:row>358</xdr:row>
      <xdr:rowOff>114300</xdr:rowOff>
    </xdr:to>
    <xdr:sp macro="" textlink="">
      <xdr:nvSpPr>
        <xdr:cNvPr id="1381" name="AutoShape 357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590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357</xdr:row>
      <xdr:rowOff>0</xdr:rowOff>
    </xdr:from>
    <xdr:to>
      <xdr:col>5</xdr:col>
      <xdr:colOff>304800</xdr:colOff>
      <xdr:row>358</xdr:row>
      <xdr:rowOff>114300</xdr:rowOff>
    </xdr:to>
    <xdr:sp macro="" textlink="">
      <xdr:nvSpPr>
        <xdr:cNvPr id="1382" name="AutoShape 358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590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359</xdr:row>
      <xdr:rowOff>0</xdr:rowOff>
    </xdr:from>
    <xdr:to>
      <xdr:col>4</xdr:col>
      <xdr:colOff>304800</xdr:colOff>
      <xdr:row>360</xdr:row>
      <xdr:rowOff>114300</xdr:rowOff>
    </xdr:to>
    <xdr:sp macro="" textlink="">
      <xdr:nvSpPr>
        <xdr:cNvPr id="1383" name="AutoShape 359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648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359</xdr:row>
      <xdr:rowOff>0</xdr:rowOff>
    </xdr:from>
    <xdr:to>
      <xdr:col>5</xdr:col>
      <xdr:colOff>304800</xdr:colOff>
      <xdr:row>360</xdr:row>
      <xdr:rowOff>114300</xdr:rowOff>
    </xdr:to>
    <xdr:sp macro="" textlink="">
      <xdr:nvSpPr>
        <xdr:cNvPr id="1384" name="AutoShape 360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648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361</xdr:row>
      <xdr:rowOff>0</xdr:rowOff>
    </xdr:from>
    <xdr:to>
      <xdr:col>4</xdr:col>
      <xdr:colOff>304800</xdr:colOff>
      <xdr:row>362</xdr:row>
      <xdr:rowOff>114300</xdr:rowOff>
    </xdr:to>
    <xdr:sp macro="" textlink="">
      <xdr:nvSpPr>
        <xdr:cNvPr id="1385" name="AutoShape 361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706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361</xdr:row>
      <xdr:rowOff>0</xdr:rowOff>
    </xdr:from>
    <xdr:to>
      <xdr:col>5</xdr:col>
      <xdr:colOff>304800</xdr:colOff>
      <xdr:row>362</xdr:row>
      <xdr:rowOff>114300</xdr:rowOff>
    </xdr:to>
    <xdr:sp macro="" textlink="">
      <xdr:nvSpPr>
        <xdr:cNvPr id="1386" name="AutoShape 362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706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363</xdr:row>
      <xdr:rowOff>0</xdr:rowOff>
    </xdr:from>
    <xdr:to>
      <xdr:col>4</xdr:col>
      <xdr:colOff>304800</xdr:colOff>
      <xdr:row>364</xdr:row>
      <xdr:rowOff>114300</xdr:rowOff>
    </xdr:to>
    <xdr:sp macro="" textlink="">
      <xdr:nvSpPr>
        <xdr:cNvPr id="1387" name="AutoShape 363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76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363</xdr:row>
      <xdr:rowOff>0</xdr:rowOff>
    </xdr:from>
    <xdr:to>
      <xdr:col>5</xdr:col>
      <xdr:colOff>304800</xdr:colOff>
      <xdr:row>364</xdr:row>
      <xdr:rowOff>114300</xdr:rowOff>
    </xdr:to>
    <xdr:sp macro="" textlink="">
      <xdr:nvSpPr>
        <xdr:cNvPr id="1388" name="AutoShape 364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76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365</xdr:row>
      <xdr:rowOff>0</xdr:rowOff>
    </xdr:from>
    <xdr:to>
      <xdr:col>4</xdr:col>
      <xdr:colOff>304800</xdr:colOff>
      <xdr:row>366</xdr:row>
      <xdr:rowOff>114300</xdr:rowOff>
    </xdr:to>
    <xdr:sp macro="" textlink="">
      <xdr:nvSpPr>
        <xdr:cNvPr id="1389" name="AutoShape 365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822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365</xdr:row>
      <xdr:rowOff>0</xdr:rowOff>
    </xdr:from>
    <xdr:to>
      <xdr:col>5</xdr:col>
      <xdr:colOff>304800</xdr:colOff>
      <xdr:row>366</xdr:row>
      <xdr:rowOff>114300</xdr:rowOff>
    </xdr:to>
    <xdr:sp macro="" textlink="">
      <xdr:nvSpPr>
        <xdr:cNvPr id="1390" name="AutoShape 366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822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367</xdr:row>
      <xdr:rowOff>0</xdr:rowOff>
    </xdr:from>
    <xdr:to>
      <xdr:col>4</xdr:col>
      <xdr:colOff>304800</xdr:colOff>
      <xdr:row>368</xdr:row>
      <xdr:rowOff>76200</xdr:rowOff>
    </xdr:to>
    <xdr:sp macro="" textlink="">
      <xdr:nvSpPr>
        <xdr:cNvPr id="1391" name="AutoShape 367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861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367</xdr:row>
      <xdr:rowOff>0</xdr:rowOff>
    </xdr:from>
    <xdr:to>
      <xdr:col>5</xdr:col>
      <xdr:colOff>304800</xdr:colOff>
      <xdr:row>368</xdr:row>
      <xdr:rowOff>76200</xdr:rowOff>
    </xdr:to>
    <xdr:sp macro="" textlink="">
      <xdr:nvSpPr>
        <xdr:cNvPr id="1392" name="AutoShape 368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861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369</xdr:row>
      <xdr:rowOff>0</xdr:rowOff>
    </xdr:from>
    <xdr:to>
      <xdr:col>4</xdr:col>
      <xdr:colOff>304800</xdr:colOff>
      <xdr:row>370</xdr:row>
      <xdr:rowOff>114300</xdr:rowOff>
    </xdr:to>
    <xdr:sp macro="" textlink="">
      <xdr:nvSpPr>
        <xdr:cNvPr id="1393" name="AutoShape 369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90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369</xdr:row>
      <xdr:rowOff>0</xdr:rowOff>
    </xdr:from>
    <xdr:to>
      <xdr:col>5</xdr:col>
      <xdr:colOff>304800</xdr:colOff>
      <xdr:row>370</xdr:row>
      <xdr:rowOff>114300</xdr:rowOff>
    </xdr:to>
    <xdr:sp macro="" textlink="">
      <xdr:nvSpPr>
        <xdr:cNvPr id="1394" name="AutoShape 370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90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371</xdr:row>
      <xdr:rowOff>0</xdr:rowOff>
    </xdr:from>
    <xdr:to>
      <xdr:col>4</xdr:col>
      <xdr:colOff>304800</xdr:colOff>
      <xdr:row>372</xdr:row>
      <xdr:rowOff>114300</xdr:rowOff>
    </xdr:to>
    <xdr:sp macro="" textlink="">
      <xdr:nvSpPr>
        <xdr:cNvPr id="1395" name="AutoShape 371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962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371</xdr:row>
      <xdr:rowOff>0</xdr:rowOff>
    </xdr:from>
    <xdr:to>
      <xdr:col>5</xdr:col>
      <xdr:colOff>304800</xdr:colOff>
      <xdr:row>372</xdr:row>
      <xdr:rowOff>114300</xdr:rowOff>
    </xdr:to>
    <xdr:sp macro="" textlink="">
      <xdr:nvSpPr>
        <xdr:cNvPr id="1396" name="AutoShape 372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962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373</xdr:row>
      <xdr:rowOff>0</xdr:rowOff>
    </xdr:from>
    <xdr:to>
      <xdr:col>4</xdr:col>
      <xdr:colOff>304800</xdr:colOff>
      <xdr:row>374</xdr:row>
      <xdr:rowOff>114300</xdr:rowOff>
    </xdr:to>
    <xdr:sp macro="" textlink="">
      <xdr:nvSpPr>
        <xdr:cNvPr id="1397" name="AutoShape 373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021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373</xdr:row>
      <xdr:rowOff>0</xdr:rowOff>
    </xdr:from>
    <xdr:to>
      <xdr:col>5</xdr:col>
      <xdr:colOff>304800</xdr:colOff>
      <xdr:row>374</xdr:row>
      <xdr:rowOff>114300</xdr:rowOff>
    </xdr:to>
    <xdr:sp macro="" textlink="">
      <xdr:nvSpPr>
        <xdr:cNvPr id="1398" name="AutoShape 374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021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375</xdr:row>
      <xdr:rowOff>0</xdr:rowOff>
    </xdr:from>
    <xdr:to>
      <xdr:col>4</xdr:col>
      <xdr:colOff>304800</xdr:colOff>
      <xdr:row>376</xdr:row>
      <xdr:rowOff>114300</xdr:rowOff>
    </xdr:to>
    <xdr:sp macro="" textlink="">
      <xdr:nvSpPr>
        <xdr:cNvPr id="1399" name="AutoShape 37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079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375</xdr:row>
      <xdr:rowOff>0</xdr:rowOff>
    </xdr:from>
    <xdr:to>
      <xdr:col>5</xdr:col>
      <xdr:colOff>304800</xdr:colOff>
      <xdr:row>376</xdr:row>
      <xdr:rowOff>114300</xdr:rowOff>
    </xdr:to>
    <xdr:sp macro="" textlink="">
      <xdr:nvSpPr>
        <xdr:cNvPr id="1400" name="AutoShape 376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079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377</xdr:row>
      <xdr:rowOff>0</xdr:rowOff>
    </xdr:from>
    <xdr:to>
      <xdr:col>4</xdr:col>
      <xdr:colOff>304800</xdr:colOff>
      <xdr:row>378</xdr:row>
      <xdr:rowOff>114300</xdr:rowOff>
    </xdr:to>
    <xdr:sp macro="" textlink="">
      <xdr:nvSpPr>
        <xdr:cNvPr id="1401" name="AutoShape 377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137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377</xdr:row>
      <xdr:rowOff>0</xdr:rowOff>
    </xdr:from>
    <xdr:to>
      <xdr:col>5</xdr:col>
      <xdr:colOff>304800</xdr:colOff>
      <xdr:row>378</xdr:row>
      <xdr:rowOff>114300</xdr:rowOff>
    </xdr:to>
    <xdr:sp macro="" textlink="">
      <xdr:nvSpPr>
        <xdr:cNvPr id="1402" name="AutoShape 37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137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379</xdr:row>
      <xdr:rowOff>0</xdr:rowOff>
    </xdr:from>
    <xdr:to>
      <xdr:col>4</xdr:col>
      <xdr:colOff>304800</xdr:colOff>
      <xdr:row>380</xdr:row>
      <xdr:rowOff>114300</xdr:rowOff>
    </xdr:to>
    <xdr:sp macro="" textlink="">
      <xdr:nvSpPr>
        <xdr:cNvPr id="1403" name="AutoShape 379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195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379</xdr:row>
      <xdr:rowOff>0</xdr:rowOff>
    </xdr:from>
    <xdr:to>
      <xdr:col>5</xdr:col>
      <xdr:colOff>304800</xdr:colOff>
      <xdr:row>380</xdr:row>
      <xdr:rowOff>114300</xdr:rowOff>
    </xdr:to>
    <xdr:sp macro="" textlink="">
      <xdr:nvSpPr>
        <xdr:cNvPr id="1404" name="AutoShape 380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195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381</xdr:row>
      <xdr:rowOff>0</xdr:rowOff>
    </xdr:from>
    <xdr:to>
      <xdr:col>4</xdr:col>
      <xdr:colOff>304800</xdr:colOff>
      <xdr:row>382</xdr:row>
      <xdr:rowOff>114300</xdr:rowOff>
    </xdr:to>
    <xdr:sp macro="" textlink="">
      <xdr:nvSpPr>
        <xdr:cNvPr id="1405" name="AutoShape 381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2534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381</xdr:row>
      <xdr:rowOff>0</xdr:rowOff>
    </xdr:from>
    <xdr:to>
      <xdr:col>5</xdr:col>
      <xdr:colOff>304800</xdr:colOff>
      <xdr:row>382</xdr:row>
      <xdr:rowOff>114300</xdr:rowOff>
    </xdr:to>
    <xdr:sp macro="" textlink="">
      <xdr:nvSpPr>
        <xdr:cNvPr id="1406" name="AutoShape 38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2534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383</xdr:row>
      <xdr:rowOff>0</xdr:rowOff>
    </xdr:from>
    <xdr:to>
      <xdr:col>4</xdr:col>
      <xdr:colOff>304800</xdr:colOff>
      <xdr:row>384</xdr:row>
      <xdr:rowOff>114300</xdr:rowOff>
    </xdr:to>
    <xdr:sp macro="" textlink="">
      <xdr:nvSpPr>
        <xdr:cNvPr id="1407" name="AutoShape 383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3115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383</xdr:row>
      <xdr:rowOff>0</xdr:rowOff>
    </xdr:from>
    <xdr:to>
      <xdr:col>5</xdr:col>
      <xdr:colOff>304800</xdr:colOff>
      <xdr:row>384</xdr:row>
      <xdr:rowOff>114300</xdr:rowOff>
    </xdr:to>
    <xdr:sp macro="" textlink="">
      <xdr:nvSpPr>
        <xdr:cNvPr id="1408" name="AutoShape 38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3115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385</xdr:row>
      <xdr:rowOff>0</xdr:rowOff>
    </xdr:from>
    <xdr:to>
      <xdr:col>4</xdr:col>
      <xdr:colOff>304800</xdr:colOff>
      <xdr:row>386</xdr:row>
      <xdr:rowOff>76200</xdr:rowOff>
    </xdr:to>
    <xdr:sp macro="" textlink="">
      <xdr:nvSpPr>
        <xdr:cNvPr id="1409" name="AutoShape 385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3696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385</xdr:row>
      <xdr:rowOff>0</xdr:rowOff>
    </xdr:from>
    <xdr:to>
      <xdr:col>5</xdr:col>
      <xdr:colOff>304800</xdr:colOff>
      <xdr:row>386</xdr:row>
      <xdr:rowOff>76200</xdr:rowOff>
    </xdr:to>
    <xdr:sp macro="" textlink="">
      <xdr:nvSpPr>
        <xdr:cNvPr id="1410" name="AutoShape 386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3696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387</xdr:row>
      <xdr:rowOff>0</xdr:rowOff>
    </xdr:from>
    <xdr:to>
      <xdr:col>4</xdr:col>
      <xdr:colOff>304800</xdr:colOff>
      <xdr:row>388</xdr:row>
      <xdr:rowOff>114300</xdr:rowOff>
    </xdr:to>
    <xdr:sp macro="" textlink="">
      <xdr:nvSpPr>
        <xdr:cNvPr id="1411" name="AutoShape 387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41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387</xdr:row>
      <xdr:rowOff>0</xdr:rowOff>
    </xdr:from>
    <xdr:to>
      <xdr:col>5</xdr:col>
      <xdr:colOff>304800</xdr:colOff>
      <xdr:row>388</xdr:row>
      <xdr:rowOff>114300</xdr:rowOff>
    </xdr:to>
    <xdr:sp macro="" textlink="">
      <xdr:nvSpPr>
        <xdr:cNvPr id="1412" name="AutoShape 388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41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389</xdr:row>
      <xdr:rowOff>0</xdr:rowOff>
    </xdr:from>
    <xdr:to>
      <xdr:col>4</xdr:col>
      <xdr:colOff>304800</xdr:colOff>
      <xdr:row>390</xdr:row>
      <xdr:rowOff>114300</xdr:rowOff>
    </xdr:to>
    <xdr:sp macro="" textlink="">
      <xdr:nvSpPr>
        <xdr:cNvPr id="1413" name="AutoShape 389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470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389</xdr:row>
      <xdr:rowOff>0</xdr:rowOff>
    </xdr:from>
    <xdr:to>
      <xdr:col>5</xdr:col>
      <xdr:colOff>304800</xdr:colOff>
      <xdr:row>390</xdr:row>
      <xdr:rowOff>114300</xdr:rowOff>
    </xdr:to>
    <xdr:sp macro="" textlink="">
      <xdr:nvSpPr>
        <xdr:cNvPr id="1414" name="AutoShape 390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470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391</xdr:row>
      <xdr:rowOff>0</xdr:rowOff>
    </xdr:from>
    <xdr:to>
      <xdr:col>4</xdr:col>
      <xdr:colOff>304800</xdr:colOff>
      <xdr:row>392</xdr:row>
      <xdr:rowOff>114300</xdr:rowOff>
    </xdr:to>
    <xdr:sp macro="" textlink="">
      <xdr:nvSpPr>
        <xdr:cNvPr id="1415" name="AutoShape 391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5286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391</xdr:row>
      <xdr:rowOff>0</xdr:rowOff>
    </xdr:from>
    <xdr:to>
      <xdr:col>5</xdr:col>
      <xdr:colOff>304800</xdr:colOff>
      <xdr:row>392</xdr:row>
      <xdr:rowOff>114300</xdr:rowOff>
    </xdr:to>
    <xdr:sp macro="" textlink="">
      <xdr:nvSpPr>
        <xdr:cNvPr id="1416" name="AutoShape 392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5286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393</xdr:row>
      <xdr:rowOff>0</xdr:rowOff>
    </xdr:from>
    <xdr:to>
      <xdr:col>4</xdr:col>
      <xdr:colOff>304800</xdr:colOff>
      <xdr:row>394</xdr:row>
      <xdr:rowOff>114300</xdr:rowOff>
    </xdr:to>
    <xdr:sp macro="" textlink="">
      <xdr:nvSpPr>
        <xdr:cNvPr id="1417" name="AutoShape 393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586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393</xdr:row>
      <xdr:rowOff>0</xdr:rowOff>
    </xdr:from>
    <xdr:to>
      <xdr:col>5</xdr:col>
      <xdr:colOff>304800</xdr:colOff>
      <xdr:row>394</xdr:row>
      <xdr:rowOff>114300</xdr:rowOff>
    </xdr:to>
    <xdr:sp macro="" textlink="">
      <xdr:nvSpPr>
        <xdr:cNvPr id="1418" name="AutoShape 394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586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395</xdr:row>
      <xdr:rowOff>0</xdr:rowOff>
    </xdr:from>
    <xdr:to>
      <xdr:col>4</xdr:col>
      <xdr:colOff>304800</xdr:colOff>
      <xdr:row>396</xdr:row>
      <xdr:rowOff>114300</xdr:rowOff>
    </xdr:to>
    <xdr:sp macro="" textlink="">
      <xdr:nvSpPr>
        <xdr:cNvPr id="1419" name="AutoShape 395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644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395</xdr:row>
      <xdr:rowOff>0</xdr:rowOff>
    </xdr:from>
    <xdr:to>
      <xdr:col>5</xdr:col>
      <xdr:colOff>304800</xdr:colOff>
      <xdr:row>396</xdr:row>
      <xdr:rowOff>114300</xdr:rowOff>
    </xdr:to>
    <xdr:sp macro="" textlink="">
      <xdr:nvSpPr>
        <xdr:cNvPr id="1420" name="AutoShape 396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644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397</xdr:row>
      <xdr:rowOff>0</xdr:rowOff>
    </xdr:from>
    <xdr:to>
      <xdr:col>4</xdr:col>
      <xdr:colOff>304800</xdr:colOff>
      <xdr:row>398</xdr:row>
      <xdr:rowOff>114300</xdr:rowOff>
    </xdr:to>
    <xdr:sp macro="" textlink="">
      <xdr:nvSpPr>
        <xdr:cNvPr id="1421" name="AutoShape 397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7029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397</xdr:row>
      <xdr:rowOff>0</xdr:rowOff>
    </xdr:from>
    <xdr:to>
      <xdr:col>5</xdr:col>
      <xdr:colOff>304800</xdr:colOff>
      <xdr:row>398</xdr:row>
      <xdr:rowOff>114300</xdr:rowOff>
    </xdr:to>
    <xdr:sp macro="" textlink="">
      <xdr:nvSpPr>
        <xdr:cNvPr id="1422" name="AutoShape 398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7029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399</xdr:row>
      <xdr:rowOff>0</xdr:rowOff>
    </xdr:from>
    <xdr:to>
      <xdr:col>4</xdr:col>
      <xdr:colOff>304800</xdr:colOff>
      <xdr:row>400</xdr:row>
      <xdr:rowOff>114300</xdr:rowOff>
    </xdr:to>
    <xdr:sp macro="" textlink="">
      <xdr:nvSpPr>
        <xdr:cNvPr id="1423" name="AutoShape 399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7610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399</xdr:row>
      <xdr:rowOff>0</xdr:rowOff>
    </xdr:from>
    <xdr:to>
      <xdr:col>5</xdr:col>
      <xdr:colOff>304800</xdr:colOff>
      <xdr:row>400</xdr:row>
      <xdr:rowOff>114300</xdr:rowOff>
    </xdr:to>
    <xdr:sp macro="" textlink="">
      <xdr:nvSpPr>
        <xdr:cNvPr id="1424" name="AutoShape 400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7610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401</xdr:row>
      <xdr:rowOff>0</xdr:rowOff>
    </xdr:from>
    <xdr:to>
      <xdr:col>4</xdr:col>
      <xdr:colOff>304800</xdr:colOff>
      <xdr:row>402</xdr:row>
      <xdr:rowOff>76200</xdr:rowOff>
    </xdr:to>
    <xdr:sp macro="" textlink="">
      <xdr:nvSpPr>
        <xdr:cNvPr id="1425" name="AutoShape 401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819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401</xdr:row>
      <xdr:rowOff>0</xdr:rowOff>
    </xdr:from>
    <xdr:to>
      <xdr:col>5</xdr:col>
      <xdr:colOff>304800</xdr:colOff>
      <xdr:row>402</xdr:row>
      <xdr:rowOff>76200</xdr:rowOff>
    </xdr:to>
    <xdr:sp macro="" textlink="">
      <xdr:nvSpPr>
        <xdr:cNvPr id="1426" name="AutoShape 402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819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403</xdr:row>
      <xdr:rowOff>0</xdr:rowOff>
    </xdr:from>
    <xdr:to>
      <xdr:col>4</xdr:col>
      <xdr:colOff>304800</xdr:colOff>
      <xdr:row>404</xdr:row>
      <xdr:rowOff>76200</xdr:rowOff>
    </xdr:to>
    <xdr:sp macro="" textlink="">
      <xdr:nvSpPr>
        <xdr:cNvPr id="1427" name="AutoShape 403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8620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403</xdr:row>
      <xdr:rowOff>0</xdr:rowOff>
    </xdr:from>
    <xdr:to>
      <xdr:col>5</xdr:col>
      <xdr:colOff>304800</xdr:colOff>
      <xdr:row>404</xdr:row>
      <xdr:rowOff>76200</xdr:rowOff>
    </xdr:to>
    <xdr:sp macro="" textlink="">
      <xdr:nvSpPr>
        <xdr:cNvPr id="1428" name="AutoShape 404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8620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405</xdr:row>
      <xdr:rowOff>0</xdr:rowOff>
    </xdr:from>
    <xdr:to>
      <xdr:col>4</xdr:col>
      <xdr:colOff>304800</xdr:colOff>
      <xdr:row>406</xdr:row>
      <xdr:rowOff>114300</xdr:rowOff>
    </xdr:to>
    <xdr:sp macro="" textlink="">
      <xdr:nvSpPr>
        <xdr:cNvPr id="1429" name="AutoShape 405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904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405</xdr:row>
      <xdr:rowOff>0</xdr:rowOff>
    </xdr:from>
    <xdr:to>
      <xdr:col>5</xdr:col>
      <xdr:colOff>304800</xdr:colOff>
      <xdr:row>406</xdr:row>
      <xdr:rowOff>114300</xdr:rowOff>
    </xdr:to>
    <xdr:sp macro="" textlink="">
      <xdr:nvSpPr>
        <xdr:cNvPr id="1430" name="AutoShape 406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904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407</xdr:row>
      <xdr:rowOff>0</xdr:rowOff>
    </xdr:from>
    <xdr:to>
      <xdr:col>4</xdr:col>
      <xdr:colOff>304800</xdr:colOff>
      <xdr:row>408</xdr:row>
      <xdr:rowOff>114300</xdr:rowOff>
    </xdr:to>
    <xdr:sp macro="" textlink="">
      <xdr:nvSpPr>
        <xdr:cNvPr id="1431" name="AutoShape 407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963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407</xdr:row>
      <xdr:rowOff>0</xdr:rowOff>
    </xdr:from>
    <xdr:to>
      <xdr:col>5</xdr:col>
      <xdr:colOff>304800</xdr:colOff>
      <xdr:row>408</xdr:row>
      <xdr:rowOff>114300</xdr:rowOff>
    </xdr:to>
    <xdr:sp macro="" textlink="">
      <xdr:nvSpPr>
        <xdr:cNvPr id="1432" name="AutoShape 408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963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409</xdr:row>
      <xdr:rowOff>0</xdr:rowOff>
    </xdr:from>
    <xdr:to>
      <xdr:col>4</xdr:col>
      <xdr:colOff>304800</xdr:colOff>
      <xdr:row>410</xdr:row>
      <xdr:rowOff>114300</xdr:rowOff>
    </xdr:to>
    <xdr:sp macro="" textlink="">
      <xdr:nvSpPr>
        <xdr:cNvPr id="1433" name="AutoShape 409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021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409</xdr:row>
      <xdr:rowOff>0</xdr:rowOff>
    </xdr:from>
    <xdr:to>
      <xdr:col>5</xdr:col>
      <xdr:colOff>304800</xdr:colOff>
      <xdr:row>410</xdr:row>
      <xdr:rowOff>114300</xdr:rowOff>
    </xdr:to>
    <xdr:sp macro="" textlink="">
      <xdr:nvSpPr>
        <xdr:cNvPr id="1434" name="AutoShape 410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021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411</xdr:row>
      <xdr:rowOff>0</xdr:rowOff>
    </xdr:from>
    <xdr:to>
      <xdr:col>4</xdr:col>
      <xdr:colOff>304800</xdr:colOff>
      <xdr:row>412</xdr:row>
      <xdr:rowOff>76200</xdr:rowOff>
    </xdr:to>
    <xdr:sp macro="" textlink="">
      <xdr:nvSpPr>
        <xdr:cNvPr id="1435" name="AutoShape 411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079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411</xdr:row>
      <xdr:rowOff>0</xdr:rowOff>
    </xdr:from>
    <xdr:to>
      <xdr:col>5</xdr:col>
      <xdr:colOff>304800</xdr:colOff>
      <xdr:row>412</xdr:row>
      <xdr:rowOff>76200</xdr:rowOff>
    </xdr:to>
    <xdr:sp macro="" textlink="">
      <xdr:nvSpPr>
        <xdr:cNvPr id="1436" name="AutoShape 412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079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413</xdr:row>
      <xdr:rowOff>0</xdr:rowOff>
    </xdr:from>
    <xdr:to>
      <xdr:col>4</xdr:col>
      <xdr:colOff>304800</xdr:colOff>
      <xdr:row>414</xdr:row>
      <xdr:rowOff>114300</xdr:rowOff>
    </xdr:to>
    <xdr:sp macro="" textlink="">
      <xdr:nvSpPr>
        <xdr:cNvPr id="1437" name="AutoShape 413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122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413</xdr:row>
      <xdr:rowOff>0</xdr:rowOff>
    </xdr:from>
    <xdr:to>
      <xdr:col>5</xdr:col>
      <xdr:colOff>304800</xdr:colOff>
      <xdr:row>414</xdr:row>
      <xdr:rowOff>114300</xdr:rowOff>
    </xdr:to>
    <xdr:sp macro="" textlink="">
      <xdr:nvSpPr>
        <xdr:cNvPr id="1438" name="AutoShape 414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122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415</xdr:row>
      <xdr:rowOff>0</xdr:rowOff>
    </xdr:from>
    <xdr:to>
      <xdr:col>4</xdr:col>
      <xdr:colOff>304800</xdr:colOff>
      <xdr:row>416</xdr:row>
      <xdr:rowOff>114300</xdr:rowOff>
    </xdr:to>
    <xdr:sp macro="" textlink="">
      <xdr:nvSpPr>
        <xdr:cNvPr id="1439" name="AutoShape 415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180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415</xdr:row>
      <xdr:rowOff>0</xdr:rowOff>
    </xdr:from>
    <xdr:to>
      <xdr:col>5</xdr:col>
      <xdr:colOff>304800</xdr:colOff>
      <xdr:row>416</xdr:row>
      <xdr:rowOff>114300</xdr:rowOff>
    </xdr:to>
    <xdr:sp macro="" textlink="">
      <xdr:nvSpPr>
        <xdr:cNvPr id="1440" name="AutoShape 416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180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417</xdr:row>
      <xdr:rowOff>0</xdr:rowOff>
    </xdr:from>
    <xdr:to>
      <xdr:col>4</xdr:col>
      <xdr:colOff>304800</xdr:colOff>
      <xdr:row>418</xdr:row>
      <xdr:rowOff>114300</xdr:rowOff>
    </xdr:to>
    <xdr:sp macro="" textlink="">
      <xdr:nvSpPr>
        <xdr:cNvPr id="1441" name="AutoShape 417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238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417</xdr:row>
      <xdr:rowOff>0</xdr:rowOff>
    </xdr:from>
    <xdr:to>
      <xdr:col>5</xdr:col>
      <xdr:colOff>304800</xdr:colOff>
      <xdr:row>418</xdr:row>
      <xdr:rowOff>114300</xdr:rowOff>
    </xdr:to>
    <xdr:sp macro="" textlink="">
      <xdr:nvSpPr>
        <xdr:cNvPr id="1442" name="AutoShape 418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238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419</xdr:row>
      <xdr:rowOff>0</xdr:rowOff>
    </xdr:from>
    <xdr:to>
      <xdr:col>4</xdr:col>
      <xdr:colOff>304800</xdr:colOff>
      <xdr:row>420</xdr:row>
      <xdr:rowOff>76200</xdr:rowOff>
    </xdr:to>
    <xdr:sp macro="" textlink="">
      <xdr:nvSpPr>
        <xdr:cNvPr id="1443" name="AutoShape 419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296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419</xdr:row>
      <xdr:rowOff>0</xdr:rowOff>
    </xdr:from>
    <xdr:to>
      <xdr:col>5</xdr:col>
      <xdr:colOff>304800</xdr:colOff>
      <xdr:row>420</xdr:row>
      <xdr:rowOff>76200</xdr:rowOff>
    </xdr:to>
    <xdr:sp macro="" textlink="">
      <xdr:nvSpPr>
        <xdr:cNvPr id="1444" name="AutoShape 420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296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421</xdr:row>
      <xdr:rowOff>0</xdr:rowOff>
    </xdr:from>
    <xdr:to>
      <xdr:col>4</xdr:col>
      <xdr:colOff>304800</xdr:colOff>
      <xdr:row>422</xdr:row>
      <xdr:rowOff>76200</xdr:rowOff>
    </xdr:to>
    <xdr:sp macro="" textlink="">
      <xdr:nvSpPr>
        <xdr:cNvPr id="1445" name="AutoShape 421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3392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421</xdr:row>
      <xdr:rowOff>0</xdr:rowOff>
    </xdr:from>
    <xdr:to>
      <xdr:col>5</xdr:col>
      <xdr:colOff>304800</xdr:colOff>
      <xdr:row>422</xdr:row>
      <xdr:rowOff>76200</xdr:rowOff>
    </xdr:to>
    <xdr:sp macro="" textlink="">
      <xdr:nvSpPr>
        <xdr:cNvPr id="1446" name="AutoShape 422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3392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423</xdr:row>
      <xdr:rowOff>0</xdr:rowOff>
    </xdr:from>
    <xdr:to>
      <xdr:col>4</xdr:col>
      <xdr:colOff>304800</xdr:colOff>
      <xdr:row>424</xdr:row>
      <xdr:rowOff>114300</xdr:rowOff>
    </xdr:to>
    <xdr:sp macro="" textlink="">
      <xdr:nvSpPr>
        <xdr:cNvPr id="1447" name="AutoShape 423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382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423</xdr:row>
      <xdr:rowOff>0</xdr:rowOff>
    </xdr:from>
    <xdr:to>
      <xdr:col>5</xdr:col>
      <xdr:colOff>304800</xdr:colOff>
      <xdr:row>424</xdr:row>
      <xdr:rowOff>114300</xdr:rowOff>
    </xdr:to>
    <xdr:sp macro="" textlink="">
      <xdr:nvSpPr>
        <xdr:cNvPr id="1448" name="AutoShape 424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382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425</xdr:row>
      <xdr:rowOff>0</xdr:rowOff>
    </xdr:from>
    <xdr:to>
      <xdr:col>4</xdr:col>
      <xdr:colOff>304800</xdr:colOff>
      <xdr:row>426</xdr:row>
      <xdr:rowOff>114300</xdr:rowOff>
    </xdr:to>
    <xdr:sp macro="" textlink="">
      <xdr:nvSpPr>
        <xdr:cNvPr id="1449" name="AutoShape 425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440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425</xdr:row>
      <xdr:rowOff>0</xdr:rowOff>
    </xdr:from>
    <xdr:to>
      <xdr:col>5</xdr:col>
      <xdr:colOff>304800</xdr:colOff>
      <xdr:row>426</xdr:row>
      <xdr:rowOff>114300</xdr:rowOff>
    </xdr:to>
    <xdr:sp macro="" textlink="">
      <xdr:nvSpPr>
        <xdr:cNvPr id="1450" name="AutoShape 426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440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427</xdr:row>
      <xdr:rowOff>0</xdr:rowOff>
    </xdr:from>
    <xdr:to>
      <xdr:col>4</xdr:col>
      <xdr:colOff>304800</xdr:colOff>
      <xdr:row>428</xdr:row>
      <xdr:rowOff>76200</xdr:rowOff>
    </xdr:to>
    <xdr:sp macro="" textlink="">
      <xdr:nvSpPr>
        <xdr:cNvPr id="1451" name="AutoShape 427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498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427</xdr:row>
      <xdr:rowOff>0</xdr:rowOff>
    </xdr:from>
    <xdr:to>
      <xdr:col>5</xdr:col>
      <xdr:colOff>304800</xdr:colOff>
      <xdr:row>428</xdr:row>
      <xdr:rowOff>76200</xdr:rowOff>
    </xdr:to>
    <xdr:sp macro="" textlink="">
      <xdr:nvSpPr>
        <xdr:cNvPr id="1452" name="AutoShape 42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498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429</xdr:row>
      <xdr:rowOff>0</xdr:rowOff>
    </xdr:from>
    <xdr:to>
      <xdr:col>4</xdr:col>
      <xdr:colOff>304800</xdr:colOff>
      <xdr:row>430</xdr:row>
      <xdr:rowOff>114300</xdr:rowOff>
    </xdr:to>
    <xdr:sp macro="" textlink="">
      <xdr:nvSpPr>
        <xdr:cNvPr id="1453" name="AutoShape 429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541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429</xdr:row>
      <xdr:rowOff>0</xdr:rowOff>
    </xdr:from>
    <xdr:to>
      <xdr:col>5</xdr:col>
      <xdr:colOff>304800</xdr:colOff>
      <xdr:row>430</xdr:row>
      <xdr:rowOff>114300</xdr:rowOff>
    </xdr:to>
    <xdr:sp macro="" textlink="">
      <xdr:nvSpPr>
        <xdr:cNvPr id="1454" name="AutoShape 430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541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431</xdr:row>
      <xdr:rowOff>0</xdr:rowOff>
    </xdr:from>
    <xdr:to>
      <xdr:col>4</xdr:col>
      <xdr:colOff>304800</xdr:colOff>
      <xdr:row>432</xdr:row>
      <xdr:rowOff>114300</xdr:rowOff>
    </xdr:to>
    <xdr:sp macro="" textlink="">
      <xdr:nvSpPr>
        <xdr:cNvPr id="1455" name="AutoShape 431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599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431</xdr:row>
      <xdr:rowOff>0</xdr:rowOff>
    </xdr:from>
    <xdr:to>
      <xdr:col>5</xdr:col>
      <xdr:colOff>304800</xdr:colOff>
      <xdr:row>432</xdr:row>
      <xdr:rowOff>114300</xdr:rowOff>
    </xdr:to>
    <xdr:sp macro="" textlink="">
      <xdr:nvSpPr>
        <xdr:cNvPr id="1456" name="AutoShape 432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599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433</xdr:row>
      <xdr:rowOff>0</xdr:rowOff>
    </xdr:from>
    <xdr:to>
      <xdr:col>4</xdr:col>
      <xdr:colOff>304800</xdr:colOff>
      <xdr:row>434</xdr:row>
      <xdr:rowOff>114300</xdr:rowOff>
    </xdr:to>
    <xdr:sp macro="" textlink="">
      <xdr:nvSpPr>
        <xdr:cNvPr id="1457" name="AutoShape 433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657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433</xdr:row>
      <xdr:rowOff>0</xdr:rowOff>
    </xdr:from>
    <xdr:to>
      <xdr:col>5</xdr:col>
      <xdr:colOff>304800</xdr:colOff>
      <xdr:row>434</xdr:row>
      <xdr:rowOff>114300</xdr:rowOff>
    </xdr:to>
    <xdr:sp macro="" textlink="">
      <xdr:nvSpPr>
        <xdr:cNvPr id="1458" name="AutoShape 434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657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435</xdr:row>
      <xdr:rowOff>0</xdr:rowOff>
    </xdr:from>
    <xdr:to>
      <xdr:col>4</xdr:col>
      <xdr:colOff>304800</xdr:colOff>
      <xdr:row>436</xdr:row>
      <xdr:rowOff>114300</xdr:rowOff>
    </xdr:to>
    <xdr:sp macro="" textlink="">
      <xdr:nvSpPr>
        <xdr:cNvPr id="1459" name="AutoShape 435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696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435</xdr:row>
      <xdr:rowOff>0</xdr:rowOff>
    </xdr:from>
    <xdr:to>
      <xdr:col>5</xdr:col>
      <xdr:colOff>304800</xdr:colOff>
      <xdr:row>436</xdr:row>
      <xdr:rowOff>114300</xdr:rowOff>
    </xdr:to>
    <xdr:sp macro="" textlink="">
      <xdr:nvSpPr>
        <xdr:cNvPr id="1460" name="AutoShape 436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696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437</xdr:row>
      <xdr:rowOff>0</xdr:rowOff>
    </xdr:from>
    <xdr:to>
      <xdr:col>4</xdr:col>
      <xdr:colOff>304800</xdr:colOff>
      <xdr:row>438</xdr:row>
      <xdr:rowOff>114300</xdr:rowOff>
    </xdr:to>
    <xdr:sp macro="" textlink="">
      <xdr:nvSpPr>
        <xdr:cNvPr id="1461" name="AutoShape 437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7545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437</xdr:row>
      <xdr:rowOff>0</xdr:rowOff>
    </xdr:from>
    <xdr:to>
      <xdr:col>5</xdr:col>
      <xdr:colOff>304800</xdr:colOff>
      <xdr:row>438</xdr:row>
      <xdr:rowOff>114300</xdr:rowOff>
    </xdr:to>
    <xdr:sp macro="" textlink="">
      <xdr:nvSpPr>
        <xdr:cNvPr id="1462" name="AutoShape 438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7545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439</xdr:row>
      <xdr:rowOff>0</xdr:rowOff>
    </xdr:from>
    <xdr:to>
      <xdr:col>4</xdr:col>
      <xdr:colOff>304800</xdr:colOff>
      <xdr:row>440</xdr:row>
      <xdr:rowOff>114300</xdr:rowOff>
    </xdr:to>
    <xdr:sp macro="" textlink="">
      <xdr:nvSpPr>
        <xdr:cNvPr id="1463" name="AutoShape 439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8126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439</xdr:row>
      <xdr:rowOff>0</xdr:rowOff>
    </xdr:from>
    <xdr:to>
      <xdr:col>5</xdr:col>
      <xdr:colOff>304800</xdr:colOff>
      <xdr:row>440</xdr:row>
      <xdr:rowOff>114300</xdr:rowOff>
    </xdr:to>
    <xdr:sp macro="" textlink="">
      <xdr:nvSpPr>
        <xdr:cNvPr id="1464" name="AutoShape 440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8126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441</xdr:row>
      <xdr:rowOff>0</xdr:rowOff>
    </xdr:from>
    <xdr:to>
      <xdr:col>4</xdr:col>
      <xdr:colOff>304800</xdr:colOff>
      <xdr:row>442</xdr:row>
      <xdr:rowOff>114300</xdr:rowOff>
    </xdr:to>
    <xdr:sp macro="" textlink="">
      <xdr:nvSpPr>
        <xdr:cNvPr id="1465" name="AutoShape 441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870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441</xdr:row>
      <xdr:rowOff>0</xdr:rowOff>
    </xdr:from>
    <xdr:to>
      <xdr:col>5</xdr:col>
      <xdr:colOff>304800</xdr:colOff>
      <xdr:row>442</xdr:row>
      <xdr:rowOff>114300</xdr:rowOff>
    </xdr:to>
    <xdr:sp macro="" textlink="">
      <xdr:nvSpPr>
        <xdr:cNvPr id="1466" name="AutoShape 442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870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443</xdr:row>
      <xdr:rowOff>0</xdr:rowOff>
    </xdr:from>
    <xdr:to>
      <xdr:col>4</xdr:col>
      <xdr:colOff>304800</xdr:colOff>
      <xdr:row>444</xdr:row>
      <xdr:rowOff>114300</xdr:rowOff>
    </xdr:to>
    <xdr:sp macro="" textlink="">
      <xdr:nvSpPr>
        <xdr:cNvPr id="1467" name="AutoShape 443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928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443</xdr:row>
      <xdr:rowOff>0</xdr:rowOff>
    </xdr:from>
    <xdr:to>
      <xdr:col>5</xdr:col>
      <xdr:colOff>304800</xdr:colOff>
      <xdr:row>444</xdr:row>
      <xdr:rowOff>114300</xdr:rowOff>
    </xdr:to>
    <xdr:sp macro="" textlink="">
      <xdr:nvSpPr>
        <xdr:cNvPr id="1468" name="AutoShape 444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928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445</xdr:row>
      <xdr:rowOff>0</xdr:rowOff>
    </xdr:from>
    <xdr:to>
      <xdr:col>4</xdr:col>
      <xdr:colOff>304800</xdr:colOff>
      <xdr:row>446</xdr:row>
      <xdr:rowOff>114300</xdr:rowOff>
    </xdr:to>
    <xdr:sp macro="" textlink="">
      <xdr:nvSpPr>
        <xdr:cNvPr id="1469" name="AutoShape 445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0060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445</xdr:row>
      <xdr:rowOff>0</xdr:rowOff>
    </xdr:from>
    <xdr:to>
      <xdr:col>5</xdr:col>
      <xdr:colOff>304800</xdr:colOff>
      <xdr:row>446</xdr:row>
      <xdr:rowOff>114300</xdr:rowOff>
    </xdr:to>
    <xdr:sp macro="" textlink="">
      <xdr:nvSpPr>
        <xdr:cNvPr id="1470" name="AutoShape 446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0060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447</xdr:row>
      <xdr:rowOff>0</xdr:rowOff>
    </xdr:from>
    <xdr:to>
      <xdr:col>4</xdr:col>
      <xdr:colOff>304800</xdr:colOff>
      <xdr:row>448</xdr:row>
      <xdr:rowOff>114300</xdr:rowOff>
    </xdr:to>
    <xdr:sp macro="" textlink="">
      <xdr:nvSpPr>
        <xdr:cNvPr id="1471" name="AutoShape 447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0641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447</xdr:row>
      <xdr:rowOff>0</xdr:rowOff>
    </xdr:from>
    <xdr:to>
      <xdr:col>5</xdr:col>
      <xdr:colOff>304800</xdr:colOff>
      <xdr:row>448</xdr:row>
      <xdr:rowOff>114300</xdr:rowOff>
    </xdr:to>
    <xdr:sp macro="" textlink="">
      <xdr:nvSpPr>
        <xdr:cNvPr id="1472" name="AutoShape 448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0641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449</xdr:row>
      <xdr:rowOff>0</xdr:rowOff>
    </xdr:from>
    <xdr:to>
      <xdr:col>4</xdr:col>
      <xdr:colOff>304800</xdr:colOff>
      <xdr:row>450</xdr:row>
      <xdr:rowOff>114300</xdr:rowOff>
    </xdr:to>
    <xdr:sp macro="" textlink="">
      <xdr:nvSpPr>
        <xdr:cNvPr id="1473" name="AutoShape 449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1222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449</xdr:row>
      <xdr:rowOff>0</xdr:rowOff>
    </xdr:from>
    <xdr:to>
      <xdr:col>5</xdr:col>
      <xdr:colOff>304800</xdr:colOff>
      <xdr:row>450</xdr:row>
      <xdr:rowOff>114300</xdr:rowOff>
    </xdr:to>
    <xdr:sp macro="" textlink="">
      <xdr:nvSpPr>
        <xdr:cNvPr id="1474" name="AutoShape 450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1222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451</xdr:row>
      <xdr:rowOff>0</xdr:rowOff>
    </xdr:from>
    <xdr:to>
      <xdr:col>4</xdr:col>
      <xdr:colOff>304800</xdr:colOff>
      <xdr:row>452</xdr:row>
      <xdr:rowOff>76200</xdr:rowOff>
    </xdr:to>
    <xdr:sp macro="" textlink="">
      <xdr:nvSpPr>
        <xdr:cNvPr id="1475" name="AutoShape 451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18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451</xdr:row>
      <xdr:rowOff>0</xdr:rowOff>
    </xdr:from>
    <xdr:to>
      <xdr:col>5</xdr:col>
      <xdr:colOff>304800</xdr:colOff>
      <xdr:row>452</xdr:row>
      <xdr:rowOff>76200</xdr:rowOff>
    </xdr:to>
    <xdr:sp macro="" textlink="">
      <xdr:nvSpPr>
        <xdr:cNvPr id="1476" name="AutoShape 452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18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453</xdr:row>
      <xdr:rowOff>0</xdr:rowOff>
    </xdr:from>
    <xdr:to>
      <xdr:col>4</xdr:col>
      <xdr:colOff>304800</xdr:colOff>
      <xdr:row>454</xdr:row>
      <xdr:rowOff>76200</xdr:rowOff>
    </xdr:to>
    <xdr:sp macro="" textlink="">
      <xdr:nvSpPr>
        <xdr:cNvPr id="1477" name="AutoShape 453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2231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453</xdr:row>
      <xdr:rowOff>0</xdr:rowOff>
    </xdr:from>
    <xdr:to>
      <xdr:col>5</xdr:col>
      <xdr:colOff>304800</xdr:colOff>
      <xdr:row>454</xdr:row>
      <xdr:rowOff>76200</xdr:rowOff>
    </xdr:to>
    <xdr:sp macro="" textlink="">
      <xdr:nvSpPr>
        <xdr:cNvPr id="1478" name="AutoShape 454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2231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455</xdr:row>
      <xdr:rowOff>0</xdr:rowOff>
    </xdr:from>
    <xdr:to>
      <xdr:col>4</xdr:col>
      <xdr:colOff>304800</xdr:colOff>
      <xdr:row>456</xdr:row>
      <xdr:rowOff>114300</xdr:rowOff>
    </xdr:to>
    <xdr:sp macro="" textlink="">
      <xdr:nvSpPr>
        <xdr:cNvPr id="1479" name="AutoShape 455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2660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455</xdr:row>
      <xdr:rowOff>0</xdr:rowOff>
    </xdr:from>
    <xdr:to>
      <xdr:col>5</xdr:col>
      <xdr:colOff>304800</xdr:colOff>
      <xdr:row>456</xdr:row>
      <xdr:rowOff>114300</xdr:rowOff>
    </xdr:to>
    <xdr:sp macro="" textlink="">
      <xdr:nvSpPr>
        <xdr:cNvPr id="1480" name="AutoShape 45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2660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457</xdr:row>
      <xdr:rowOff>0</xdr:rowOff>
    </xdr:from>
    <xdr:to>
      <xdr:col>4</xdr:col>
      <xdr:colOff>304800</xdr:colOff>
      <xdr:row>458</xdr:row>
      <xdr:rowOff>114300</xdr:rowOff>
    </xdr:to>
    <xdr:sp macro="" textlink="">
      <xdr:nvSpPr>
        <xdr:cNvPr id="1481" name="AutoShape 457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3241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457</xdr:row>
      <xdr:rowOff>0</xdr:rowOff>
    </xdr:from>
    <xdr:to>
      <xdr:col>5</xdr:col>
      <xdr:colOff>304800</xdr:colOff>
      <xdr:row>458</xdr:row>
      <xdr:rowOff>114300</xdr:rowOff>
    </xdr:to>
    <xdr:sp macro="" textlink="">
      <xdr:nvSpPr>
        <xdr:cNvPr id="1482" name="AutoShape 45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3241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459</xdr:row>
      <xdr:rowOff>0</xdr:rowOff>
    </xdr:from>
    <xdr:to>
      <xdr:col>4</xdr:col>
      <xdr:colOff>304800</xdr:colOff>
      <xdr:row>460</xdr:row>
      <xdr:rowOff>114300</xdr:rowOff>
    </xdr:to>
    <xdr:sp macro="" textlink="">
      <xdr:nvSpPr>
        <xdr:cNvPr id="1483" name="AutoShape 459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382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459</xdr:row>
      <xdr:rowOff>0</xdr:rowOff>
    </xdr:from>
    <xdr:to>
      <xdr:col>5</xdr:col>
      <xdr:colOff>304800</xdr:colOff>
      <xdr:row>460</xdr:row>
      <xdr:rowOff>114300</xdr:rowOff>
    </xdr:to>
    <xdr:sp macro="" textlink="">
      <xdr:nvSpPr>
        <xdr:cNvPr id="1484" name="AutoShape 460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382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461</xdr:row>
      <xdr:rowOff>0</xdr:rowOff>
    </xdr:from>
    <xdr:to>
      <xdr:col>4</xdr:col>
      <xdr:colOff>304800</xdr:colOff>
      <xdr:row>462</xdr:row>
      <xdr:rowOff>114300</xdr:rowOff>
    </xdr:to>
    <xdr:sp macro="" textlink="">
      <xdr:nvSpPr>
        <xdr:cNvPr id="1485" name="AutoShape 461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421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461</xdr:row>
      <xdr:rowOff>0</xdr:rowOff>
    </xdr:from>
    <xdr:to>
      <xdr:col>5</xdr:col>
      <xdr:colOff>304800</xdr:colOff>
      <xdr:row>462</xdr:row>
      <xdr:rowOff>114300</xdr:rowOff>
    </xdr:to>
    <xdr:sp macro="" textlink="">
      <xdr:nvSpPr>
        <xdr:cNvPr id="1486" name="AutoShape 462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421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463</xdr:row>
      <xdr:rowOff>0</xdr:rowOff>
    </xdr:from>
    <xdr:to>
      <xdr:col>4</xdr:col>
      <xdr:colOff>304800</xdr:colOff>
      <xdr:row>464</xdr:row>
      <xdr:rowOff>76200</xdr:rowOff>
    </xdr:to>
    <xdr:sp macro="" textlink="">
      <xdr:nvSpPr>
        <xdr:cNvPr id="1487" name="AutoShape 463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479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463</xdr:row>
      <xdr:rowOff>0</xdr:rowOff>
    </xdr:from>
    <xdr:to>
      <xdr:col>5</xdr:col>
      <xdr:colOff>304800</xdr:colOff>
      <xdr:row>464</xdr:row>
      <xdr:rowOff>76200</xdr:rowOff>
    </xdr:to>
    <xdr:sp macro="" textlink="">
      <xdr:nvSpPr>
        <xdr:cNvPr id="1488" name="AutoShape 46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479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465</xdr:row>
      <xdr:rowOff>0</xdr:rowOff>
    </xdr:from>
    <xdr:to>
      <xdr:col>4</xdr:col>
      <xdr:colOff>304800</xdr:colOff>
      <xdr:row>466</xdr:row>
      <xdr:rowOff>114300</xdr:rowOff>
    </xdr:to>
    <xdr:sp macro="" textlink="">
      <xdr:nvSpPr>
        <xdr:cNvPr id="1489" name="AutoShape 465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5222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465</xdr:row>
      <xdr:rowOff>0</xdr:rowOff>
    </xdr:from>
    <xdr:to>
      <xdr:col>5</xdr:col>
      <xdr:colOff>304800</xdr:colOff>
      <xdr:row>466</xdr:row>
      <xdr:rowOff>114300</xdr:rowOff>
    </xdr:to>
    <xdr:sp macro="" textlink="">
      <xdr:nvSpPr>
        <xdr:cNvPr id="1490" name="AutoShape 466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5222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467</xdr:row>
      <xdr:rowOff>0</xdr:rowOff>
    </xdr:from>
    <xdr:to>
      <xdr:col>4</xdr:col>
      <xdr:colOff>304800</xdr:colOff>
      <xdr:row>468</xdr:row>
      <xdr:rowOff>114300</xdr:rowOff>
    </xdr:to>
    <xdr:sp macro="" textlink="">
      <xdr:nvSpPr>
        <xdr:cNvPr id="1491" name="AutoShape 467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580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467</xdr:row>
      <xdr:rowOff>0</xdr:rowOff>
    </xdr:from>
    <xdr:to>
      <xdr:col>5</xdr:col>
      <xdr:colOff>304800</xdr:colOff>
      <xdr:row>468</xdr:row>
      <xdr:rowOff>114300</xdr:rowOff>
    </xdr:to>
    <xdr:sp macro="" textlink="">
      <xdr:nvSpPr>
        <xdr:cNvPr id="1492" name="AutoShape 468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580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469</xdr:row>
      <xdr:rowOff>0</xdr:rowOff>
    </xdr:from>
    <xdr:to>
      <xdr:col>4</xdr:col>
      <xdr:colOff>304800</xdr:colOff>
      <xdr:row>470</xdr:row>
      <xdr:rowOff>114300</xdr:rowOff>
    </xdr:to>
    <xdr:sp macro="" textlink="">
      <xdr:nvSpPr>
        <xdr:cNvPr id="1493" name="AutoShape 469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638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469</xdr:row>
      <xdr:rowOff>0</xdr:rowOff>
    </xdr:from>
    <xdr:to>
      <xdr:col>5</xdr:col>
      <xdr:colOff>304800</xdr:colOff>
      <xdr:row>470</xdr:row>
      <xdr:rowOff>114300</xdr:rowOff>
    </xdr:to>
    <xdr:sp macro="" textlink="">
      <xdr:nvSpPr>
        <xdr:cNvPr id="1494" name="AutoShape 470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638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471</xdr:row>
      <xdr:rowOff>0</xdr:rowOff>
    </xdr:from>
    <xdr:to>
      <xdr:col>4</xdr:col>
      <xdr:colOff>304800</xdr:colOff>
      <xdr:row>472</xdr:row>
      <xdr:rowOff>114300</xdr:rowOff>
    </xdr:to>
    <xdr:sp macro="" textlink="">
      <xdr:nvSpPr>
        <xdr:cNvPr id="1495" name="AutoShape 471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696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471</xdr:row>
      <xdr:rowOff>0</xdr:rowOff>
    </xdr:from>
    <xdr:to>
      <xdr:col>5</xdr:col>
      <xdr:colOff>304800</xdr:colOff>
      <xdr:row>472</xdr:row>
      <xdr:rowOff>114300</xdr:rowOff>
    </xdr:to>
    <xdr:sp macro="" textlink="">
      <xdr:nvSpPr>
        <xdr:cNvPr id="1496" name="AutoShape 472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696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473</xdr:row>
      <xdr:rowOff>0</xdr:rowOff>
    </xdr:from>
    <xdr:to>
      <xdr:col>4</xdr:col>
      <xdr:colOff>304800</xdr:colOff>
      <xdr:row>474</xdr:row>
      <xdr:rowOff>114300</xdr:rowOff>
    </xdr:to>
    <xdr:sp macro="" textlink="">
      <xdr:nvSpPr>
        <xdr:cNvPr id="1497" name="AutoShape 473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754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473</xdr:row>
      <xdr:rowOff>0</xdr:rowOff>
    </xdr:from>
    <xdr:to>
      <xdr:col>5</xdr:col>
      <xdr:colOff>304800</xdr:colOff>
      <xdr:row>474</xdr:row>
      <xdr:rowOff>114300</xdr:rowOff>
    </xdr:to>
    <xdr:sp macro="" textlink="">
      <xdr:nvSpPr>
        <xdr:cNvPr id="1498" name="AutoShape 474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754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475</xdr:row>
      <xdr:rowOff>0</xdr:rowOff>
    </xdr:from>
    <xdr:to>
      <xdr:col>4</xdr:col>
      <xdr:colOff>304800</xdr:colOff>
      <xdr:row>476</xdr:row>
      <xdr:rowOff>76200</xdr:rowOff>
    </xdr:to>
    <xdr:sp macro="" textlink="">
      <xdr:nvSpPr>
        <xdr:cNvPr id="1499" name="AutoShape 475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812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475</xdr:row>
      <xdr:rowOff>0</xdr:rowOff>
    </xdr:from>
    <xdr:to>
      <xdr:col>5</xdr:col>
      <xdr:colOff>304800</xdr:colOff>
      <xdr:row>476</xdr:row>
      <xdr:rowOff>76200</xdr:rowOff>
    </xdr:to>
    <xdr:sp macro="" textlink="">
      <xdr:nvSpPr>
        <xdr:cNvPr id="1500" name="AutoShape 476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812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477</xdr:row>
      <xdr:rowOff>0</xdr:rowOff>
    </xdr:from>
    <xdr:to>
      <xdr:col>4</xdr:col>
      <xdr:colOff>304800</xdr:colOff>
      <xdr:row>478</xdr:row>
      <xdr:rowOff>114300</xdr:rowOff>
    </xdr:to>
    <xdr:sp macro="" textlink="">
      <xdr:nvSpPr>
        <xdr:cNvPr id="1501" name="AutoShape 477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8556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477</xdr:row>
      <xdr:rowOff>0</xdr:rowOff>
    </xdr:from>
    <xdr:to>
      <xdr:col>5</xdr:col>
      <xdr:colOff>304800</xdr:colOff>
      <xdr:row>478</xdr:row>
      <xdr:rowOff>114300</xdr:rowOff>
    </xdr:to>
    <xdr:sp macro="" textlink="">
      <xdr:nvSpPr>
        <xdr:cNvPr id="1502" name="AutoShape 478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8556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479</xdr:row>
      <xdr:rowOff>0</xdr:rowOff>
    </xdr:from>
    <xdr:to>
      <xdr:col>4</xdr:col>
      <xdr:colOff>304800</xdr:colOff>
      <xdr:row>480</xdr:row>
      <xdr:rowOff>76200</xdr:rowOff>
    </xdr:to>
    <xdr:sp macro="" textlink="">
      <xdr:nvSpPr>
        <xdr:cNvPr id="1503" name="AutoShape 47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9137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479</xdr:row>
      <xdr:rowOff>0</xdr:rowOff>
    </xdr:from>
    <xdr:to>
      <xdr:col>5</xdr:col>
      <xdr:colOff>304800</xdr:colOff>
      <xdr:row>480</xdr:row>
      <xdr:rowOff>76200</xdr:rowOff>
    </xdr:to>
    <xdr:sp macro="" textlink="">
      <xdr:nvSpPr>
        <xdr:cNvPr id="1504" name="AutoShape 480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9137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481</xdr:row>
      <xdr:rowOff>0</xdr:rowOff>
    </xdr:from>
    <xdr:to>
      <xdr:col>4</xdr:col>
      <xdr:colOff>304800</xdr:colOff>
      <xdr:row>482</xdr:row>
      <xdr:rowOff>114300</xdr:rowOff>
    </xdr:to>
    <xdr:sp macro="" textlink="">
      <xdr:nvSpPr>
        <xdr:cNvPr id="1505" name="AutoShape 481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956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481</xdr:row>
      <xdr:rowOff>0</xdr:rowOff>
    </xdr:from>
    <xdr:to>
      <xdr:col>5</xdr:col>
      <xdr:colOff>304800</xdr:colOff>
      <xdr:row>482</xdr:row>
      <xdr:rowOff>114300</xdr:rowOff>
    </xdr:to>
    <xdr:sp macro="" textlink="">
      <xdr:nvSpPr>
        <xdr:cNvPr id="1506" name="AutoShape 482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956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483</xdr:row>
      <xdr:rowOff>0</xdr:rowOff>
    </xdr:from>
    <xdr:to>
      <xdr:col>4</xdr:col>
      <xdr:colOff>304800</xdr:colOff>
      <xdr:row>484</xdr:row>
      <xdr:rowOff>114300</xdr:rowOff>
    </xdr:to>
    <xdr:sp macro="" textlink="">
      <xdr:nvSpPr>
        <xdr:cNvPr id="1507" name="AutoShape 483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014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483</xdr:row>
      <xdr:rowOff>0</xdr:rowOff>
    </xdr:from>
    <xdr:to>
      <xdr:col>5</xdr:col>
      <xdr:colOff>304800</xdr:colOff>
      <xdr:row>484</xdr:row>
      <xdr:rowOff>114300</xdr:rowOff>
    </xdr:to>
    <xdr:sp macro="" textlink="">
      <xdr:nvSpPr>
        <xdr:cNvPr id="1508" name="AutoShape 484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014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485</xdr:row>
      <xdr:rowOff>0</xdr:rowOff>
    </xdr:from>
    <xdr:to>
      <xdr:col>4</xdr:col>
      <xdr:colOff>304800</xdr:colOff>
      <xdr:row>486</xdr:row>
      <xdr:rowOff>114300</xdr:rowOff>
    </xdr:to>
    <xdr:sp macro="" textlink="">
      <xdr:nvSpPr>
        <xdr:cNvPr id="1509" name="AutoShape 485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072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485</xdr:row>
      <xdr:rowOff>0</xdr:rowOff>
    </xdr:from>
    <xdr:to>
      <xdr:col>5</xdr:col>
      <xdr:colOff>304800</xdr:colOff>
      <xdr:row>486</xdr:row>
      <xdr:rowOff>114300</xdr:rowOff>
    </xdr:to>
    <xdr:sp macro="" textlink="">
      <xdr:nvSpPr>
        <xdr:cNvPr id="1510" name="AutoShape 486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072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487</xdr:row>
      <xdr:rowOff>0</xdr:rowOff>
    </xdr:from>
    <xdr:to>
      <xdr:col>4</xdr:col>
      <xdr:colOff>304800</xdr:colOff>
      <xdr:row>488</xdr:row>
      <xdr:rowOff>114300</xdr:rowOff>
    </xdr:to>
    <xdr:sp macro="" textlink="">
      <xdr:nvSpPr>
        <xdr:cNvPr id="1511" name="AutoShape 487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1309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487</xdr:row>
      <xdr:rowOff>0</xdr:rowOff>
    </xdr:from>
    <xdr:to>
      <xdr:col>5</xdr:col>
      <xdr:colOff>304800</xdr:colOff>
      <xdr:row>488</xdr:row>
      <xdr:rowOff>114300</xdr:rowOff>
    </xdr:to>
    <xdr:sp macro="" textlink="">
      <xdr:nvSpPr>
        <xdr:cNvPr id="1512" name="AutoShape 488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1309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489</xdr:row>
      <xdr:rowOff>0</xdr:rowOff>
    </xdr:from>
    <xdr:to>
      <xdr:col>4</xdr:col>
      <xdr:colOff>304800</xdr:colOff>
      <xdr:row>490</xdr:row>
      <xdr:rowOff>114300</xdr:rowOff>
    </xdr:to>
    <xdr:sp macro="" textlink="">
      <xdr:nvSpPr>
        <xdr:cNvPr id="1513" name="AutoShape 489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1890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489</xdr:row>
      <xdr:rowOff>0</xdr:rowOff>
    </xdr:from>
    <xdr:to>
      <xdr:col>5</xdr:col>
      <xdr:colOff>304800</xdr:colOff>
      <xdr:row>490</xdr:row>
      <xdr:rowOff>114300</xdr:rowOff>
    </xdr:to>
    <xdr:sp macro="" textlink="">
      <xdr:nvSpPr>
        <xdr:cNvPr id="1514" name="AutoShape 490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1890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491</xdr:row>
      <xdr:rowOff>0</xdr:rowOff>
    </xdr:from>
    <xdr:to>
      <xdr:col>4</xdr:col>
      <xdr:colOff>304800</xdr:colOff>
      <xdr:row>492</xdr:row>
      <xdr:rowOff>76200</xdr:rowOff>
    </xdr:to>
    <xdr:sp macro="" textlink="">
      <xdr:nvSpPr>
        <xdr:cNvPr id="1515" name="AutoShape 491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247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491</xdr:row>
      <xdr:rowOff>0</xdr:rowOff>
    </xdr:from>
    <xdr:to>
      <xdr:col>5</xdr:col>
      <xdr:colOff>304800</xdr:colOff>
      <xdr:row>492</xdr:row>
      <xdr:rowOff>76200</xdr:rowOff>
    </xdr:to>
    <xdr:sp macro="" textlink="">
      <xdr:nvSpPr>
        <xdr:cNvPr id="1516" name="AutoShape 492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247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493</xdr:row>
      <xdr:rowOff>0</xdr:rowOff>
    </xdr:from>
    <xdr:to>
      <xdr:col>4</xdr:col>
      <xdr:colOff>304800</xdr:colOff>
      <xdr:row>494</xdr:row>
      <xdr:rowOff>114300</xdr:rowOff>
    </xdr:to>
    <xdr:sp macro="" textlink="">
      <xdr:nvSpPr>
        <xdr:cNvPr id="1517" name="AutoShape 493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289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493</xdr:row>
      <xdr:rowOff>0</xdr:rowOff>
    </xdr:from>
    <xdr:to>
      <xdr:col>5</xdr:col>
      <xdr:colOff>304800</xdr:colOff>
      <xdr:row>494</xdr:row>
      <xdr:rowOff>114300</xdr:rowOff>
    </xdr:to>
    <xdr:sp macro="" textlink="">
      <xdr:nvSpPr>
        <xdr:cNvPr id="1518" name="AutoShape 494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289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495</xdr:row>
      <xdr:rowOff>0</xdr:rowOff>
    </xdr:from>
    <xdr:to>
      <xdr:col>4</xdr:col>
      <xdr:colOff>304800</xdr:colOff>
      <xdr:row>496</xdr:row>
      <xdr:rowOff>114300</xdr:rowOff>
    </xdr:to>
    <xdr:sp macro="" textlink="">
      <xdr:nvSpPr>
        <xdr:cNvPr id="1519" name="AutoShape 495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348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495</xdr:row>
      <xdr:rowOff>0</xdr:rowOff>
    </xdr:from>
    <xdr:to>
      <xdr:col>5</xdr:col>
      <xdr:colOff>304800</xdr:colOff>
      <xdr:row>496</xdr:row>
      <xdr:rowOff>114300</xdr:rowOff>
    </xdr:to>
    <xdr:sp macro="" textlink="">
      <xdr:nvSpPr>
        <xdr:cNvPr id="1520" name="AutoShape 496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348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497</xdr:row>
      <xdr:rowOff>0</xdr:rowOff>
    </xdr:from>
    <xdr:to>
      <xdr:col>4</xdr:col>
      <xdr:colOff>304800</xdr:colOff>
      <xdr:row>498</xdr:row>
      <xdr:rowOff>76200</xdr:rowOff>
    </xdr:to>
    <xdr:sp macro="" textlink="">
      <xdr:nvSpPr>
        <xdr:cNvPr id="1521" name="AutoShape 497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406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497</xdr:row>
      <xdr:rowOff>0</xdr:rowOff>
    </xdr:from>
    <xdr:to>
      <xdr:col>5</xdr:col>
      <xdr:colOff>304800</xdr:colOff>
      <xdr:row>498</xdr:row>
      <xdr:rowOff>76200</xdr:rowOff>
    </xdr:to>
    <xdr:sp macro="" textlink="">
      <xdr:nvSpPr>
        <xdr:cNvPr id="1522" name="AutoShape 498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406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499</xdr:row>
      <xdr:rowOff>0</xdr:rowOff>
    </xdr:from>
    <xdr:to>
      <xdr:col>4</xdr:col>
      <xdr:colOff>304800</xdr:colOff>
      <xdr:row>500</xdr:row>
      <xdr:rowOff>114300</xdr:rowOff>
    </xdr:to>
    <xdr:sp macro="" textlink="">
      <xdr:nvSpPr>
        <xdr:cNvPr id="1523" name="AutoShape 499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449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499</xdr:row>
      <xdr:rowOff>0</xdr:rowOff>
    </xdr:from>
    <xdr:to>
      <xdr:col>5</xdr:col>
      <xdr:colOff>304800</xdr:colOff>
      <xdr:row>500</xdr:row>
      <xdr:rowOff>114300</xdr:rowOff>
    </xdr:to>
    <xdr:sp macro="" textlink="">
      <xdr:nvSpPr>
        <xdr:cNvPr id="1524" name="AutoShape 500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449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501</xdr:row>
      <xdr:rowOff>0</xdr:rowOff>
    </xdr:from>
    <xdr:to>
      <xdr:col>4</xdr:col>
      <xdr:colOff>304800</xdr:colOff>
      <xdr:row>502</xdr:row>
      <xdr:rowOff>114300</xdr:rowOff>
    </xdr:to>
    <xdr:sp macro="" textlink="">
      <xdr:nvSpPr>
        <xdr:cNvPr id="1525" name="AutoShape 501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5071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501</xdr:row>
      <xdr:rowOff>0</xdr:rowOff>
    </xdr:from>
    <xdr:to>
      <xdr:col>5</xdr:col>
      <xdr:colOff>304800</xdr:colOff>
      <xdr:row>502</xdr:row>
      <xdr:rowOff>114300</xdr:rowOff>
    </xdr:to>
    <xdr:sp macro="" textlink="">
      <xdr:nvSpPr>
        <xdr:cNvPr id="1526" name="AutoShape 502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5071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503</xdr:row>
      <xdr:rowOff>0</xdr:rowOff>
    </xdr:from>
    <xdr:to>
      <xdr:col>4</xdr:col>
      <xdr:colOff>304800</xdr:colOff>
      <xdr:row>504</xdr:row>
      <xdr:rowOff>76200</xdr:rowOff>
    </xdr:to>
    <xdr:sp macro="" textlink="">
      <xdr:nvSpPr>
        <xdr:cNvPr id="1527" name="AutoShape 503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5652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503</xdr:row>
      <xdr:rowOff>0</xdr:rowOff>
    </xdr:from>
    <xdr:to>
      <xdr:col>5</xdr:col>
      <xdr:colOff>304800</xdr:colOff>
      <xdr:row>504</xdr:row>
      <xdr:rowOff>76200</xdr:rowOff>
    </xdr:to>
    <xdr:sp macro="" textlink="">
      <xdr:nvSpPr>
        <xdr:cNvPr id="1528" name="AutoShape 504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5652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505</xdr:row>
      <xdr:rowOff>0</xdr:rowOff>
    </xdr:from>
    <xdr:to>
      <xdr:col>4</xdr:col>
      <xdr:colOff>304800</xdr:colOff>
      <xdr:row>506</xdr:row>
      <xdr:rowOff>114300</xdr:rowOff>
    </xdr:to>
    <xdr:sp macro="" textlink="">
      <xdr:nvSpPr>
        <xdr:cNvPr id="1529" name="AutoShape 505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60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505</xdr:row>
      <xdr:rowOff>0</xdr:rowOff>
    </xdr:from>
    <xdr:to>
      <xdr:col>5</xdr:col>
      <xdr:colOff>304800</xdr:colOff>
      <xdr:row>506</xdr:row>
      <xdr:rowOff>114300</xdr:rowOff>
    </xdr:to>
    <xdr:sp macro="" textlink="">
      <xdr:nvSpPr>
        <xdr:cNvPr id="1530" name="AutoShape 50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60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507</xdr:row>
      <xdr:rowOff>0</xdr:rowOff>
    </xdr:from>
    <xdr:to>
      <xdr:col>4</xdr:col>
      <xdr:colOff>304800</xdr:colOff>
      <xdr:row>508</xdr:row>
      <xdr:rowOff>114300</xdr:rowOff>
    </xdr:to>
    <xdr:sp macro="" textlink="">
      <xdr:nvSpPr>
        <xdr:cNvPr id="1531" name="AutoShape 507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6662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507</xdr:row>
      <xdr:rowOff>0</xdr:rowOff>
    </xdr:from>
    <xdr:to>
      <xdr:col>5</xdr:col>
      <xdr:colOff>304800</xdr:colOff>
      <xdr:row>508</xdr:row>
      <xdr:rowOff>114300</xdr:rowOff>
    </xdr:to>
    <xdr:sp macro="" textlink="">
      <xdr:nvSpPr>
        <xdr:cNvPr id="1532" name="AutoShape 508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6662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509</xdr:row>
      <xdr:rowOff>0</xdr:rowOff>
    </xdr:from>
    <xdr:to>
      <xdr:col>4</xdr:col>
      <xdr:colOff>304800</xdr:colOff>
      <xdr:row>510</xdr:row>
      <xdr:rowOff>114300</xdr:rowOff>
    </xdr:to>
    <xdr:sp macro="" textlink="">
      <xdr:nvSpPr>
        <xdr:cNvPr id="1533" name="AutoShape 509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7243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509</xdr:row>
      <xdr:rowOff>0</xdr:rowOff>
    </xdr:from>
    <xdr:to>
      <xdr:col>5</xdr:col>
      <xdr:colOff>304800</xdr:colOff>
      <xdr:row>510</xdr:row>
      <xdr:rowOff>114300</xdr:rowOff>
    </xdr:to>
    <xdr:sp macro="" textlink="">
      <xdr:nvSpPr>
        <xdr:cNvPr id="1534" name="AutoShape 510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7243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511</xdr:row>
      <xdr:rowOff>0</xdr:rowOff>
    </xdr:from>
    <xdr:to>
      <xdr:col>4</xdr:col>
      <xdr:colOff>304800</xdr:colOff>
      <xdr:row>512</xdr:row>
      <xdr:rowOff>114300</xdr:rowOff>
    </xdr:to>
    <xdr:sp macro="" textlink="">
      <xdr:nvSpPr>
        <xdr:cNvPr id="1535" name="AutoShape 511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7824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511</xdr:row>
      <xdr:rowOff>0</xdr:rowOff>
    </xdr:from>
    <xdr:to>
      <xdr:col>5</xdr:col>
      <xdr:colOff>304800</xdr:colOff>
      <xdr:row>512</xdr:row>
      <xdr:rowOff>114300</xdr:rowOff>
    </xdr:to>
    <xdr:sp macro="" textlink="">
      <xdr:nvSpPr>
        <xdr:cNvPr id="1536" name="AutoShape 512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7824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513</xdr:row>
      <xdr:rowOff>0</xdr:rowOff>
    </xdr:from>
    <xdr:to>
      <xdr:col>4</xdr:col>
      <xdr:colOff>304800</xdr:colOff>
      <xdr:row>514</xdr:row>
      <xdr:rowOff>114300</xdr:rowOff>
    </xdr:to>
    <xdr:sp macro="" textlink="">
      <xdr:nvSpPr>
        <xdr:cNvPr id="1537" name="AutoShape 513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840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513</xdr:row>
      <xdr:rowOff>0</xdr:rowOff>
    </xdr:from>
    <xdr:to>
      <xdr:col>5</xdr:col>
      <xdr:colOff>304800</xdr:colOff>
      <xdr:row>514</xdr:row>
      <xdr:rowOff>114300</xdr:rowOff>
    </xdr:to>
    <xdr:sp macro="" textlink="">
      <xdr:nvSpPr>
        <xdr:cNvPr id="1538" name="AutoShape 514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840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515</xdr:row>
      <xdr:rowOff>0</xdr:rowOff>
    </xdr:from>
    <xdr:to>
      <xdr:col>4</xdr:col>
      <xdr:colOff>304800</xdr:colOff>
      <xdr:row>516</xdr:row>
      <xdr:rowOff>114300</xdr:rowOff>
    </xdr:to>
    <xdr:sp macro="" textlink="">
      <xdr:nvSpPr>
        <xdr:cNvPr id="1539" name="AutoShape 515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898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515</xdr:row>
      <xdr:rowOff>0</xdr:rowOff>
    </xdr:from>
    <xdr:to>
      <xdr:col>5</xdr:col>
      <xdr:colOff>304800</xdr:colOff>
      <xdr:row>516</xdr:row>
      <xdr:rowOff>114300</xdr:rowOff>
    </xdr:to>
    <xdr:sp macro="" textlink="">
      <xdr:nvSpPr>
        <xdr:cNvPr id="1540" name="AutoShape 51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898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517</xdr:row>
      <xdr:rowOff>0</xdr:rowOff>
    </xdr:from>
    <xdr:to>
      <xdr:col>4</xdr:col>
      <xdr:colOff>304800</xdr:colOff>
      <xdr:row>518</xdr:row>
      <xdr:rowOff>114300</xdr:rowOff>
    </xdr:to>
    <xdr:sp macro="" textlink="">
      <xdr:nvSpPr>
        <xdr:cNvPr id="1541" name="AutoShape 517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956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517</xdr:row>
      <xdr:rowOff>0</xdr:rowOff>
    </xdr:from>
    <xdr:to>
      <xdr:col>5</xdr:col>
      <xdr:colOff>304800</xdr:colOff>
      <xdr:row>518</xdr:row>
      <xdr:rowOff>114300</xdr:rowOff>
    </xdr:to>
    <xdr:sp macro="" textlink="">
      <xdr:nvSpPr>
        <xdr:cNvPr id="1542" name="AutoShape 518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956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519</xdr:row>
      <xdr:rowOff>0</xdr:rowOff>
    </xdr:from>
    <xdr:to>
      <xdr:col>4</xdr:col>
      <xdr:colOff>304800</xdr:colOff>
      <xdr:row>520</xdr:row>
      <xdr:rowOff>76200</xdr:rowOff>
    </xdr:to>
    <xdr:sp macro="" textlink="">
      <xdr:nvSpPr>
        <xdr:cNvPr id="1543" name="AutoShape 519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0148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519</xdr:row>
      <xdr:rowOff>0</xdr:rowOff>
    </xdr:from>
    <xdr:to>
      <xdr:col>5</xdr:col>
      <xdr:colOff>304800</xdr:colOff>
      <xdr:row>520</xdr:row>
      <xdr:rowOff>76200</xdr:rowOff>
    </xdr:to>
    <xdr:sp macro="" textlink="">
      <xdr:nvSpPr>
        <xdr:cNvPr id="1544" name="AutoShape 520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0148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521</xdr:row>
      <xdr:rowOff>0</xdr:rowOff>
    </xdr:from>
    <xdr:to>
      <xdr:col>4</xdr:col>
      <xdr:colOff>304800</xdr:colOff>
      <xdr:row>522</xdr:row>
      <xdr:rowOff>114300</xdr:rowOff>
    </xdr:to>
    <xdr:sp macro="" textlink="">
      <xdr:nvSpPr>
        <xdr:cNvPr id="1545" name="AutoShape 521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057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521</xdr:row>
      <xdr:rowOff>0</xdr:rowOff>
    </xdr:from>
    <xdr:to>
      <xdr:col>5</xdr:col>
      <xdr:colOff>304800</xdr:colOff>
      <xdr:row>522</xdr:row>
      <xdr:rowOff>114300</xdr:rowOff>
    </xdr:to>
    <xdr:sp macro="" textlink="">
      <xdr:nvSpPr>
        <xdr:cNvPr id="1546" name="AutoShape 522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057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523</xdr:row>
      <xdr:rowOff>0</xdr:rowOff>
    </xdr:from>
    <xdr:to>
      <xdr:col>4</xdr:col>
      <xdr:colOff>304800</xdr:colOff>
      <xdr:row>524</xdr:row>
      <xdr:rowOff>114300</xdr:rowOff>
    </xdr:to>
    <xdr:sp macro="" textlink="">
      <xdr:nvSpPr>
        <xdr:cNvPr id="1547" name="AutoShape 523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115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523</xdr:row>
      <xdr:rowOff>0</xdr:rowOff>
    </xdr:from>
    <xdr:to>
      <xdr:col>5</xdr:col>
      <xdr:colOff>304800</xdr:colOff>
      <xdr:row>524</xdr:row>
      <xdr:rowOff>114300</xdr:rowOff>
    </xdr:to>
    <xdr:sp macro="" textlink="">
      <xdr:nvSpPr>
        <xdr:cNvPr id="1548" name="AutoShape 524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115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525</xdr:row>
      <xdr:rowOff>0</xdr:rowOff>
    </xdr:from>
    <xdr:to>
      <xdr:col>4</xdr:col>
      <xdr:colOff>304800</xdr:colOff>
      <xdr:row>526</xdr:row>
      <xdr:rowOff>76200</xdr:rowOff>
    </xdr:to>
    <xdr:sp macro="" textlink="">
      <xdr:nvSpPr>
        <xdr:cNvPr id="1549" name="AutoShape 525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173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525</xdr:row>
      <xdr:rowOff>0</xdr:rowOff>
    </xdr:from>
    <xdr:to>
      <xdr:col>5</xdr:col>
      <xdr:colOff>304800</xdr:colOff>
      <xdr:row>526</xdr:row>
      <xdr:rowOff>76200</xdr:rowOff>
    </xdr:to>
    <xdr:sp macro="" textlink="">
      <xdr:nvSpPr>
        <xdr:cNvPr id="1550" name="AutoShape 526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173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527</xdr:row>
      <xdr:rowOff>0</xdr:rowOff>
    </xdr:from>
    <xdr:to>
      <xdr:col>4</xdr:col>
      <xdr:colOff>304800</xdr:colOff>
      <xdr:row>528</xdr:row>
      <xdr:rowOff>114300</xdr:rowOff>
    </xdr:to>
    <xdr:sp macro="" textlink="">
      <xdr:nvSpPr>
        <xdr:cNvPr id="1551" name="AutoShape 527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216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527</xdr:row>
      <xdr:rowOff>0</xdr:rowOff>
    </xdr:from>
    <xdr:to>
      <xdr:col>5</xdr:col>
      <xdr:colOff>304800</xdr:colOff>
      <xdr:row>528</xdr:row>
      <xdr:rowOff>114300</xdr:rowOff>
    </xdr:to>
    <xdr:sp macro="" textlink="">
      <xdr:nvSpPr>
        <xdr:cNvPr id="1552" name="AutoShape 52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216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529</xdr:row>
      <xdr:rowOff>0</xdr:rowOff>
    </xdr:from>
    <xdr:to>
      <xdr:col>4</xdr:col>
      <xdr:colOff>304800</xdr:colOff>
      <xdr:row>530</xdr:row>
      <xdr:rowOff>76200</xdr:rowOff>
    </xdr:to>
    <xdr:sp macro="" textlink="">
      <xdr:nvSpPr>
        <xdr:cNvPr id="1553" name="AutoShape 529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25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529</xdr:row>
      <xdr:rowOff>0</xdr:rowOff>
    </xdr:from>
    <xdr:to>
      <xdr:col>5</xdr:col>
      <xdr:colOff>304800</xdr:colOff>
      <xdr:row>530</xdr:row>
      <xdr:rowOff>76200</xdr:rowOff>
    </xdr:to>
    <xdr:sp macro="" textlink="">
      <xdr:nvSpPr>
        <xdr:cNvPr id="1554" name="AutoShape 530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25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531</xdr:row>
      <xdr:rowOff>0</xdr:rowOff>
    </xdr:from>
    <xdr:to>
      <xdr:col>4</xdr:col>
      <xdr:colOff>304800</xdr:colOff>
      <xdr:row>532</xdr:row>
      <xdr:rowOff>114300</xdr:rowOff>
    </xdr:to>
    <xdr:sp macro="" textlink="">
      <xdr:nvSpPr>
        <xdr:cNvPr id="1555" name="AutoShape 531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298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531</xdr:row>
      <xdr:rowOff>0</xdr:rowOff>
    </xdr:from>
    <xdr:to>
      <xdr:col>5</xdr:col>
      <xdr:colOff>304800</xdr:colOff>
      <xdr:row>532</xdr:row>
      <xdr:rowOff>114300</xdr:rowOff>
    </xdr:to>
    <xdr:sp macro="" textlink="">
      <xdr:nvSpPr>
        <xdr:cNvPr id="1556" name="AutoShape 532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298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533</xdr:row>
      <xdr:rowOff>0</xdr:rowOff>
    </xdr:from>
    <xdr:to>
      <xdr:col>4</xdr:col>
      <xdr:colOff>304800</xdr:colOff>
      <xdr:row>534</xdr:row>
      <xdr:rowOff>114300</xdr:rowOff>
    </xdr:to>
    <xdr:sp macro="" textlink="">
      <xdr:nvSpPr>
        <xdr:cNvPr id="1557" name="AutoShape 533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3567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533</xdr:row>
      <xdr:rowOff>0</xdr:rowOff>
    </xdr:from>
    <xdr:to>
      <xdr:col>5</xdr:col>
      <xdr:colOff>304800</xdr:colOff>
      <xdr:row>534</xdr:row>
      <xdr:rowOff>114300</xdr:rowOff>
    </xdr:to>
    <xdr:sp macro="" textlink="">
      <xdr:nvSpPr>
        <xdr:cNvPr id="1558" name="AutoShape 534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3567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535</xdr:row>
      <xdr:rowOff>0</xdr:rowOff>
    </xdr:from>
    <xdr:to>
      <xdr:col>4</xdr:col>
      <xdr:colOff>304800</xdr:colOff>
      <xdr:row>536</xdr:row>
      <xdr:rowOff>76200</xdr:rowOff>
    </xdr:to>
    <xdr:sp macro="" textlink="">
      <xdr:nvSpPr>
        <xdr:cNvPr id="1559" name="AutoShape 53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4148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535</xdr:row>
      <xdr:rowOff>0</xdr:rowOff>
    </xdr:from>
    <xdr:to>
      <xdr:col>5</xdr:col>
      <xdr:colOff>304800</xdr:colOff>
      <xdr:row>536</xdr:row>
      <xdr:rowOff>76200</xdr:rowOff>
    </xdr:to>
    <xdr:sp macro="" textlink="">
      <xdr:nvSpPr>
        <xdr:cNvPr id="1560" name="AutoShape 536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4148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537</xdr:row>
      <xdr:rowOff>0</xdr:rowOff>
    </xdr:from>
    <xdr:to>
      <xdr:col>4</xdr:col>
      <xdr:colOff>304800</xdr:colOff>
      <xdr:row>538</xdr:row>
      <xdr:rowOff>114300</xdr:rowOff>
    </xdr:to>
    <xdr:sp macro="" textlink="">
      <xdr:nvSpPr>
        <xdr:cNvPr id="1561" name="AutoShape 537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457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537</xdr:row>
      <xdr:rowOff>0</xdr:rowOff>
    </xdr:from>
    <xdr:to>
      <xdr:col>5</xdr:col>
      <xdr:colOff>304800</xdr:colOff>
      <xdr:row>538</xdr:row>
      <xdr:rowOff>114300</xdr:rowOff>
    </xdr:to>
    <xdr:sp macro="" textlink="">
      <xdr:nvSpPr>
        <xdr:cNvPr id="1562" name="AutoShape 538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457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539</xdr:row>
      <xdr:rowOff>0</xdr:rowOff>
    </xdr:from>
    <xdr:to>
      <xdr:col>4</xdr:col>
      <xdr:colOff>304800</xdr:colOff>
      <xdr:row>540</xdr:row>
      <xdr:rowOff>114300</xdr:rowOff>
    </xdr:to>
    <xdr:sp macro="" textlink="">
      <xdr:nvSpPr>
        <xdr:cNvPr id="1563" name="AutoShape 539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534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539</xdr:row>
      <xdr:rowOff>0</xdr:rowOff>
    </xdr:from>
    <xdr:to>
      <xdr:col>5</xdr:col>
      <xdr:colOff>304800</xdr:colOff>
      <xdr:row>540</xdr:row>
      <xdr:rowOff>114300</xdr:rowOff>
    </xdr:to>
    <xdr:sp macro="" textlink="">
      <xdr:nvSpPr>
        <xdr:cNvPr id="1564" name="AutoShape 540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534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541</xdr:row>
      <xdr:rowOff>0</xdr:rowOff>
    </xdr:from>
    <xdr:to>
      <xdr:col>4</xdr:col>
      <xdr:colOff>304800</xdr:colOff>
      <xdr:row>542</xdr:row>
      <xdr:rowOff>76200</xdr:rowOff>
    </xdr:to>
    <xdr:sp macro="" textlink="">
      <xdr:nvSpPr>
        <xdr:cNvPr id="1565" name="AutoShape 541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593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541</xdr:row>
      <xdr:rowOff>0</xdr:rowOff>
    </xdr:from>
    <xdr:to>
      <xdr:col>5</xdr:col>
      <xdr:colOff>304800</xdr:colOff>
      <xdr:row>542</xdr:row>
      <xdr:rowOff>76200</xdr:rowOff>
    </xdr:to>
    <xdr:sp macro="" textlink="">
      <xdr:nvSpPr>
        <xdr:cNvPr id="1566" name="AutoShape 542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593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543</xdr:row>
      <xdr:rowOff>0</xdr:rowOff>
    </xdr:from>
    <xdr:to>
      <xdr:col>4</xdr:col>
      <xdr:colOff>304800</xdr:colOff>
      <xdr:row>544</xdr:row>
      <xdr:rowOff>76200</xdr:rowOff>
    </xdr:to>
    <xdr:sp macro="" textlink="">
      <xdr:nvSpPr>
        <xdr:cNvPr id="1567" name="AutoShape 543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6358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543</xdr:row>
      <xdr:rowOff>0</xdr:rowOff>
    </xdr:from>
    <xdr:to>
      <xdr:col>5</xdr:col>
      <xdr:colOff>304800</xdr:colOff>
      <xdr:row>544</xdr:row>
      <xdr:rowOff>76200</xdr:rowOff>
    </xdr:to>
    <xdr:sp macro="" textlink="">
      <xdr:nvSpPr>
        <xdr:cNvPr id="1568" name="AutoShape 54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6358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545</xdr:row>
      <xdr:rowOff>0</xdr:rowOff>
    </xdr:from>
    <xdr:to>
      <xdr:col>4</xdr:col>
      <xdr:colOff>304800</xdr:colOff>
      <xdr:row>546</xdr:row>
      <xdr:rowOff>114300</xdr:rowOff>
    </xdr:to>
    <xdr:sp macro="" textlink="">
      <xdr:nvSpPr>
        <xdr:cNvPr id="1569" name="AutoShape 545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6787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545</xdr:row>
      <xdr:rowOff>0</xdr:rowOff>
    </xdr:from>
    <xdr:to>
      <xdr:col>5</xdr:col>
      <xdr:colOff>304800</xdr:colOff>
      <xdr:row>546</xdr:row>
      <xdr:rowOff>114300</xdr:rowOff>
    </xdr:to>
    <xdr:sp macro="" textlink="">
      <xdr:nvSpPr>
        <xdr:cNvPr id="1570" name="AutoShape 54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6787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547</xdr:row>
      <xdr:rowOff>0</xdr:rowOff>
    </xdr:from>
    <xdr:to>
      <xdr:col>4</xdr:col>
      <xdr:colOff>304800</xdr:colOff>
      <xdr:row>548</xdr:row>
      <xdr:rowOff>114300</xdr:rowOff>
    </xdr:to>
    <xdr:sp macro="" textlink="">
      <xdr:nvSpPr>
        <xdr:cNvPr id="1571" name="AutoShape 547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7368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547</xdr:row>
      <xdr:rowOff>0</xdr:rowOff>
    </xdr:from>
    <xdr:to>
      <xdr:col>5</xdr:col>
      <xdr:colOff>304800</xdr:colOff>
      <xdr:row>548</xdr:row>
      <xdr:rowOff>114300</xdr:rowOff>
    </xdr:to>
    <xdr:sp macro="" textlink="">
      <xdr:nvSpPr>
        <xdr:cNvPr id="1572" name="AutoShape 548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7368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549</xdr:row>
      <xdr:rowOff>0</xdr:rowOff>
    </xdr:from>
    <xdr:to>
      <xdr:col>4</xdr:col>
      <xdr:colOff>304800</xdr:colOff>
      <xdr:row>550</xdr:row>
      <xdr:rowOff>76200</xdr:rowOff>
    </xdr:to>
    <xdr:sp macro="" textlink="">
      <xdr:nvSpPr>
        <xdr:cNvPr id="1573" name="AutoShape 54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7949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549</xdr:row>
      <xdr:rowOff>0</xdr:rowOff>
    </xdr:from>
    <xdr:to>
      <xdr:col>5</xdr:col>
      <xdr:colOff>304800</xdr:colOff>
      <xdr:row>550</xdr:row>
      <xdr:rowOff>76200</xdr:rowOff>
    </xdr:to>
    <xdr:sp macro="" textlink="">
      <xdr:nvSpPr>
        <xdr:cNvPr id="1574" name="AutoShape 550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7949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551</xdr:row>
      <xdr:rowOff>0</xdr:rowOff>
    </xdr:from>
    <xdr:to>
      <xdr:col>4</xdr:col>
      <xdr:colOff>304800</xdr:colOff>
      <xdr:row>552</xdr:row>
      <xdr:rowOff>76200</xdr:rowOff>
    </xdr:to>
    <xdr:sp macro="" textlink="">
      <xdr:nvSpPr>
        <xdr:cNvPr id="1575" name="AutoShape 551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837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551</xdr:row>
      <xdr:rowOff>0</xdr:rowOff>
    </xdr:from>
    <xdr:to>
      <xdr:col>5</xdr:col>
      <xdr:colOff>304800</xdr:colOff>
      <xdr:row>552</xdr:row>
      <xdr:rowOff>76200</xdr:rowOff>
    </xdr:to>
    <xdr:sp macro="" textlink="">
      <xdr:nvSpPr>
        <xdr:cNvPr id="1576" name="AutoShape 552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837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553</xdr:row>
      <xdr:rowOff>0</xdr:rowOff>
    </xdr:from>
    <xdr:to>
      <xdr:col>4</xdr:col>
      <xdr:colOff>304800</xdr:colOff>
      <xdr:row>554</xdr:row>
      <xdr:rowOff>114300</xdr:rowOff>
    </xdr:to>
    <xdr:sp macro="" textlink="">
      <xdr:nvSpPr>
        <xdr:cNvPr id="1577" name="AutoShape 553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880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553</xdr:row>
      <xdr:rowOff>0</xdr:rowOff>
    </xdr:from>
    <xdr:to>
      <xdr:col>5</xdr:col>
      <xdr:colOff>304800</xdr:colOff>
      <xdr:row>554</xdr:row>
      <xdr:rowOff>114300</xdr:rowOff>
    </xdr:to>
    <xdr:sp macro="" textlink="">
      <xdr:nvSpPr>
        <xdr:cNvPr id="1578" name="AutoShape 554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880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555</xdr:row>
      <xdr:rowOff>0</xdr:rowOff>
    </xdr:from>
    <xdr:to>
      <xdr:col>4</xdr:col>
      <xdr:colOff>304800</xdr:colOff>
      <xdr:row>556</xdr:row>
      <xdr:rowOff>114300</xdr:rowOff>
    </xdr:to>
    <xdr:sp macro="" textlink="">
      <xdr:nvSpPr>
        <xdr:cNvPr id="1579" name="AutoShape 55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938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555</xdr:row>
      <xdr:rowOff>0</xdr:rowOff>
    </xdr:from>
    <xdr:to>
      <xdr:col>5</xdr:col>
      <xdr:colOff>304800</xdr:colOff>
      <xdr:row>556</xdr:row>
      <xdr:rowOff>114300</xdr:rowOff>
    </xdr:to>
    <xdr:sp macro="" textlink="">
      <xdr:nvSpPr>
        <xdr:cNvPr id="1580" name="AutoShape 556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938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557</xdr:row>
      <xdr:rowOff>0</xdr:rowOff>
    </xdr:from>
    <xdr:to>
      <xdr:col>4</xdr:col>
      <xdr:colOff>304800</xdr:colOff>
      <xdr:row>558</xdr:row>
      <xdr:rowOff>114300</xdr:rowOff>
    </xdr:to>
    <xdr:sp macro="" textlink="">
      <xdr:nvSpPr>
        <xdr:cNvPr id="1581" name="AutoShape 557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9968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557</xdr:row>
      <xdr:rowOff>0</xdr:rowOff>
    </xdr:from>
    <xdr:to>
      <xdr:col>5</xdr:col>
      <xdr:colOff>304800</xdr:colOff>
      <xdr:row>558</xdr:row>
      <xdr:rowOff>114300</xdr:rowOff>
    </xdr:to>
    <xdr:sp macro="" textlink="">
      <xdr:nvSpPr>
        <xdr:cNvPr id="1582" name="AutoShape 558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9968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559</xdr:row>
      <xdr:rowOff>0</xdr:rowOff>
    </xdr:from>
    <xdr:to>
      <xdr:col>4</xdr:col>
      <xdr:colOff>304800</xdr:colOff>
      <xdr:row>560</xdr:row>
      <xdr:rowOff>114300</xdr:rowOff>
    </xdr:to>
    <xdr:sp macro="" textlink="">
      <xdr:nvSpPr>
        <xdr:cNvPr id="1583" name="AutoShape 559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054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559</xdr:row>
      <xdr:rowOff>0</xdr:rowOff>
    </xdr:from>
    <xdr:to>
      <xdr:col>5</xdr:col>
      <xdr:colOff>304800</xdr:colOff>
      <xdr:row>560</xdr:row>
      <xdr:rowOff>114300</xdr:rowOff>
    </xdr:to>
    <xdr:sp macro="" textlink="">
      <xdr:nvSpPr>
        <xdr:cNvPr id="1584" name="AutoShape 560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054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561</xdr:row>
      <xdr:rowOff>0</xdr:rowOff>
    </xdr:from>
    <xdr:to>
      <xdr:col>4</xdr:col>
      <xdr:colOff>304800</xdr:colOff>
      <xdr:row>562</xdr:row>
      <xdr:rowOff>114300</xdr:rowOff>
    </xdr:to>
    <xdr:sp macro="" textlink="">
      <xdr:nvSpPr>
        <xdr:cNvPr id="1585" name="AutoShape 561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113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561</xdr:row>
      <xdr:rowOff>0</xdr:rowOff>
    </xdr:from>
    <xdr:to>
      <xdr:col>5</xdr:col>
      <xdr:colOff>304800</xdr:colOff>
      <xdr:row>562</xdr:row>
      <xdr:rowOff>114300</xdr:rowOff>
    </xdr:to>
    <xdr:sp macro="" textlink="">
      <xdr:nvSpPr>
        <xdr:cNvPr id="1586" name="AutoShape 562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113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563</xdr:row>
      <xdr:rowOff>0</xdr:rowOff>
    </xdr:from>
    <xdr:to>
      <xdr:col>4</xdr:col>
      <xdr:colOff>304800</xdr:colOff>
      <xdr:row>564</xdr:row>
      <xdr:rowOff>114300</xdr:rowOff>
    </xdr:to>
    <xdr:sp macro="" textlink="">
      <xdr:nvSpPr>
        <xdr:cNvPr id="1587" name="AutoShape 563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171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563</xdr:row>
      <xdr:rowOff>0</xdr:rowOff>
    </xdr:from>
    <xdr:to>
      <xdr:col>5</xdr:col>
      <xdr:colOff>304800</xdr:colOff>
      <xdr:row>564</xdr:row>
      <xdr:rowOff>114300</xdr:rowOff>
    </xdr:to>
    <xdr:sp macro="" textlink="">
      <xdr:nvSpPr>
        <xdr:cNvPr id="1588" name="AutoShape 56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171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565</xdr:row>
      <xdr:rowOff>0</xdr:rowOff>
    </xdr:from>
    <xdr:to>
      <xdr:col>4</xdr:col>
      <xdr:colOff>304800</xdr:colOff>
      <xdr:row>566</xdr:row>
      <xdr:rowOff>114300</xdr:rowOff>
    </xdr:to>
    <xdr:sp macro="" textlink="">
      <xdr:nvSpPr>
        <xdr:cNvPr id="1589" name="AutoShape 56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229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565</xdr:row>
      <xdr:rowOff>0</xdr:rowOff>
    </xdr:from>
    <xdr:to>
      <xdr:col>5</xdr:col>
      <xdr:colOff>304800</xdr:colOff>
      <xdr:row>566</xdr:row>
      <xdr:rowOff>114300</xdr:rowOff>
    </xdr:to>
    <xdr:sp macro="" textlink="">
      <xdr:nvSpPr>
        <xdr:cNvPr id="1590" name="AutoShape 56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229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567</xdr:row>
      <xdr:rowOff>0</xdr:rowOff>
    </xdr:from>
    <xdr:to>
      <xdr:col>4</xdr:col>
      <xdr:colOff>304800</xdr:colOff>
      <xdr:row>568</xdr:row>
      <xdr:rowOff>76200</xdr:rowOff>
    </xdr:to>
    <xdr:sp macro="" textlink="">
      <xdr:nvSpPr>
        <xdr:cNvPr id="1591" name="AutoShape 567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2873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567</xdr:row>
      <xdr:rowOff>0</xdr:rowOff>
    </xdr:from>
    <xdr:to>
      <xdr:col>5</xdr:col>
      <xdr:colOff>304800</xdr:colOff>
      <xdr:row>568</xdr:row>
      <xdr:rowOff>76200</xdr:rowOff>
    </xdr:to>
    <xdr:sp macro="" textlink="">
      <xdr:nvSpPr>
        <xdr:cNvPr id="1592" name="AutoShape 56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2873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569</xdr:row>
      <xdr:rowOff>0</xdr:rowOff>
    </xdr:from>
    <xdr:to>
      <xdr:col>4</xdr:col>
      <xdr:colOff>304800</xdr:colOff>
      <xdr:row>570</xdr:row>
      <xdr:rowOff>114300</xdr:rowOff>
    </xdr:to>
    <xdr:sp macro="" textlink="">
      <xdr:nvSpPr>
        <xdr:cNvPr id="1593" name="AutoShape 569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330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569</xdr:row>
      <xdr:rowOff>0</xdr:rowOff>
    </xdr:from>
    <xdr:to>
      <xdr:col>5</xdr:col>
      <xdr:colOff>304800</xdr:colOff>
      <xdr:row>570</xdr:row>
      <xdr:rowOff>114300</xdr:rowOff>
    </xdr:to>
    <xdr:sp macro="" textlink="">
      <xdr:nvSpPr>
        <xdr:cNvPr id="1594" name="AutoShape 570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330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571</xdr:row>
      <xdr:rowOff>0</xdr:rowOff>
    </xdr:from>
    <xdr:to>
      <xdr:col>4</xdr:col>
      <xdr:colOff>304800</xdr:colOff>
      <xdr:row>572</xdr:row>
      <xdr:rowOff>76200</xdr:rowOff>
    </xdr:to>
    <xdr:sp macro="" textlink="">
      <xdr:nvSpPr>
        <xdr:cNvPr id="1595" name="AutoShape 571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388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571</xdr:row>
      <xdr:rowOff>0</xdr:rowOff>
    </xdr:from>
    <xdr:to>
      <xdr:col>5</xdr:col>
      <xdr:colOff>304800</xdr:colOff>
      <xdr:row>572</xdr:row>
      <xdr:rowOff>76200</xdr:rowOff>
    </xdr:to>
    <xdr:sp macro="" textlink="">
      <xdr:nvSpPr>
        <xdr:cNvPr id="1596" name="AutoShape 572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388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573</xdr:row>
      <xdr:rowOff>0</xdr:rowOff>
    </xdr:from>
    <xdr:to>
      <xdr:col>4</xdr:col>
      <xdr:colOff>304800</xdr:colOff>
      <xdr:row>574</xdr:row>
      <xdr:rowOff>114300</xdr:rowOff>
    </xdr:to>
    <xdr:sp macro="" textlink="">
      <xdr:nvSpPr>
        <xdr:cNvPr id="1597" name="AutoShape 573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431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573</xdr:row>
      <xdr:rowOff>0</xdr:rowOff>
    </xdr:from>
    <xdr:to>
      <xdr:col>5</xdr:col>
      <xdr:colOff>304800</xdr:colOff>
      <xdr:row>574</xdr:row>
      <xdr:rowOff>114300</xdr:rowOff>
    </xdr:to>
    <xdr:sp macro="" textlink="">
      <xdr:nvSpPr>
        <xdr:cNvPr id="1598" name="AutoShape 574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431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575</xdr:row>
      <xdr:rowOff>0</xdr:rowOff>
    </xdr:from>
    <xdr:to>
      <xdr:col>4</xdr:col>
      <xdr:colOff>304800</xdr:colOff>
      <xdr:row>576</xdr:row>
      <xdr:rowOff>76200</xdr:rowOff>
    </xdr:to>
    <xdr:sp macro="" textlink="">
      <xdr:nvSpPr>
        <xdr:cNvPr id="1599" name="AutoShape 575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4893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575</xdr:row>
      <xdr:rowOff>0</xdr:rowOff>
    </xdr:from>
    <xdr:to>
      <xdr:col>5</xdr:col>
      <xdr:colOff>304800</xdr:colOff>
      <xdr:row>576</xdr:row>
      <xdr:rowOff>76200</xdr:rowOff>
    </xdr:to>
    <xdr:sp macro="" textlink="">
      <xdr:nvSpPr>
        <xdr:cNvPr id="1600" name="AutoShape 576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4893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577</xdr:row>
      <xdr:rowOff>0</xdr:rowOff>
    </xdr:from>
    <xdr:to>
      <xdr:col>4</xdr:col>
      <xdr:colOff>304800</xdr:colOff>
      <xdr:row>578</xdr:row>
      <xdr:rowOff>114300</xdr:rowOff>
    </xdr:to>
    <xdr:sp macro="" textlink="">
      <xdr:nvSpPr>
        <xdr:cNvPr id="1601" name="AutoShape 577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5321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577</xdr:row>
      <xdr:rowOff>0</xdr:rowOff>
    </xdr:from>
    <xdr:to>
      <xdr:col>5</xdr:col>
      <xdr:colOff>304800</xdr:colOff>
      <xdr:row>578</xdr:row>
      <xdr:rowOff>114300</xdr:rowOff>
    </xdr:to>
    <xdr:sp macro="" textlink="">
      <xdr:nvSpPr>
        <xdr:cNvPr id="1602" name="AutoShape 578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5321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579</xdr:row>
      <xdr:rowOff>0</xdr:rowOff>
    </xdr:from>
    <xdr:to>
      <xdr:col>4</xdr:col>
      <xdr:colOff>304800</xdr:colOff>
      <xdr:row>580</xdr:row>
      <xdr:rowOff>114300</xdr:rowOff>
    </xdr:to>
    <xdr:sp macro="" textlink="">
      <xdr:nvSpPr>
        <xdr:cNvPr id="1603" name="AutoShape 57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590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579</xdr:row>
      <xdr:rowOff>0</xdr:rowOff>
    </xdr:from>
    <xdr:to>
      <xdr:col>5</xdr:col>
      <xdr:colOff>304800</xdr:colOff>
      <xdr:row>580</xdr:row>
      <xdr:rowOff>114300</xdr:rowOff>
    </xdr:to>
    <xdr:sp macro="" textlink="">
      <xdr:nvSpPr>
        <xdr:cNvPr id="1604" name="AutoShape 580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590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581</xdr:row>
      <xdr:rowOff>0</xdr:rowOff>
    </xdr:from>
    <xdr:to>
      <xdr:col>4</xdr:col>
      <xdr:colOff>304800</xdr:colOff>
      <xdr:row>582</xdr:row>
      <xdr:rowOff>76200</xdr:rowOff>
    </xdr:to>
    <xdr:sp macro="" textlink="">
      <xdr:nvSpPr>
        <xdr:cNvPr id="1605" name="AutoShape 581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648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581</xdr:row>
      <xdr:rowOff>0</xdr:rowOff>
    </xdr:from>
    <xdr:to>
      <xdr:col>5</xdr:col>
      <xdr:colOff>304800</xdr:colOff>
      <xdr:row>582</xdr:row>
      <xdr:rowOff>76200</xdr:rowOff>
    </xdr:to>
    <xdr:sp macro="" textlink="">
      <xdr:nvSpPr>
        <xdr:cNvPr id="1606" name="AutoShape 582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648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583</xdr:row>
      <xdr:rowOff>0</xdr:rowOff>
    </xdr:from>
    <xdr:to>
      <xdr:col>4</xdr:col>
      <xdr:colOff>304800</xdr:colOff>
      <xdr:row>584</xdr:row>
      <xdr:rowOff>114300</xdr:rowOff>
    </xdr:to>
    <xdr:sp macro="" textlink="">
      <xdr:nvSpPr>
        <xdr:cNvPr id="1607" name="AutoShape 583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691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583</xdr:row>
      <xdr:rowOff>0</xdr:rowOff>
    </xdr:from>
    <xdr:to>
      <xdr:col>5</xdr:col>
      <xdr:colOff>304800</xdr:colOff>
      <xdr:row>584</xdr:row>
      <xdr:rowOff>114300</xdr:rowOff>
    </xdr:to>
    <xdr:sp macro="" textlink="">
      <xdr:nvSpPr>
        <xdr:cNvPr id="1608" name="AutoShape 584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691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585</xdr:row>
      <xdr:rowOff>0</xdr:rowOff>
    </xdr:from>
    <xdr:to>
      <xdr:col>4</xdr:col>
      <xdr:colOff>304800</xdr:colOff>
      <xdr:row>586</xdr:row>
      <xdr:rowOff>114300</xdr:rowOff>
    </xdr:to>
    <xdr:sp macro="" textlink="">
      <xdr:nvSpPr>
        <xdr:cNvPr id="1609" name="AutoShape 585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7493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585</xdr:row>
      <xdr:rowOff>0</xdr:rowOff>
    </xdr:from>
    <xdr:to>
      <xdr:col>5</xdr:col>
      <xdr:colOff>304800</xdr:colOff>
      <xdr:row>586</xdr:row>
      <xdr:rowOff>114300</xdr:rowOff>
    </xdr:to>
    <xdr:sp macro="" textlink="">
      <xdr:nvSpPr>
        <xdr:cNvPr id="1610" name="AutoShape 586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7493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587</xdr:row>
      <xdr:rowOff>0</xdr:rowOff>
    </xdr:from>
    <xdr:to>
      <xdr:col>4</xdr:col>
      <xdr:colOff>304800</xdr:colOff>
      <xdr:row>588</xdr:row>
      <xdr:rowOff>114300</xdr:rowOff>
    </xdr:to>
    <xdr:sp macro="" textlink="">
      <xdr:nvSpPr>
        <xdr:cNvPr id="1611" name="AutoShape 587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807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587</xdr:row>
      <xdr:rowOff>0</xdr:rowOff>
    </xdr:from>
    <xdr:to>
      <xdr:col>5</xdr:col>
      <xdr:colOff>304800</xdr:colOff>
      <xdr:row>588</xdr:row>
      <xdr:rowOff>114300</xdr:rowOff>
    </xdr:to>
    <xdr:sp macro="" textlink="">
      <xdr:nvSpPr>
        <xdr:cNvPr id="1612" name="AutoShape 588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807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589</xdr:row>
      <xdr:rowOff>0</xdr:rowOff>
    </xdr:from>
    <xdr:to>
      <xdr:col>4</xdr:col>
      <xdr:colOff>304800</xdr:colOff>
      <xdr:row>590</xdr:row>
      <xdr:rowOff>76200</xdr:rowOff>
    </xdr:to>
    <xdr:sp macro="" textlink="">
      <xdr:nvSpPr>
        <xdr:cNvPr id="1613" name="AutoShape 589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865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589</xdr:row>
      <xdr:rowOff>0</xdr:rowOff>
    </xdr:from>
    <xdr:to>
      <xdr:col>5</xdr:col>
      <xdr:colOff>304800</xdr:colOff>
      <xdr:row>590</xdr:row>
      <xdr:rowOff>76200</xdr:rowOff>
    </xdr:to>
    <xdr:sp macro="" textlink="">
      <xdr:nvSpPr>
        <xdr:cNvPr id="1614" name="AutoShape 590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865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591</xdr:row>
      <xdr:rowOff>0</xdr:rowOff>
    </xdr:from>
    <xdr:to>
      <xdr:col>4</xdr:col>
      <xdr:colOff>304800</xdr:colOff>
      <xdr:row>592</xdr:row>
      <xdr:rowOff>76200</xdr:rowOff>
    </xdr:to>
    <xdr:sp macro="" textlink="">
      <xdr:nvSpPr>
        <xdr:cNvPr id="1615" name="AutoShape 591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908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591</xdr:row>
      <xdr:rowOff>0</xdr:rowOff>
    </xdr:from>
    <xdr:to>
      <xdr:col>5</xdr:col>
      <xdr:colOff>304800</xdr:colOff>
      <xdr:row>592</xdr:row>
      <xdr:rowOff>76200</xdr:rowOff>
    </xdr:to>
    <xdr:sp macro="" textlink="">
      <xdr:nvSpPr>
        <xdr:cNvPr id="1616" name="AutoShape 592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908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593</xdr:row>
      <xdr:rowOff>0</xdr:rowOff>
    </xdr:from>
    <xdr:to>
      <xdr:col>4</xdr:col>
      <xdr:colOff>304800</xdr:colOff>
      <xdr:row>594</xdr:row>
      <xdr:rowOff>76200</xdr:rowOff>
    </xdr:to>
    <xdr:sp macro="" textlink="">
      <xdr:nvSpPr>
        <xdr:cNvPr id="1617" name="AutoShape 593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9512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593</xdr:row>
      <xdr:rowOff>0</xdr:rowOff>
    </xdr:from>
    <xdr:to>
      <xdr:col>5</xdr:col>
      <xdr:colOff>304800</xdr:colOff>
      <xdr:row>594</xdr:row>
      <xdr:rowOff>76200</xdr:rowOff>
    </xdr:to>
    <xdr:sp macro="" textlink="">
      <xdr:nvSpPr>
        <xdr:cNvPr id="1618" name="AutoShape 59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9512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595</xdr:row>
      <xdr:rowOff>0</xdr:rowOff>
    </xdr:from>
    <xdr:to>
      <xdr:col>4</xdr:col>
      <xdr:colOff>304800</xdr:colOff>
      <xdr:row>596</xdr:row>
      <xdr:rowOff>114300</xdr:rowOff>
    </xdr:to>
    <xdr:sp macro="" textlink="">
      <xdr:nvSpPr>
        <xdr:cNvPr id="1619" name="AutoShape 595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994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595</xdr:row>
      <xdr:rowOff>0</xdr:rowOff>
    </xdr:from>
    <xdr:to>
      <xdr:col>5</xdr:col>
      <xdr:colOff>304800</xdr:colOff>
      <xdr:row>596</xdr:row>
      <xdr:rowOff>114300</xdr:rowOff>
    </xdr:to>
    <xdr:sp macro="" textlink="">
      <xdr:nvSpPr>
        <xdr:cNvPr id="1620" name="AutoShape 596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994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597</xdr:row>
      <xdr:rowOff>0</xdr:rowOff>
    </xdr:from>
    <xdr:to>
      <xdr:col>4</xdr:col>
      <xdr:colOff>304800</xdr:colOff>
      <xdr:row>598</xdr:row>
      <xdr:rowOff>114300</xdr:rowOff>
    </xdr:to>
    <xdr:sp macro="" textlink="">
      <xdr:nvSpPr>
        <xdr:cNvPr id="1621" name="AutoShape 597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0522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597</xdr:row>
      <xdr:rowOff>0</xdr:rowOff>
    </xdr:from>
    <xdr:to>
      <xdr:col>5</xdr:col>
      <xdr:colOff>304800</xdr:colOff>
      <xdr:row>598</xdr:row>
      <xdr:rowOff>114300</xdr:rowOff>
    </xdr:to>
    <xdr:sp macro="" textlink="">
      <xdr:nvSpPr>
        <xdr:cNvPr id="1622" name="AutoShape 598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0522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599</xdr:row>
      <xdr:rowOff>0</xdr:rowOff>
    </xdr:from>
    <xdr:to>
      <xdr:col>4</xdr:col>
      <xdr:colOff>304800</xdr:colOff>
      <xdr:row>600</xdr:row>
      <xdr:rowOff>114300</xdr:rowOff>
    </xdr:to>
    <xdr:sp macro="" textlink="">
      <xdr:nvSpPr>
        <xdr:cNvPr id="1623" name="AutoShape 599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129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599</xdr:row>
      <xdr:rowOff>0</xdr:rowOff>
    </xdr:from>
    <xdr:to>
      <xdr:col>5</xdr:col>
      <xdr:colOff>304800</xdr:colOff>
      <xdr:row>600</xdr:row>
      <xdr:rowOff>114300</xdr:rowOff>
    </xdr:to>
    <xdr:sp macro="" textlink="">
      <xdr:nvSpPr>
        <xdr:cNvPr id="1624" name="AutoShape 600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129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601</xdr:row>
      <xdr:rowOff>0</xdr:rowOff>
    </xdr:from>
    <xdr:to>
      <xdr:col>4</xdr:col>
      <xdr:colOff>304800</xdr:colOff>
      <xdr:row>602</xdr:row>
      <xdr:rowOff>114300</xdr:rowOff>
    </xdr:to>
    <xdr:sp macro="" textlink="">
      <xdr:nvSpPr>
        <xdr:cNvPr id="1625" name="AutoShape 60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187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601</xdr:row>
      <xdr:rowOff>0</xdr:rowOff>
    </xdr:from>
    <xdr:to>
      <xdr:col>5</xdr:col>
      <xdr:colOff>304800</xdr:colOff>
      <xdr:row>602</xdr:row>
      <xdr:rowOff>114300</xdr:rowOff>
    </xdr:to>
    <xdr:sp macro="" textlink="">
      <xdr:nvSpPr>
        <xdr:cNvPr id="1626" name="AutoShape 602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187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603</xdr:row>
      <xdr:rowOff>0</xdr:rowOff>
    </xdr:from>
    <xdr:to>
      <xdr:col>4</xdr:col>
      <xdr:colOff>304800</xdr:colOff>
      <xdr:row>604</xdr:row>
      <xdr:rowOff>114300</xdr:rowOff>
    </xdr:to>
    <xdr:sp macro="" textlink="">
      <xdr:nvSpPr>
        <xdr:cNvPr id="1627" name="AutoShape 603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245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603</xdr:row>
      <xdr:rowOff>0</xdr:rowOff>
    </xdr:from>
    <xdr:to>
      <xdr:col>5</xdr:col>
      <xdr:colOff>304800</xdr:colOff>
      <xdr:row>604</xdr:row>
      <xdr:rowOff>114300</xdr:rowOff>
    </xdr:to>
    <xdr:sp macro="" textlink="">
      <xdr:nvSpPr>
        <xdr:cNvPr id="1628" name="AutoShape 604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245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605</xdr:row>
      <xdr:rowOff>0</xdr:rowOff>
    </xdr:from>
    <xdr:to>
      <xdr:col>4</xdr:col>
      <xdr:colOff>304800</xdr:colOff>
      <xdr:row>606</xdr:row>
      <xdr:rowOff>114300</xdr:rowOff>
    </xdr:to>
    <xdr:sp macro="" textlink="">
      <xdr:nvSpPr>
        <xdr:cNvPr id="1629" name="AutoShape 605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303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605</xdr:row>
      <xdr:rowOff>0</xdr:rowOff>
    </xdr:from>
    <xdr:to>
      <xdr:col>5</xdr:col>
      <xdr:colOff>304800</xdr:colOff>
      <xdr:row>606</xdr:row>
      <xdr:rowOff>114300</xdr:rowOff>
    </xdr:to>
    <xdr:sp macro="" textlink="">
      <xdr:nvSpPr>
        <xdr:cNvPr id="1630" name="AutoShape 606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303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607</xdr:row>
      <xdr:rowOff>0</xdr:rowOff>
    </xdr:from>
    <xdr:to>
      <xdr:col>4</xdr:col>
      <xdr:colOff>304800</xdr:colOff>
      <xdr:row>608</xdr:row>
      <xdr:rowOff>114300</xdr:rowOff>
    </xdr:to>
    <xdr:sp macro="" textlink="">
      <xdr:nvSpPr>
        <xdr:cNvPr id="1631" name="AutoShape 607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361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607</xdr:row>
      <xdr:rowOff>0</xdr:rowOff>
    </xdr:from>
    <xdr:to>
      <xdr:col>5</xdr:col>
      <xdr:colOff>304800</xdr:colOff>
      <xdr:row>608</xdr:row>
      <xdr:rowOff>114300</xdr:rowOff>
    </xdr:to>
    <xdr:sp macro="" textlink="">
      <xdr:nvSpPr>
        <xdr:cNvPr id="1632" name="AutoShape 608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361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609</xdr:row>
      <xdr:rowOff>0</xdr:rowOff>
    </xdr:from>
    <xdr:to>
      <xdr:col>4</xdr:col>
      <xdr:colOff>304800</xdr:colOff>
      <xdr:row>610</xdr:row>
      <xdr:rowOff>114300</xdr:rowOff>
    </xdr:to>
    <xdr:sp macro="" textlink="">
      <xdr:nvSpPr>
        <xdr:cNvPr id="1633" name="AutoShape 609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419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609</xdr:row>
      <xdr:rowOff>0</xdr:rowOff>
    </xdr:from>
    <xdr:to>
      <xdr:col>5</xdr:col>
      <xdr:colOff>304800</xdr:colOff>
      <xdr:row>610</xdr:row>
      <xdr:rowOff>114300</xdr:rowOff>
    </xdr:to>
    <xdr:sp macro="" textlink="">
      <xdr:nvSpPr>
        <xdr:cNvPr id="1634" name="AutoShape 610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419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611</xdr:row>
      <xdr:rowOff>0</xdr:rowOff>
    </xdr:from>
    <xdr:to>
      <xdr:col>4</xdr:col>
      <xdr:colOff>304800</xdr:colOff>
      <xdr:row>612</xdr:row>
      <xdr:rowOff>114300</xdr:rowOff>
    </xdr:to>
    <xdr:sp macro="" textlink="">
      <xdr:nvSpPr>
        <xdr:cNvPr id="1635" name="AutoShape 611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47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611</xdr:row>
      <xdr:rowOff>0</xdr:rowOff>
    </xdr:from>
    <xdr:to>
      <xdr:col>5</xdr:col>
      <xdr:colOff>304800</xdr:colOff>
      <xdr:row>612</xdr:row>
      <xdr:rowOff>114300</xdr:rowOff>
    </xdr:to>
    <xdr:sp macro="" textlink="">
      <xdr:nvSpPr>
        <xdr:cNvPr id="1636" name="AutoShape 612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47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613</xdr:row>
      <xdr:rowOff>0</xdr:rowOff>
    </xdr:from>
    <xdr:to>
      <xdr:col>4</xdr:col>
      <xdr:colOff>304800</xdr:colOff>
      <xdr:row>614</xdr:row>
      <xdr:rowOff>76200</xdr:rowOff>
    </xdr:to>
    <xdr:sp macro="" textlink="">
      <xdr:nvSpPr>
        <xdr:cNvPr id="1637" name="AutoShape 613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536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613</xdr:row>
      <xdr:rowOff>0</xdr:rowOff>
    </xdr:from>
    <xdr:to>
      <xdr:col>5</xdr:col>
      <xdr:colOff>304800</xdr:colOff>
      <xdr:row>614</xdr:row>
      <xdr:rowOff>76200</xdr:rowOff>
    </xdr:to>
    <xdr:sp macro="" textlink="">
      <xdr:nvSpPr>
        <xdr:cNvPr id="1638" name="AutoShape 614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536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615</xdr:row>
      <xdr:rowOff>0</xdr:rowOff>
    </xdr:from>
    <xdr:to>
      <xdr:col>4</xdr:col>
      <xdr:colOff>304800</xdr:colOff>
      <xdr:row>616</xdr:row>
      <xdr:rowOff>114300</xdr:rowOff>
    </xdr:to>
    <xdr:sp macro="" textlink="">
      <xdr:nvSpPr>
        <xdr:cNvPr id="1639" name="AutoShape 61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578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615</xdr:row>
      <xdr:rowOff>0</xdr:rowOff>
    </xdr:from>
    <xdr:to>
      <xdr:col>5</xdr:col>
      <xdr:colOff>304800</xdr:colOff>
      <xdr:row>616</xdr:row>
      <xdr:rowOff>114300</xdr:rowOff>
    </xdr:to>
    <xdr:sp macro="" textlink="">
      <xdr:nvSpPr>
        <xdr:cNvPr id="1640" name="AutoShape 616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578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617</xdr:row>
      <xdr:rowOff>0</xdr:rowOff>
    </xdr:from>
    <xdr:to>
      <xdr:col>4</xdr:col>
      <xdr:colOff>304800</xdr:colOff>
      <xdr:row>618</xdr:row>
      <xdr:rowOff>114300</xdr:rowOff>
    </xdr:to>
    <xdr:sp macro="" textlink="">
      <xdr:nvSpPr>
        <xdr:cNvPr id="1641" name="AutoShape 617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637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617</xdr:row>
      <xdr:rowOff>0</xdr:rowOff>
    </xdr:from>
    <xdr:to>
      <xdr:col>5</xdr:col>
      <xdr:colOff>304800</xdr:colOff>
      <xdr:row>618</xdr:row>
      <xdr:rowOff>114300</xdr:rowOff>
    </xdr:to>
    <xdr:sp macro="" textlink="">
      <xdr:nvSpPr>
        <xdr:cNvPr id="1642" name="AutoShape 618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637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619</xdr:row>
      <xdr:rowOff>0</xdr:rowOff>
    </xdr:from>
    <xdr:to>
      <xdr:col>4</xdr:col>
      <xdr:colOff>304800</xdr:colOff>
      <xdr:row>620</xdr:row>
      <xdr:rowOff>76200</xdr:rowOff>
    </xdr:to>
    <xdr:sp macro="" textlink="">
      <xdr:nvSpPr>
        <xdr:cNvPr id="1643" name="AutoShape 61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695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619</xdr:row>
      <xdr:rowOff>0</xdr:rowOff>
    </xdr:from>
    <xdr:to>
      <xdr:col>5</xdr:col>
      <xdr:colOff>304800</xdr:colOff>
      <xdr:row>620</xdr:row>
      <xdr:rowOff>76200</xdr:rowOff>
    </xdr:to>
    <xdr:sp macro="" textlink="">
      <xdr:nvSpPr>
        <xdr:cNvPr id="1644" name="AutoShape 620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695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621</xdr:row>
      <xdr:rowOff>0</xdr:rowOff>
    </xdr:from>
    <xdr:to>
      <xdr:col>4</xdr:col>
      <xdr:colOff>304800</xdr:colOff>
      <xdr:row>622</xdr:row>
      <xdr:rowOff>114300</xdr:rowOff>
    </xdr:to>
    <xdr:sp macro="" textlink="">
      <xdr:nvSpPr>
        <xdr:cNvPr id="1645" name="AutoShape 621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738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621</xdr:row>
      <xdr:rowOff>0</xdr:rowOff>
    </xdr:from>
    <xdr:to>
      <xdr:col>5</xdr:col>
      <xdr:colOff>304800</xdr:colOff>
      <xdr:row>622</xdr:row>
      <xdr:rowOff>114300</xdr:rowOff>
    </xdr:to>
    <xdr:sp macro="" textlink="">
      <xdr:nvSpPr>
        <xdr:cNvPr id="1646" name="AutoShape 622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738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623</xdr:row>
      <xdr:rowOff>0</xdr:rowOff>
    </xdr:from>
    <xdr:to>
      <xdr:col>4</xdr:col>
      <xdr:colOff>304800</xdr:colOff>
      <xdr:row>624</xdr:row>
      <xdr:rowOff>114300</xdr:rowOff>
    </xdr:to>
    <xdr:sp macro="" textlink="">
      <xdr:nvSpPr>
        <xdr:cNvPr id="1647" name="AutoShape 623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796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623</xdr:row>
      <xdr:rowOff>0</xdr:rowOff>
    </xdr:from>
    <xdr:to>
      <xdr:col>5</xdr:col>
      <xdr:colOff>304800</xdr:colOff>
      <xdr:row>624</xdr:row>
      <xdr:rowOff>114300</xdr:rowOff>
    </xdr:to>
    <xdr:sp macro="" textlink="">
      <xdr:nvSpPr>
        <xdr:cNvPr id="1648" name="AutoShape 624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796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625</xdr:row>
      <xdr:rowOff>0</xdr:rowOff>
    </xdr:from>
    <xdr:to>
      <xdr:col>4</xdr:col>
      <xdr:colOff>304800</xdr:colOff>
      <xdr:row>626</xdr:row>
      <xdr:rowOff>114300</xdr:rowOff>
    </xdr:to>
    <xdr:sp macro="" textlink="">
      <xdr:nvSpPr>
        <xdr:cNvPr id="1649" name="AutoShape 625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854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625</xdr:row>
      <xdr:rowOff>0</xdr:rowOff>
    </xdr:from>
    <xdr:to>
      <xdr:col>5</xdr:col>
      <xdr:colOff>304800</xdr:colOff>
      <xdr:row>626</xdr:row>
      <xdr:rowOff>114300</xdr:rowOff>
    </xdr:to>
    <xdr:sp macro="" textlink="">
      <xdr:nvSpPr>
        <xdr:cNvPr id="1650" name="AutoShape 626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854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627</xdr:row>
      <xdr:rowOff>0</xdr:rowOff>
    </xdr:from>
    <xdr:to>
      <xdr:col>4</xdr:col>
      <xdr:colOff>304800</xdr:colOff>
      <xdr:row>628</xdr:row>
      <xdr:rowOff>76200</xdr:rowOff>
    </xdr:to>
    <xdr:sp macro="" textlink="">
      <xdr:nvSpPr>
        <xdr:cNvPr id="1651" name="AutoShape 627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931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627</xdr:row>
      <xdr:rowOff>0</xdr:rowOff>
    </xdr:from>
    <xdr:to>
      <xdr:col>5</xdr:col>
      <xdr:colOff>304800</xdr:colOff>
      <xdr:row>628</xdr:row>
      <xdr:rowOff>76200</xdr:rowOff>
    </xdr:to>
    <xdr:sp macro="" textlink="">
      <xdr:nvSpPr>
        <xdr:cNvPr id="1652" name="AutoShape 628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931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629</xdr:row>
      <xdr:rowOff>0</xdr:rowOff>
    </xdr:from>
    <xdr:to>
      <xdr:col>4</xdr:col>
      <xdr:colOff>304800</xdr:colOff>
      <xdr:row>630</xdr:row>
      <xdr:rowOff>114300</xdr:rowOff>
    </xdr:to>
    <xdr:sp macro="" textlink="">
      <xdr:nvSpPr>
        <xdr:cNvPr id="1653" name="AutoShape 629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9742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629</xdr:row>
      <xdr:rowOff>0</xdr:rowOff>
    </xdr:from>
    <xdr:to>
      <xdr:col>5</xdr:col>
      <xdr:colOff>304800</xdr:colOff>
      <xdr:row>630</xdr:row>
      <xdr:rowOff>114300</xdr:rowOff>
    </xdr:to>
    <xdr:sp macro="" textlink="">
      <xdr:nvSpPr>
        <xdr:cNvPr id="1654" name="AutoShape 630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9742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631</xdr:row>
      <xdr:rowOff>0</xdr:rowOff>
    </xdr:from>
    <xdr:to>
      <xdr:col>4</xdr:col>
      <xdr:colOff>304800</xdr:colOff>
      <xdr:row>632</xdr:row>
      <xdr:rowOff>114300</xdr:rowOff>
    </xdr:to>
    <xdr:sp macro="" textlink="">
      <xdr:nvSpPr>
        <xdr:cNvPr id="1655" name="AutoShape 631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032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631</xdr:row>
      <xdr:rowOff>0</xdr:rowOff>
    </xdr:from>
    <xdr:to>
      <xdr:col>5</xdr:col>
      <xdr:colOff>304800</xdr:colOff>
      <xdr:row>632</xdr:row>
      <xdr:rowOff>114300</xdr:rowOff>
    </xdr:to>
    <xdr:sp macro="" textlink="">
      <xdr:nvSpPr>
        <xdr:cNvPr id="1656" name="AutoShape 632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032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633</xdr:row>
      <xdr:rowOff>0</xdr:rowOff>
    </xdr:from>
    <xdr:to>
      <xdr:col>4</xdr:col>
      <xdr:colOff>304800</xdr:colOff>
      <xdr:row>634</xdr:row>
      <xdr:rowOff>76200</xdr:rowOff>
    </xdr:to>
    <xdr:sp macro="" textlink="">
      <xdr:nvSpPr>
        <xdr:cNvPr id="1657" name="AutoShape 633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0904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633</xdr:row>
      <xdr:rowOff>0</xdr:rowOff>
    </xdr:from>
    <xdr:to>
      <xdr:col>5</xdr:col>
      <xdr:colOff>304800</xdr:colOff>
      <xdr:row>634</xdr:row>
      <xdr:rowOff>76200</xdr:rowOff>
    </xdr:to>
    <xdr:sp macro="" textlink="">
      <xdr:nvSpPr>
        <xdr:cNvPr id="1658" name="AutoShape 634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0904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635</xdr:row>
      <xdr:rowOff>0</xdr:rowOff>
    </xdr:from>
    <xdr:to>
      <xdr:col>4</xdr:col>
      <xdr:colOff>304800</xdr:colOff>
      <xdr:row>636</xdr:row>
      <xdr:rowOff>114300</xdr:rowOff>
    </xdr:to>
    <xdr:sp macro="" textlink="">
      <xdr:nvSpPr>
        <xdr:cNvPr id="1659" name="AutoShape 635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133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635</xdr:row>
      <xdr:rowOff>0</xdr:rowOff>
    </xdr:from>
    <xdr:to>
      <xdr:col>5</xdr:col>
      <xdr:colOff>304800</xdr:colOff>
      <xdr:row>636</xdr:row>
      <xdr:rowOff>114300</xdr:rowOff>
    </xdr:to>
    <xdr:sp macro="" textlink="">
      <xdr:nvSpPr>
        <xdr:cNvPr id="1660" name="AutoShape 63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133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637</xdr:row>
      <xdr:rowOff>0</xdr:rowOff>
    </xdr:from>
    <xdr:to>
      <xdr:col>4</xdr:col>
      <xdr:colOff>304800</xdr:colOff>
      <xdr:row>638</xdr:row>
      <xdr:rowOff>114300</xdr:rowOff>
    </xdr:to>
    <xdr:sp macro="" textlink="">
      <xdr:nvSpPr>
        <xdr:cNvPr id="1661" name="AutoShape 637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191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637</xdr:row>
      <xdr:rowOff>0</xdr:rowOff>
    </xdr:from>
    <xdr:to>
      <xdr:col>5</xdr:col>
      <xdr:colOff>304800</xdr:colOff>
      <xdr:row>638</xdr:row>
      <xdr:rowOff>114300</xdr:rowOff>
    </xdr:to>
    <xdr:sp macro="" textlink="">
      <xdr:nvSpPr>
        <xdr:cNvPr id="1662" name="AutoShape 638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191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639</xdr:row>
      <xdr:rowOff>0</xdr:rowOff>
    </xdr:from>
    <xdr:to>
      <xdr:col>4</xdr:col>
      <xdr:colOff>304800</xdr:colOff>
      <xdr:row>640</xdr:row>
      <xdr:rowOff>114300</xdr:rowOff>
    </xdr:to>
    <xdr:sp macro="" textlink="">
      <xdr:nvSpPr>
        <xdr:cNvPr id="1663" name="AutoShape 639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2495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639</xdr:row>
      <xdr:rowOff>0</xdr:rowOff>
    </xdr:from>
    <xdr:to>
      <xdr:col>5</xdr:col>
      <xdr:colOff>304800</xdr:colOff>
      <xdr:row>640</xdr:row>
      <xdr:rowOff>114300</xdr:rowOff>
    </xdr:to>
    <xdr:sp macro="" textlink="">
      <xdr:nvSpPr>
        <xdr:cNvPr id="1664" name="AutoShape 640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2495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641</xdr:row>
      <xdr:rowOff>0</xdr:rowOff>
    </xdr:from>
    <xdr:to>
      <xdr:col>4</xdr:col>
      <xdr:colOff>304800</xdr:colOff>
      <xdr:row>642</xdr:row>
      <xdr:rowOff>114300</xdr:rowOff>
    </xdr:to>
    <xdr:sp macro="" textlink="">
      <xdr:nvSpPr>
        <xdr:cNvPr id="1665" name="AutoShape 641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3076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641</xdr:row>
      <xdr:rowOff>0</xdr:rowOff>
    </xdr:from>
    <xdr:to>
      <xdr:col>5</xdr:col>
      <xdr:colOff>304800</xdr:colOff>
      <xdr:row>642</xdr:row>
      <xdr:rowOff>114300</xdr:rowOff>
    </xdr:to>
    <xdr:sp macro="" textlink="">
      <xdr:nvSpPr>
        <xdr:cNvPr id="1666" name="AutoShape 642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3076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643</xdr:row>
      <xdr:rowOff>0</xdr:rowOff>
    </xdr:from>
    <xdr:to>
      <xdr:col>4</xdr:col>
      <xdr:colOff>304800</xdr:colOff>
      <xdr:row>644</xdr:row>
      <xdr:rowOff>76200</xdr:rowOff>
    </xdr:to>
    <xdr:sp macro="" textlink="">
      <xdr:nvSpPr>
        <xdr:cNvPr id="1667" name="AutoShape 643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365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643</xdr:row>
      <xdr:rowOff>0</xdr:rowOff>
    </xdr:from>
    <xdr:to>
      <xdr:col>5</xdr:col>
      <xdr:colOff>304800</xdr:colOff>
      <xdr:row>644</xdr:row>
      <xdr:rowOff>76200</xdr:rowOff>
    </xdr:to>
    <xdr:sp macro="" textlink="">
      <xdr:nvSpPr>
        <xdr:cNvPr id="1668" name="AutoShape 644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365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645</xdr:row>
      <xdr:rowOff>0</xdr:rowOff>
    </xdr:from>
    <xdr:to>
      <xdr:col>4</xdr:col>
      <xdr:colOff>304800</xdr:colOff>
      <xdr:row>646</xdr:row>
      <xdr:rowOff>76200</xdr:rowOff>
    </xdr:to>
    <xdr:sp macro="" textlink="">
      <xdr:nvSpPr>
        <xdr:cNvPr id="1669" name="AutoShape 645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408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645</xdr:row>
      <xdr:rowOff>0</xdr:rowOff>
    </xdr:from>
    <xdr:to>
      <xdr:col>5</xdr:col>
      <xdr:colOff>304800</xdr:colOff>
      <xdr:row>646</xdr:row>
      <xdr:rowOff>76200</xdr:rowOff>
    </xdr:to>
    <xdr:sp macro="" textlink="">
      <xdr:nvSpPr>
        <xdr:cNvPr id="1670" name="AutoShape 646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408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647</xdr:row>
      <xdr:rowOff>0</xdr:rowOff>
    </xdr:from>
    <xdr:to>
      <xdr:col>4</xdr:col>
      <xdr:colOff>304800</xdr:colOff>
      <xdr:row>648</xdr:row>
      <xdr:rowOff>114300</xdr:rowOff>
    </xdr:to>
    <xdr:sp macro="" textlink="">
      <xdr:nvSpPr>
        <xdr:cNvPr id="1671" name="AutoShape 647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4514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647</xdr:row>
      <xdr:rowOff>0</xdr:rowOff>
    </xdr:from>
    <xdr:to>
      <xdr:col>5</xdr:col>
      <xdr:colOff>304800</xdr:colOff>
      <xdr:row>648</xdr:row>
      <xdr:rowOff>114300</xdr:rowOff>
    </xdr:to>
    <xdr:sp macro="" textlink="">
      <xdr:nvSpPr>
        <xdr:cNvPr id="1672" name="AutoShape 648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4514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649</xdr:row>
      <xdr:rowOff>0</xdr:rowOff>
    </xdr:from>
    <xdr:to>
      <xdr:col>4</xdr:col>
      <xdr:colOff>304800</xdr:colOff>
      <xdr:row>650</xdr:row>
      <xdr:rowOff>114300</xdr:rowOff>
    </xdr:to>
    <xdr:sp macro="" textlink="">
      <xdr:nvSpPr>
        <xdr:cNvPr id="1673" name="AutoShape 649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528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649</xdr:row>
      <xdr:rowOff>0</xdr:rowOff>
    </xdr:from>
    <xdr:to>
      <xdr:col>5</xdr:col>
      <xdr:colOff>304800</xdr:colOff>
      <xdr:row>650</xdr:row>
      <xdr:rowOff>114300</xdr:rowOff>
    </xdr:to>
    <xdr:sp macro="" textlink="">
      <xdr:nvSpPr>
        <xdr:cNvPr id="1674" name="AutoShape 650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528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651</xdr:row>
      <xdr:rowOff>0</xdr:rowOff>
    </xdr:from>
    <xdr:to>
      <xdr:col>4</xdr:col>
      <xdr:colOff>304800</xdr:colOff>
      <xdr:row>652</xdr:row>
      <xdr:rowOff>114300</xdr:rowOff>
    </xdr:to>
    <xdr:sp macro="" textlink="">
      <xdr:nvSpPr>
        <xdr:cNvPr id="1675" name="AutoShape 651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586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651</xdr:row>
      <xdr:rowOff>0</xdr:rowOff>
    </xdr:from>
    <xdr:to>
      <xdr:col>5</xdr:col>
      <xdr:colOff>304800</xdr:colOff>
      <xdr:row>652</xdr:row>
      <xdr:rowOff>114300</xdr:rowOff>
    </xdr:to>
    <xdr:sp macro="" textlink="">
      <xdr:nvSpPr>
        <xdr:cNvPr id="1676" name="AutoShape 652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586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653</xdr:row>
      <xdr:rowOff>0</xdr:rowOff>
    </xdr:from>
    <xdr:to>
      <xdr:col>4</xdr:col>
      <xdr:colOff>304800</xdr:colOff>
      <xdr:row>654</xdr:row>
      <xdr:rowOff>76200</xdr:rowOff>
    </xdr:to>
    <xdr:sp macro="" textlink="">
      <xdr:nvSpPr>
        <xdr:cNvPr id="1677" name="AutoShape 653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64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653</xdr:row>
      <xdr:rowOff>0</xdr:rowOff>
    </xdr:from>
    <xdr:to>
      <xdr:col>5</xdr:col>
      <xdr:colOff>304800</xdr:colOff>
      <xdr:row>654</xdr:row>
      <xdr:rowOff>76200</xdr:rowOff>
    </xdr:to>
    <xdr:sp macro="" textlink="">
      <xdr:nvSpPr>
        <xdr:cNvPr id="1678" name="AutoShape 654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64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655</xdr:row>
      <xdr:rowOff>0</xdr:rowOff>
    </xdr:from>
    <xdr:to>
      <xdr:col>4</xdr:col>
      <xdr:colOff>304800</xdr:colOff>
      <xdr:row>656</xdr:row>
      <xdr:rowOff>114300</xdr:rowOff>
    </xdr:to>
    <xdr:sp macro="" textlink="">
      <xdr:nvSpPr>
        <xdr:cNvPr id="1679" name="AutoShape 655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6876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655</xdr:row>
      <xdr:rowOff>0</xdr:rowOff>
    </xdr:from>
    <xdr:to>
      <xdr:col>5</xdr:col>
      <xdr:colOff>304800</xdr:colOff>
      <xdr:row>656</xdr:row>
      <xdr:rowOff>114300</xdr:rowOff>
    </xdr:to>
    <xdr:sp macro="" textlink="">
      <xdr:nvSpPr>
        <xdr:cNvPr id="1680" name="AutoShape 656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6876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657</xdr:row>
      <xdr:rowOff>0</xdr:rowOff>
    </xdr:from>
    <xdr:to>
      <xdr:col>4</xdr:col>
      <xdr:colOff>304800</xdr:colOff>
      <xdr:row>658</xdr:row>
      <xdr:rowOff>114300</xdr:rowOff>
    </xdr:to>
    <xdr:sp macro="" textlink="">
      <xdr:nvSpPr>
        <xdr:cNvPr id="1681" name="AutoShape 657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7457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657</xdr:row>
      <xdr:rowOff>0</xdr:rowOff>
    </xdr:from>
    <xdr:to>
      <xdr:col>5</xdr:col>
      <xdr:colOff>304800</xdr:colOff>
      <xdr:row>658</xdr:row>
      <xdr:rowOff>114300</xdr:rowOff>
    </xdr:to>
    <xdr:sp macro="" textlink="">
      <xdr:nvSpPr>
        <xdr:cNvPr id="1682" name="AutoShape 658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7457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659</xdr:row>
      <xdr:rowOff>0</xdr:rowOff>
    </xdr:from>
    <xdr:to>
      <xdr:col>4</xdr:col>
      <xdr:colOff>304800</xdr:colOff>
      <xdr:row>660</xdr:row>
      <xdr:rowOff>114300</xdr:rowOff>
    </xdr:to>
    <xdr:sp macro="" textlink="">
      <xdr:nvSpPr>
        <xdr:cNvPr id="1683" name="AutoShape 659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803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659</xdr:row>
      <xdr:rowOff>0</xdr:rowOff>
    </xdr:from>
    <xdr:to>
      <xdr:col>5</xdr:col>
      <xdr:colOff>304800</xdr:colOff>
      <xdr:row>660</xdr:row>
      <xdr:rowOff>114300</xdr:rowOff>
    </xdr:to>
    <xdr:sp macro="" textlink="">
      <xdr:nvSpPr>
        <xdr:cNvPr id="1684" name="AutoShape 660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803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661</xdr:row>
      <xdr:rowOff>0</xdr:rowOff>
    </xdr:from>
    <xdr:to>
      <xdr:col>4</xdr:col>
      <xdr:colOff>304800</xdr:colOff>
      <xdr:row>662</xdr:row>
      <xdr:rowOff>76200</xdr:rowOff>
    </xdr:to>
    <xdr:sp macro="" textlink="">
      <xdr:nvSpPr>
        <xdr:cNvPr id="1685" name="AutoShape 661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861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661</xdr:row>
      <xdr:rowOff>0</xdr:rowOff>
    </xdr:from>
    <xdr:to>
      <xdr:col>5</xdr:col>
      <xdr:colOff>304800</xdr:colOff>
      <xdr:row>662</xdr:row>
      <xdr:rowOff>76200</xdr:rowOff>
    </xdr:to>
    <xdr:sp macro="" textlink="">
      <xdr:nvSpPr>
        <xdr:cNvPr id="1686" name="AutoShape 662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861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663</xdr:row>
      <xdr:rowOff>0</xdr:rowOff>
    </xdr:from>
    <xdr:to>
      <xdr:col>4</xdr:col>
      <xdr:colOff>304800</xdr:colOff>
      <xdr:row>664</xdr:row>
      <xdr:rowOff>114300</xdr:rowOff>
    </xdr:to>
    <xdr:sp macro="" textlink="">
      <xdr:nvSpPr>
        <xdr:cNvPr id="1687" name="AutoShape 663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9048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663</xdr:row>
      <xdr:rowOff>0</xdr:rowOff>
    </xdr:from>
    <xdr:to>
      <xdr:col>5</xdr:col>
      <xdr:colOff>304800</xdr:colOff>
      <xdr:row>664</xdr:row>
      <xdr:rowOff>114300</xdr:rowOff>
    </xdr:to>
    <xdr:sp macro="" textlink="">
      <xdr:nvSpPr>
        <xdr:cNvPr id="1688" name="AutoShape 664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9048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665</xdr:row>
      <xdr:rowOff>0</xdr:rowOff>
    </xdr:from>
    <xdr:to>
      <xdr:col>4</xdr:col>
      <xdr:colOff>304800</xdr:colOff>
      <xdr:row>666</xdr:row>
      <xdr:rowOff>114300</xdr:rowOff>
    </xdr:to>
    <xdr:sp macro="" textlink="">
      <xdr:nvSpPr>
        <xdr:cNvPr id="1689" name="AutoShape 665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0124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665</xdr:row>
      <xdr:rowOff>0</xdr:rowOff>
    </xdr:from>
    <xdr:to>
      <xdr:col>5</xdr:col>
      <xdr:colOff>304800</xdr:colOff>
      <xdr:row>666</xdr:row>
      <xdr:rowOff>114300</xdr:rowOff>
    </xdr:to>
    <xdr:sp macro="" textlink="">
      <xdr:nvSpPr>
        <xdr:cNvPr id="1690" name="AutoShape 666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0124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667</xdr:row>
      <xdr:rowOff>0</xdr:rowOff>
    </xdr:from>
    <xdr:to>
      <xdr:col>4</xdr:col>
      <xdr:colOff>304800</xdr:colOff>
      <xdr:row>668</xdr:row>
      <xdr:rowOff>76200</xdr:rowOff>
    </xdr:to>
    <xdr:sp macro="" textlink="">
      <xdr:nvSpPr>
        <xdr:cNvPr id="1691" name="AutoShape 667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1096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667</xdr:row>
      <xdr:rowOff>0</xdr:rowOff>
    </xdr:from>
    <xdr:to>
      <xdr:col>5</xdr:col>
      <xdr:colOff>304800</xdr:colOff>
      <xdr:row>668</xdr:row>
      <xdr:rowOff>76200</xdr:rowOff>
    </xdr:to>
    <xdr:sp macro="" textlink="">
      <xdr:nvSpPr>
        <xdr:cNvPr id="1692" name="AutoShape 668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1096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669</xdr:row>
      <xdr:rowOff>0</xdr:rowOff>
    </xdr:from>
    <xdr:to>
      <xdr:col>4</xdr:col>
      <xdr:colOff>304800</xdr:colOff>
      <xdr:row>670</xdr:row>
      <xdr:rowOff>114300</xdr:rowOff>
    </xdr:to>
    <xdr:sp macro="" textlink="">
      <xdr:nvSpPr>
        <xdr:cNvPr id="1693" name="AutoShape 669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152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669</xdr:row>
      <xdr:rowOff>0</xdr:rowOff>
    </xdr:from>
    <xdr:to>
      <xdr:col>5</xdr:col>
      <xdr:colOff>304800</xdr:colOff>
      <xdr:row>670</xdr:row>
      <xdr:rowOff>114300</xdr:rowOff>
    </xdr:to>
    <xdr:sp macro="" textlink="">
      <xdr:nvSpPr>
        <xdr:cNvPr id="1694" name="AutoShape 670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152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671</xdr:row>
      <xdr:rowOff>0</xdr:rowOff>
    </xdr:from>
    <xdr:to>
      <xdr:col>4</xdr:col>
      <xdr:colOff>304800</xdr:colOff>
      <xdr:row>672</xdr:row>
      <xdr:rowOff>76200</xdr:rowOff>
    </xdr:to>
    <xdr:sp macro="" textlink="">
      <xdr:nvSpPr>
        <xdr:cNvPr id="1695" name="AutoShape 671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2105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671</xdr:row>
      <xdr:rowOff>0</xdr:rowOff>
    </xdr:from>
    <xdr:to>
      <xdr:col>5</xdr:col>
      <xdr:colOff>304800</xdr:colOff>
      <xdr:row>672</xdr:row>
      <xdr:rowOff>76200</xdr:rowOff>
    </xdr:to>
    <xdr:sp macro="" textlink="">
      <xdr:nvSpPr>
        <xdr:cNvPr id="1696" name="AutoShape 672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2105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673</xdr:row>
      <xdr:rowOff>0</xdr:rowOff>
    </xdr:from>
    <xdr:to>
      <xdr:col>4</xdr:col>
      <xdr:colOff>304800</xdr:colOff>
      <xdr:row>674</xdr:row>
      <xdr:rowOff>76200</xdr:rowOff>
    </xdr:to>
    <xdr:sp macro="" textlink="">
      <xdr:nvSpPr>
        <xdr:cNvPr id="1697" name="AutoShape 673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2534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673</xdr:row>
      <xdr:rowOff>0</xdr:rowOff>
    </xdr:from>
    <xdr:to>
      <xdr:col>5</xdr:col>
      <xdr:colOff>304800</xdr:colOff>
      <xdr:row>674</xdr:row>
      <xdr:rowOff>76200</xdr:rowOff>
    </xdr:to>
    <xdr:sp macro="" textlink="">
      <xdr:nvSpPr>
        <xdr:cNvPr id="1698" name="AutoShape 674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2534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675</xdr:row>
      <xdr:rowOff>0</xdr:rowOff>
    </xdr:from>
    <xdr:to>
      <xdr:col>4</xdr:col>
      <xdr:colOff>304800</xdr:colOff>
      <xdr:row>676</xdr:row>
      <xdr:rowOff>114300</xdr:rowOff>
    </xdr:to>
    <xdr:sp macro="" textlink="">
      <xdr:nvSpPr>
        <xdr:cNvPr id="1699" name="AutoShape 67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2963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675</xdr:row>
      <xdr:rowOff>0</xdr:rowOff>
    </xdr:from>
    <xdr:to>
      <xdr:col>5</xdr:col>
      <xdr:colOff>304800</xdr:colOff>
      <xdr:row>676</xdr:row>
      <xdr:rowOff>114300</xdr:rowOff>
    </xdr:to>
    <xdr:sp macro="" textlink="">
      <xdr:nvSpPr>
        <xdr:cNvPr id="1700" name="AutoShape 676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2963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677</xdr:row>
      <xdr:rowOff>0</xdr:rowOff>
    </xdr:from>
    <xdr:to>
      <xdr:col>4</xdr:col>
      <xdr:colOff>304800</xdr:colOff>
      <xdr:row>678</xdr:row>
      <xdr:rowOff>114300</xdr:rowOff>
    </xdr:to>
    <xdr:sp macro="" textlink="">
      <xdr:nvSpPr>
        <xdr:cNvPr id="1701" name="AutoShape 677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3544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677</xdr:row>
      <xdr:rowOff>0</xdr:rowOff>
    </xdr:from>
    <xdr:to>
      <xdr:col>5</xdr:col>
      <xdr:colOff>304800</xdr:colOff>
      <xdr:row>678</xdr:row>
      <xdr:rowOff>114300</xdr:rowOff>
    </xdr:to>
    <xdr:sp macro="" textlink="">
      <xdr:nvSpPr>
        <xdr:cNvPr id="1702" name="AutoShape 678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3544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679</xdr:row>
      <xdr:rowOff>0</xdr:rowOff>
    </xdr:from>
    <xdr:to>
      <xdr:col>4</xdr:col>
      <xdr:colOff>304800</xdr:colOff>
      <xdr:row>680</xdr:row>
      <xdr:rowOff>114300</xdr:rowOff>
    </xdr:to>
    <xdr:sp macro="" textlink="">
      <xdr:nvSpPr>
        <xdr:cNvPr id="1703" name="AutoShape 679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412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679</xdr:row>
      <xdr:rowOff>0</xdr:rowOff>
    </xdr:from>
    <xdr:to>
      <xdr:col>5</xdr:col>
      <xdr:colOff>304800</xdr:colOff>
      <xdr:row>680</xdr:row>
      <xdr:rowOff>114300</xdr:rowOff>
    </xdr:to>
    <xdr:sp macro="" textlink="">
      <xdr:nvSpPr>
        <xdr:cNvPr id="1704" name="AutoShape 680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412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681</xdr:row>
      <xdr:rowOff>0</xdr:rowOff>
    </xdr:from>
    <xdr:to>
      <xdr:col>4</xdr:col>
      <xdr:colOff>304800</xdr:colOff>
      <xdr:row>682</xdr:row>
      <xdr:rowOff>76200</xdr:rowOff>
    </xdr:to>
    <xdr:sp macro="" textlink="">
      <xdr:nvSpPr>
        <xdr:cNvPr id="1705" name="AutoShape 681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47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681</xdr:row>
      <xdr:rowOff>0</xdr:rowOff>
    </xdr:from>
    <xdr:to>
      <xdr:col>5</xdr:col>
      <xdr:colOff>304800</xdr:colOff>
      <xdr:row>682</xdr:row>
      <xdr:rowOff>76200</xdr:rowOff>
    </xdr:to>
    <xdr:sp macro="" textlink="">
      <xdr:nvSpPr>
        <xdr:cNvPr id="1706" name="AutoShape 682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47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683</xdr:row>
      <xdr:rowOff>0</xdr:rowOff>
    </xdr:from>
    <xdr:to>
      <xdr:col>4</xdr:col>
      <xdr:colOff>304800</xdr:colOff>
      <xdr:row>684</xdr:row>
      <xdr:rowOff>114300</xdr:rowOff>
    </xdr:to>
    <xdr:sp macro="" textlink="">
      <xdr:nvSpPr>
        <xdr:cNvPr id="1707" name="AutoShape 683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513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683</xdr:row>
      <xdr:rowOff>0</xdr:rowOff>
    </xdr:from>
    <xdr:to>
      <xdr:col>5</xdr:col>
      <xdr:colOff>304800</xdr:colOff>
      <xdr:row>684</xdr:row>
      <xdr:rowOff>114300</xdr:rowOff>
    </xdr:to>
    <xdr:sp macro="" textlink="">
      <xdr:nvSpPr>
        <xdr:cNvPr id="1708" name="AutoShape 684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513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685</xdr:row>
      <xdr:rowOff>0</xdr:rowOff>
    </xdr:from>
    <xdr:to>
      <xdr:col>4</xdr:col>
      <xdr:colOff>304800</xdr:colOff>
      <xdr:row>686</xdr:row>
      <xdr:rowOff>114300</xdr:rowOff>
    </xdr:to>
    <xdr:sp macro="" textlink="">
      <xdr:nvSpPr>
        <xdr:cNvPr id="1709" name="AutoShape 685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571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685</xdr:row>
      <xdr:rowOff>0</xdr:rowOff>
    </xdr:from>
    <xdr:to>
      <xdr:col>5</xdr:col>
      <xdr:colOff>304800</xdr:colOff>
      <xdr:row>686</xdr:row>
      <xdr:rowOff>114300</xdr:rowOff>
    </xdr:to>
    <xdr:sp macro="" textlink="">
      <xdr:nvSpPr>
        <xdr:cNvPr id="1710" name="AutoShape 686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571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687</xdr:row>
      <xdr:rowOff>0</xdr:rowOff>
    </xdr:from>
    <xdr:to>
      <xdr:col>4</xdr:col>
      <xdr:colOff>304800</xdr:colOff>
      <xdr:row>688</xdr:row>
      <xdr:rowOff>114300</xdr:rowOff>
    </xdr:to>
    <xdr:sp macro="" textlink="">
      <xdr:nvSpPr>
        <xdr:cNvPr id="1711" name="AutoShape 687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629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687</xdr:row>
      <xdr:rowOff>0</xdr:rowOff>
    </xdr:from>
    <xdr:to>
      <xdr:col>5</xdr:col>
      <xdr:colOff>304800</xdr:colOff>
      <xdr:row>688</xdr:row>
      <xdr:rowOff>114300</xdr:rowOff>
    </xdr:to>
    <xdr:sp macro="" textlink="">
      <xdr:nvSpPr>
        <xdr:cNvPr id="1712" name="AutoShape 688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629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689</xdr:row>
      <xdr:rowOff>0</xdr:rowOff>
    </xdr:from>
    <xdr:to>
      <xdr:col>4</xdr:col>
      <xdr:colOff>304800</xdr:colOff>
      <xdr:row>690</xdr:row>
      <xdr:rowOff>114300</xdr:rowOff>
    </xdr:to>
    <xdr:sp macro="" textlink="">
      <xdr:nvSpPr>
        <xdr:cNvPr id="1713" name="AutoShape 689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687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689</xdr:row>
      <xdr:rowOff>0</xdr:rowOff>
    </xdr:from>
    <xdr:to>
      <xdr:col>5</xdr:col>
      <xdr:colOff>304800</xdr:colOff>
      <xdr:row>690</xdr:row>
      <xdr:rowOff>114300</xdr:rowOff>
    </xdr:to>
    <xdr:sp macro="" textlink="">
      <xdr:nvSpPr>
        <xdr:cNvPr id="1714" name="AutoShape 690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687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691</xdr:row>
      <xdr:rowOff>0</xdr:rowOff>
    </xdr:from>
    <xdr:to>
      <xdr:col>4</xdr:col>
      <xdr:colOff>304800</xdr:colOff>
      <xdr:row>692</xdr:row>
      <xdr:rowOff>114300</xdr:rowOff>
    </xdr:to>
    <xdr:sp macro="" textlink="">
      <xdr:nvSpPr>
        <xdr:cNvPr id="1715" name="AutoShape 69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745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691</xdr:row>
      <xdr:rowOff>0</xdr:rowOff>
    </xdr:from>
    <xdr:to>
      <xdr:col>5</xdr:col>
      <xdr:colOff>304800</xdr:colOff>
      <xdr:row>692</xdr:row>
      <xdr:rowOff>114300</xdr:rowOff>
    </xdr:to>
    <xdr:sp macro="" textlink="">
      <xdr:nvSpPr>
        <xdr:cNvPr id="1716" name="AutoShape 692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745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693</xdr:row>
      <xdr:rowOff>0</xdr:rowOff>
    </xdr:from>
    <xdr:to>
      <xdr:col>4</xdr:col>
      <xdr:colOff>304800</xdr:colOff>
      <xdr:row>694</xdr:row>
      <xdr:rowOff>114300</xdr:rowOff>
    </xdr:to>
    <xdr:sp macro="" textlink="">
      <xdr:nvSpPr>
        <xdr:cNvPr id="1717" name="AutoShape 693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804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693</xdr:row>
      <xdr:rowOff>0</xdr:rowOff>
    </xdr:from>
    <xdr:to>
      <xdr:col>5</xdr:col>
      <xdr:colOff>304800</xdr:colOff>
      <xdr:row>694</xdr:row>
      <xdr:rowOff>114300</xdr:rowOff>
    </xdr:to>
    <xdr:sp macro="" textlink="">
      <xdr:nvSpPr>
        <xdr:cNvPr id="1718" name="AutoShape 694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804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695</xdr:row>
      <xdr:rowOff>0</xdr:rowOff>
    </xdr:from>
    <xdr:to>
      <xdr:col>4</xdr:col>
      <xdr:colOff>304800</xdr:colOff>
      <xdr:row>696</xdr:row>
      <xdr:rowOff>114300</xdr:rowOff>
    </xdr:to>
    <xdr:sp macro="" textlink="">
      <xdr:nvSpPr>
        <xdr:cNvPr id="1719" name="AutoShape 695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862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695</xdr:row>
      <xdr:rowOff>0</xdr:rowOff>
    </xdr:from>
    <xdr:to>
      <xdr:col>5</xdr:col>
      <xdr:colOff>304800</xdr:colOff>
      <xdr:row>696</xdr:row>
      <xdr:rowOff>114300</xdr:rowOff>
    </xdr:to>
    <xdr:sp macro="" textlink="">
      <xdr:nvSpPr>
        <xdr:cNvPr id="1720" name="AutoShape 696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862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697</xdr:row>
      <xdr:rowOff>0</xdr:rowOff>
    </xdr:from>
    <xdr:to>
      <xdr:col>4</xdr:col>
      <xdr:colOff>304800</xdr:colOff>
      <xdr:row>698</xdr:row>
      <xdr:rowOff>114300</xdr:rowOff>
    </xdr:to>
    <xdr:sp macro="" textlink="">
      <xdr:nvSpPr>
        <xdr:cNvPr id="1721" name="AutoShape 697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939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697</xdr:row>
      <xdr:rowOff>0</xdr:rowOff>
    </xdr:from>
    <xdr:to>
      <xdr:col>5</xdr:col>
      <xdr:colOff>304800</xdr:colOff>
      <xdr:row>698</xdr:row>
      <xdr:rowOff>114300</xdr:rowOff>
    </xdr:to>
    <xdr:sp macro="" textlink="">
      <xdr:nvSpPr>
        <xdr:cNvPr id="1722" name="AutoShape 698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939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699</xdr:row>
      <xdr:rowOff>0</xdr:rowOff>
    </xdr:from>
    <xdr:to>
      <xdr:col>4</xdr:col>
      <xdr:colOff>304800</xdr:colOff>
      <xdr:row>700</xdr:row>
      <xdr:rowOff>114300</xdr:rowOff>
    </xdr:to>
    <xdr:sp macro="" textlink="">
      <xdr:nvSpPr>
        <xdr:cNvPr id="1723" name="AutoShape 699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997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699</xdr:row>
      <xdr:rowOff>0</xdr:rowOff>
    </xdr:from>
    <xdr:to>
      <xdr:col>5</xdr:col>
      <xdr:colOff>304800</xdr:colOff>
      <xdr:row>700</xdr:row>
      <xdr:rowOff>114300</xdr:rowOff>
    </xdr:to>
    <xdr:sp macro="" textlink="">
      <xdr:nvSpPr>
        <xdr:cNvPr id="1724" name="AutoShape 700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997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701</xdr:row>
      <xdr:rowOff>0</xdr:rowOff>
    </xdr:from>
    <xdr:to>
      <xdr:col>4</xdr:col>
      <xdr:colOff>304800</xdr:colOff>
      <xdr:row>702</xdr:row>
      <xdr:rowOff>114300</xdr:rowOff>
    </xdr:to>
    <xdr:sp macro="" textlink="">
      <xdr:nvSpPr>
        <xdr:cNvPr id="1725" name="AutoShape 70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055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701</xdr:row>
      <xdr:rowOff>0</xdr:rowOff>
    </xdr:from>
    <xdr:to>
      <xdr:col>5</xdr:col>
      <xdr:colOff>304800</xdr:colOff>
      <xdr:row>702</xdr:row>
      <xdr:rowOff>114300</xdr:rowOff>
    </xdr:to>
    <xdr:sp macro="" textlink="">
      <xdr:nvSpPr>
        <xdr:cNvPr id="1726" name="AutoShape 702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055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703</xdr:row>
      <xdr:rowOff>0</xdr:rowOff>
    </xdr:from>
    <xdr:to>
      <xdr:col>4</xdr:col>
      <xdr:colOff>304800</xdr:colOff>
      <xdr:row>704</xdr:row>
      <xdr:rowOff>114300</xdr:rowOff>
    </xdr:to>
    <xdr:sp macro="" textlink="">
      <xdr:nvSpPr>
        <xdr:cNvPr id="1727" name="AutoShape 703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1135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703</xdr:row>
      <xdr:rowOff>0</xdr:rowOff>
    </xdr:from>
    <xdr:to>
      <xdr:col>5</xdr:col>
      <xdr:colOff>304800</xdr:colOff>
      <xdr:row>704</xdr:row>
      <xdr:rowOff>114300</xdr:rowOff>
    </xdr:to>
    <xdr:sp macro="" textlink="">
      <xdr:nvSpPr>
        <xdr:cNvPr id="1728" name="AutoShape 704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1135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705</xdr:row>
      <xdr:rowOff>0</xdr:rowOff>
    </xdr:from>
    <xdr:to>
      <xdr:col>4</xdr:col>
      <xdr:colOff>304800</xdr:colOff>
      <xdr:row>706</xdr:row>
      <xdr:rowOff>76200</xdr:rowOff>
    </xdr:to>
    <xdr:sp macro="" textlink="">
      <xdr:nvSpPr>
        <xdr:cNvPr id="1729" name="AutoShape 705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171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705</xdr:row>
      <xdr:rowOff>0</xdr:rowOff>
    </xdr:from>
    <xdr:to>
      <xdr:col>5</xdr:col>
      <xdr:colOff>304800</xdr:colOff>
      <xdr:row>706</xdr:row>
      <xdr:rowOff>76200</xdr:rowOff>
    </xdr:to>
    <xdr:sp macro="" textlink="">
      <xdr:nvSpPr>
        <xdr:cNvPr id="1730" name="AutoShape 706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171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707</xdr:row>
      <xdr:rowOff>0</xdr:rowOff>
    </xdr:from>
    <xdr:to>
      <xdr:col>4</xdr:col>
      <xdr:colOff>304800</xdr:colOff>
      <xdr:row>708</xdr:row>
      <xdr:rowOff>114300</xdr:rowOff>
    </xdr:to>
    <xdr:sp macro="" textlink="">
      <xdr:nvSpPr>
        <xdr:cNvPr id="1731" name="AutoShape 707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214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707</xdr:row>
      <xdr:rowOff>0</xdr:rowOff>
    </xdr:from>
    <xdr:to>
      <xdr:col>5</xdr:col>
      <xdr:colOff>304800</xdr:colOff>
      <xdr:row>708</xdr:row>
      <xdr:rowOff>114300</xdr:rowOff>
    </xdr:to>
    <xdr:sp macro="" textlink="">
      <xdr:nvSpPr>
        <xdr:cNvPr id="1732" name="AutoShape 708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214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709</xdr:row>
      <xdr:rowOff>0</xdr:rowOff>
    </xdr:from>
    <xdr:to>
      <xdr:col>4</xdr:col>
      <xdr:colOff>304800</xdr:colOff>
      <xdr:row>710</xdr:row>
      <xdr:rowOff>76200</xdr:rowOff>
    </xdr:to>
    <xdr:sp macro="" textlink="">
      <xdr:nvSpPr>
        <xdr:cNvPr id="1733" name="AutoShape 709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272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709</xdr:row>
      <xdr:rowOff>0</xdr:rowOff>
    </xdr:from>
    <xdr:to>
      <xdr:col>5</xdr:col>
      <xdr:colOff>304800</xdr:colOff>
      <xdr:row>710</xdr:row>
      <xdr:rowOff>76200</xdr:rowOff>
    </xdr:to>
    <xdr:sp macro="" textlink="">
      <xdr:nvSpPr>
        <xdr:cNvPr id="1734" name="AutoShape 710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272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711</xdr:row>
      <xdr:rowOff>0</xdr:rowOff>
    </xdr:from>
    <xdr:to>
      <xdr:col>4</xdr:col>
      <xdr:colOff>304800</xdr:colOff>
      <xdr:row>712</xdr:row>
      <xdr:rowOff>114300</xdr:rowOff>
    </xdr:to>
    <xdr:sp macro="" textlink="">
      <xdr:nvSpPr>
        <xdr:cNvPr id="1735" name="AutoShape 711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315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711</xdr:row>
      <xdr:rowOff>0</xdr:rowOff>
    </xdr:from>
    <xdr:to>
      <xdr:col>5</xdr:col>
      <xdr:colOff>304800</xdr:colOff>
      <xdr:row>712</xdr:row>
      <xdr:rowOff>114300</xdr:rowOff>
    </xdr:to>
    <xdr:sp macro="" textlink="">
      <xdr:nvSpPr>
        <xdr:cNvPr id="1736" name="AutoShape 712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315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713</xdr:row>
      <xdr:rowOff>0</xdr:rowOff>
    </xdr:from>
    <xdr:to>
      <xdr:col>4</xdr:col>
      <xdr:colOff>304800</xdr:colOff>
      <xdr:row>714</xdr:row>
      <xdr:rowOff>114300</xdr:rowOff>
    </xdr:to>
    <xdr:sp macro="" textlink="">
      <xdr:nvSpPr>
        <xdr:cNvPr id="1737" name="AutoShape 713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592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713</xdr:row>
      <xdr:rowOff>0</xdr:rowOff>
    </xdr:from>
    <xdr:to>
      <xdr:col>5</xdr:col>
      <xdr:colOff>304800</xdr:colOff>
      <xdr:row>714</xdr:row>
      <xdr:rowOff>114300</xdr:rowOff>
    </xdr:to>
    <xdr:sp macro="" textlink="">
      <xdr:nvSpPr>
        <xdr:cNvPr id="1738" name="AutoShape 714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592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715</xdr:row>
      <xdr:rowOff>0</xdr:rowOff>
    </xdr:from>
    <xdr:to>
      <xdr:col>4</xdr:col>
      <xdr:colOff>304800</xdr:colOff>
      <xdr:row>716</xdr:row>
      <xdr:rowOff>114300</xdr:rowOff>
    </xdr:to>
    <xdr:sp macro="" textlink="">
      <xdr:nvSpPr>
        <xdr:cNvPr id="1739" name="AutoShape 71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650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715</xdr:row>
      <xdr:rowOff>0</xdr:rowOff>
    </xdr:from>
    <xdr:to>
      <xdr:col>5</xdr:col>
      <xdr:colOff>304800</xdr:colOff>
      <xdr:row>716</xdr:row>
      <xdr:rowOff>114300</xdr:rowOff>
    </xdr:to>
    <xdr:sp macro="" textlink="">
      <xdr:nvSpPr>
        <xdr:cNvPr id="1740" name="AutoShape 716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650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717</xdr:row>
      <xdr:rowOff>0</xdr:rowOff>
    </xdr:from>
    <xdr:to>
      <xdr:col>4</xdr:col>
      <xdr:colOff>304800</xdr:colOff>
      <xdr:row>718</xdr:row>
      <xdr:rowOff>114300</xdr:rowOff>
    </xdr:to>
    <xdr:sp macro="" textlink="">
      <xdr:nvSpPr>
        <xdr:cNvPr id="1741" name="AutoShape 717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7085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717</xdr:row>
      <xdr:rowOff>0</xdr:rowOff>
    </xdr:from>
    <xdr:to>
      <xdr:col>5</xdr:col>
      <xdr:colOff>304800</xdr:colOff>
      <xdr:row>718</xdr:row>
      <xdr:rowOff>114300</xdr:rowOff>
    </xdr:to>
    <xdr:sp macro="" textlink="">
      <xdr:nvSpPr>
        <xdr:cNvPr id="1742" name="AutoShape 718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7085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719</xdr:row>
      <xdr:rowOff>0</xdr:rowOff>
    </xdr:from>
    <xdr:to>
      <xdr:col>4</xdr:col>
      <xdr:colOff>304800</xdr:colOff>
      <xdr:row>720</xdr:row>
      <xdr:rowOff>114300</xdr:rowOff>
    </xdr:to>
    <xdr:sp macro="" textlink="">
      <xdr:nvSpPr>
        <xdr:cNvPr id="1743" name="AutoShape 71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766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719</xdr:row>
      <xdr:rowOff>0</xdr:rowOff>
    </xdr:from>
    <xdr:to>
      <xdr:col>5</xdr:col>
      <xdr:colOff>304800</xdr:colOff>
      <xdr:row>720</xdr:row>
      <xdr:rowOff>114300</xdr:rowOff>
    </xdr:to>
    <xdr:sp macro="" textlink="">
      <xdr:nvSpPr>
        <xdr:cNvPr id="1744" name="AutoShape 720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766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721</xdr:row>
      <xdr:rowOff>0</xdr:rowOff>
    </xdr:from>
    <xdr:to>
      <xdr:col>4</xdr:col>
      <xdr:colOff>304800</xdr:colOff>
      <xdr:row>722</xdr:row>
      <xdr:rowOff>76200</xdr:rowOff>
    </xdr:to>
    <xdr:sp macro="" textlink="">
      <xdr:nvSpPr>
        <xdr:cNvPr id="1745" name="AutoShape 721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824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721</xdr:row>
      <xdr:rowOff>0</xdr:rowOff>
    </xdr:from>
    <xdr:to>
      <xdr:col>5</xdr:col>
      <xdr:colOff>304800</xdr:colOff>
      <xdr:row>722</xdr:row>
      <xdr:rowOff>76200</xdr:rowOff>
    </xdr:to>
    <xdr:sp macro="" textlink="">
      <xdr:nvSpPr>
        <xdr:cNvPr id="1746" name="AutoShape 722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824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723</xdr:row>
      <xdr:rowOff>0</xdr:rowOff>
    </xdr:from>
    <xdr:to>
      <xdr:col>4</xdr:col>
      <xdr:colOff>304800</xdr:colOff>
      <xdr:row>724</xdr:row>
      <xdr:rowOff>114300</xdr:rowOff>
    </xdr:to>
    <xdr:sp macro="" textlink="">
      <xdr:nvSpPr>
        <xdr:cNvPr id="1747" name="AutoShape 723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8675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723</xdr:row>
      <xdr:rowOff>0</xdr:rowOff>
    </xdr:from>
    <xdr:to>
      <xdr:col>5</xdr:col>
      <xdr:colOff>304800</xdr:colOff>
      <xdr:row>724</xdr:row>
      <xdr:rowOff>114300</xdr:rowOff>
    </xdr:to>
    <xdr:sp macro="" textlink="">
      <xdr:nvSpPr>
        <xdr:cNvPr id="1748" name="AutoShape 724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8675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725</xdr:row>
      <xdr:rowOff>0</xdr:rowOff>
    </xdr:from>
    <xdr:to>
      <xdr:col>4</xdr:col>
      <xdr:colOff>304800</xdr:colOff>
      <xdr:row>726</xdr:row>
      <xdr:rowOff>114300</xdr:rowOff>
    </xdr:to>
    <xdr:sp macro="" textlink="">
      <xdr:nvSpPr>
        <xdr:cNvPr id="1749" name="AutoShape 725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94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725</xdr:row>
      <xdr:rowOff>0</xdr:rowOff>
    </xdr:from>
    <xdr:to>
      <xdr:col>5</xdr:col>
      <xdr:colOff>304800</xdr:colOff>
      <xdr:row>726</xdr:row>
      <xdr:rowOff>114300</xdr:rowOff>
    </xdr:to>
    <xdr:sp macro="" textlink="">
      <xdr:nvSpPr>
        <xdr:cNvPr id="1750" name="AutoShape 726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94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727</xdr:row>
      <xdr:rowOff>0</xdr:rowOff>
    </xdr:from>
    <xdr:to>
      <xdr:col>4</xdr:col>
      <xdr:colOff>304800</xdr:colOff>
      <xdr:row>728</xdr:row>
      <xdr:rowOff>114300</xdr:rowOff>
    </xdr:to>
    <xdr:sp macro="" textlink="">
      <xdr:nvSpPr>
        <xdr:cNvPr id="1751" name="AutoShape 727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0028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727</xdr:row>
      <xdr:rowOff>0</xdr:rowOff>
    </xdr:from>
    <xdr:to>
      <xdr:col>5</xdr:col>
      <xdr:colOff>304800</xdr:colOff>
      <xdr:row>728</xdr:row>
      <xdr:rowOff>114300</xdr:rowOff>
    </xdr:to>
    <xdr:sp macro="" textlink="">
      <xdr:nvSpPr>
        <xdr:cNvPr id="1752" name="AutoShape 728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0028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729</xdr:row>
      <xdr:rowOff>0</xdr:rowOff>
    </xdr:from>
    <xdr:to>
      <xdr:col>4</xdr:col>
      <xdr:colOff>304800</xdr:colOff>
      <xdr:row>730</xdr:row>
      <xdr:rowOff>114300</xdr:rowOff>
    </xdr:to>
    <xdr:sp macro="" textlink="">
      <xdr:nvSpPr>
        <xdr:cNvPr id="1753" name="AutoShape 729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060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729</xdr:row>
      <xdr:rowOff>0</xdr:rowOff>
    </xdr:from>
    <xdr:to>
      <xdr:col>5</xdr:col>
      <xdr:colOff>304800</xdr:colOff>
      <xdr:row>730</xdr:row>
      <xdr:rowOff>114300</xdr:rowOff>
    </xdr:to>
    <xdr:sp macro="" textlink="">
      <xdr:nvSpPr>
        <xdr:cNvPr id="1754" name="AutoShape 730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060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731</xdr:row>
      <xdr:rowOff>0</xdr:rowOff>
    </xdr:from>
    <xdr:to>
      <xdr:col>4</xdr:col>
      <xdr:colOff>304800</xdr:colOff>
      <xdr:row>732</xdr:row>
      <xdr:rowOff>114300</xdr:rowOff>
    </xdr:to>
    <xdr:sp macro="" textlink="">
      <xdr:nvSpPr>
        <xdr:cNvPr id="1755" name="AutoShape 731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119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731</xdr:row>
      <xdr:rowOff>0</xdr:rowOff>
    </xdr:from>
    <xdr:to>
      <xdr:col>5</xdr:col>
      <xdr:colOff>304800</xdr:colOff>
      <xdr:row>732</xdr:row>
      <xdr:rowOff>114300</xdr:rowOff>
    </xdr:to>
    <xdr:sp macro="" textlink="">
      <xdr:nvSpPr>
        <xdr:cNvPr id="1756" name="AutoShape 732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119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733</xdr:row>
      <xdr:rowOff>0</xdr:rowOff>
    </xdr:from>
    <xdr:to>
      <xdr:col>4</xdr:col>
      <xdr:colOff>304800</xdr:colOff>
      <xdr:row>734</xdr:row>
      <xdr:rowOff>76200</xdr:rowOff>
    </xdr:to>
    <xdr:sp macro="" textlink="">
      <xdr:nvSpPr>
        <xdr:cNvPr id="1757" name="AutoShape 733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177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733</xdr:row>
      <xdr:rowOff>0</xdr:rowOff>
    </xdr:from>
    <xdr:to>
      <xdr:col>5</xdr:col>
      <xdr:colOff>304800</xdr:colOff>
      <xdr:row>734</xdr:row>
      <xdr:rowOff>76200</xdr:rowOff>
    </xdr:to>
    <xdr:sp macro="" textlink="">
      <xdr:nvSpPr>
        <xdr:cNvPr id="1758" name="AutoShape 73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177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735</xdr:row>
      <xdr:rowOff>0</xdr:rowOff>
    </xdr:from>
    <xdr:to>
      <xdr:col>4</xdr:col>
      <xdr:colOff>304800</xdr:colOff>
      <xdr:row>736</xdr:row>
      <xdr:rowOff>76200</xdr:rowOff>
    </xdr:to>
    <xdr:sp macro="" textlink="">
      <xdr:nvSpPr>
        <xdr:cNvPr id="1759" name="AutoShape 73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2199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735</xdr:row>
      <xdr:rowOff>0</xdr:rowOff>
    </xdr:from>
    <xdr:to>
      <xdr:col>5</xdr:col>
      <xdr:colOff>304800</xdr:colOff>
      <xdr:row>736</xdr:row>
      <xdr:rowOff>76200</xdr:rowOff>
    </xdr:to>
    <xdr:sp macro="" textlink="">
      <xdr:nvSpPr>
        <xdr:cNvPr id="1760" name="AutoShape 736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2199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737</xdr:row>
      <xdr:rowOff>0</xdr:rowOff>
    </xdr:from>
    <xdr:to>
      <xdr:col>4</xdr:col>
      <xdr:colOff>304800</xdr:colOff>
      <xdr:row>738</xdr:row>
      <xdr:rowOff>76200</xdr:rowOff>
    </xdr:to>
    <xdr:sp macro="" textlink="">
      <xdr:nvSpPr>
        <xdr:cNvPr id="1761" name="AutoShape 737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262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737</xdr:row>
      <xdr:rowOff>0</xdr:rowOff>
    </xdr:from>
    <xdr:to>
      <xdr:col>5</xdr:col>
      <xdr:colOff>304800</xdr:colOff>
      <xdr:row>738</xdr:row>
      <xdr:rowOff>76200</xdr:rowOff>
    </xdr:to>
    <xdr:sp macro="" textlink="">
      <xdr:nvSpPr>
        <xdr:cNvPr id="1762" name="AutoShape 738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262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739</xdr:row>
      <xdr:rowOff>0</xdr:rowOff>
    </xdr:from>
    <xdr:to>
      <xdr:col>4</xdr:col>
      <xdr:colOff>304800</xdr:colOff>
      <xdr:row>740</xdr:row>
      <xdr:rowOff>114300</xdr:rowOff>
    </xdr:to>
    <xdr:sp macro="" textlink="">
      <xdr:nvSpPr>
        <xdr:cNvPr id="1763" name="AutoShape 739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305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739</xdr:row>
      <xdr:rowOff>0</xdr:rowOff>
    </xdr:from>
    <xdr:to>
      <xdr:col>5</xdr:col>
      <xdr:colOff>304800</xdr:colOff>
      <xdr:row>740</xdr:row>
      <xdr:rowOff>114300</xdr:rowOff>
    </xdr:to>
    <xdr:sp macro="" textlink="">
      <xdr:nvSpPr>
        <xdr:cNvPr id="1764" name="AutoShape 740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305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741</xdr:row>
      <xdr:rowOff>0</xdr:rowOff>
    </xdr:from>
    <xdr:to>
      <xdr:col>4</xdr:col>
      <xdr:colOff>304800</xdr:colOff>
      <xdr:row>742</xdr:row>
      <xdr:rowOff>114300</xdr:rowOff>
    </xdr:to>
    <xdr:sp macro="" textlink="">
      <xdr:nvSpPr>
        <xdr:cNvPr id="1765" name="AutoShape 741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36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741</xdr:row>
      <xdr:rowOff>0</xdr:rowOff>
    </xdr:from>
    <xdr:to>
      <xdr:col>5</xdr:col>
      <xdr:colOff>304800</xdr:colOff>
      <xdr:row>742</xdr:row>
      <xdr:rowOff>114300</xdr:rowOff>
    </xdr:to>
    <xdr:sp macro="" textlink="">
      <xdr:nvSpPr>
        <xdr:cNvPr id="1766" name="AutoShape 742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36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743</xdr:row>
      <xdr:rowOff>0</xdr:rowOff>
    </xdr:from>
    <xdr:to>
      <xdr:col>4</xdr:col>
      <xdr:colOff>304800</xdr:colOff>
      <xdr:row>744</xdr:row>
      <xdr:rowOff>114300</xdr:rowOff>
    </xdr:to>
    <xdr:sp macro="" textlink="">
      <xdr:nvSpPr>
        <xdr:cNvPr id="1767" name="AutoShape 743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4219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743</xdr:row>
      <xdr:rowOff>0</xdr:rowOff>
    </xdr:from>
    <xdr:to>
      <xdr:col>5</xdr:col>
      <xdr:colOff>304800</xdr:colOff>
      <xdr:row>744</xdr:row>
      <xdr:rowOff>114300</xdr:rowOff>
    </xdr:to>
    <xdr:sp macro="" textlink="">
      <xdr:nvSpPr>
        <xdr:cNvPr id="1768" name="AutoShape 744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4219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745</xdr:row>
      <xdr:rowOff>0</xdr:rowOff>
    </xdr:from>
    <xdr:to>
      <xdr:col>4</xdr:col>
      <xdr:colOff>304800</xdr:colOff>
      <xdr:row>746</xdr:row>
      <xdr:rowOff>114300</xdr:rowOff>
    </xdr:to>
    <xdr:sp macro="" textlink="">
      <xdr:nvSpPr>
        <xdr:cNvPr id="1769" name="AutoShape 74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480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745</xdr:row>
      <xdr:rowOff>0</xdr:rowOff>
    </xdr:from>
    <xdr:to>
      <xdr:col>5</xdr:col>
      <xdr:colOff>304800</xdr:colOff>
      <xdr:row>746</xdr:row>
      <xdr:rowOff>114300</xdr:rowOff>
    </xdr:to>
    <xdr:sp macro="" textlink="">
      <xdr:nvSpPr>
        <xdr:cNvPr id="1770" name="AutoShape 746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480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747</xdr:row>
      <xdr:rowOff>0</xdr:rowOff>
    </xdr:from>
    <xdr:to>
      <xdr:col>4</xdr:col>
      <xdr:colOff>304800</xdr:colOff>
      <xdr:row>748</xdr:row>
      <xdr:rowOff>114300</xdr:rowOff>
    </xdr:to>
    <xdr:sp macro="" textlink="">
      <xdr:nvSpPr>
        <xdr:cNvPr id="1771" name="AutoShape 747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5190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747</xdr:row>
      <xdr:rowOff>0</xdr:rowOff>
    </xdr:from>
    <xdr:to>
      <xdr:col>5</xdr:col>
      <xdr:colOff>304800</xdr:colOff>
      <xdr:row>748</xdr:row>
      <xdr:rowOff>114300</xdr:rowOff>
    </xdr:to>
    <xdr:sp macro="" textlink="">
      <xdr:nvSpPr>
        <xdr:cNvPr id="1772" name="AutoShape 748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5190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749</xdr:row>
      <xdr:rowOff>0</xdr:rowOff>
    </xdr:from>
    <xdr:to>
      <xdr:col>4</xdr:col>
      <xdr:colOff>304800</xdr:colOff>
      <xdr:row>750</xdr:row>
      <xdr:rowOff>114300</xdr:rowOff>
    </xdr:to>
    <xdr:sp macro="" textlink="">
      <xdr:nvSpPr>
        <xdr:cNvPr id="1773" name="AutoShape 749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5771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749</xdr:row>
      <xdr:rowOff>0</xdr:rowOff>
    </xdr:from>
    <xdr:to>
      <xdr:col>5</xdr:col>
      <xdr:colOff>304800</xdr:colOff>
      <xdr:row>750</xdr:row>
      <xdr:rowOff>114300</xdr:rowOff>
    </xdr:to>
    <xdr:sp macro="" textlink="">
      <xdr:nvSpPr>
        <xdr:cNvPr id="1774" name="AutoShape 750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5771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751</xdr:row>
      <xdr:rowOff>0</xdr:rowOff>
    </xdr:from>
    <xdr:to>
      <xdr:col>4</xdr:col>
      <xdr:colOff>304800</xdr:colOff>
      <xdr:row>752</xdr:row>
      <xdr:rowOff>114300</xdr:rowOff>
    </xdr:to>
    <xdr:sp macro="" textlink="">
      <xdr:nvSpPr>
        <xdr:cNvPr id="1775" name="AutoShape 751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635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751</xdr:row>
      <xdr:rowOff>0</xdr:rowOff>
    </xdr:from>
    <xdr:to>
      <xdr:col>5</xdr:col>
      <xdr:colOff>304800</xdr:colOff>
      <xdr:row>752</xdr:row>
      <xdr:rowOff>114300</xdr:rowOff>
    </xdr:to>
    <xdr:sp macro="" textlink="">
      <xdr:nvSpPr>
        <xdr:cNvPr id="1776" name="AutoShape 752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635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753</xdr:row>
      <xdr:rowOff>0</xdr:rowOff>
    </xdr:from>
    <xdr:to>
      <xdr:col>4</xdr:col>
      <xdr:colOff>304800</xdr:colOff>
      <xdr:row>754</xdr:row>
      <xdr:rowOff>114300</xdr:rowOff>
    </xdr:to>
    <xdr:sp macro="" textlink="">
      <xdr:nvSpPr>
        <xdr:cNvPr id="1777" name="AutoShape 753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69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753</xdr:row>
      <xdr:rowOff>0</xdr:rowOff>
    </xdr:from>
    <xdr:to>
      <xdr:col>5</xdr:col>
      <xdr:colOff>304800</xdr:colOff>
      <xdr:row>754</xdr:row>
      <xdr:rowOff>114300</xdr:rowOff>
    </xdr:to>
    <xdr:sp macro="" textlink="">
      <xdr:nvSpPr>
        <xdr:cNvPr id="1778" name="AutoShape 754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69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755</xdr:row>
      <xdr:rowOff>0</xdr:rowOff>
    </xdr:from>
    <xdr:to>
      <xdr:col>4</xdr:col>
      <xdr:colOff>304800</xdr:colOff>
      <xdr:row>756</xdr:row>
      <xdr:rowOff>114300</xdr:rowOff>
    </xdr:to>
    <xdr:sp macro="" textlink="">
      <xdr:nvSpPr>
        <xdr:cNvPr id="1779" name="AutoShape 755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751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755</xdr:row>
      <xdr:rowOff>0</xdr:rowOff>
    </xdr:from>
    <xdr:to>
      <xdr:col>5</xdr:col>
      <xdr:colOff>304800</xdr:colOff>
      <xdr:row>756</xdr:row>
      <xdr:rowOff>114300</xdr:rowOff>
    </xdr:to>
    <xdr:sp macro="" textlink="">
      <xdr:nvSpPr>
        <xdr:cNvPr id="1780" name="AutoShape 756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751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757</xdr:row>
      <xdr:rowOff>0</xdr:rowOff>
    </xdr:from>
    <xdr:to>
      <xdr:col>4</xdr:col>
      <xdr:colOff>304800</xdr:colOff>
      <xdr:row>758</xdr:row>
      <xdr:rowOff>114300</xdr:rowOff>
    </xdr:to>
    <xdr:sp macro="" textlink="">
      <xdr:nvSpPr>
        <xdr:cNvPr id="1781" name="AutoShape 757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809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757</xdr:row>
      <xdr:rowOff>0</xdr:rowOff>
    </xdr:from>
    <xdr:to>
      <xdr:col>5</xdr:col>
      <xdr:colOff>304800</xdr:colOff>
      <xdr:row>758</xdr:row>
      <xdr:rowOff>114300</xdr:rowOff>
    </xdr:to>
    <xdr:sp macro="" textlink="">
      <xdr:nvSpPr>
        <xdr:cNvPr id="1782" name="AutoShape 75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809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759</xdr:row>
      <xdr:rowOff>0</xdr:rowOff>
    </xdr:from>
    <xdr:to>
      <xdr:col>4</xdr:col>
      <xdr:colOff>304800</xdr:colOff>
      <xdr:row>760</xdr:row>
      <xdr:rowOff>76200</xdr:rowOff>
    </xdr:to>
    <xdr:sp macro="" textlink="">
      <xdr:nvSpPr>
        <xdr:cNvPr id="1783" name="AutoShape 759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867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759</xdr:row>
      <xdr:rowOff>0</xdr:rowOff>
    </xdr:from>
    <xdr:to>
      <xdr:col>5</xdr:col>
      <xdr:colOff>304800</xdr:colOff>
      <xdr:row>760</xdr:row>
      <xdr:rowOff>76200</xdr:rowOff>
    </xdr:to>
    <xdr:sp macro="" textlink="">
      <xdr:nvSpPr>
        <xdr:cNvPr id="1784" name="AutoShape 760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867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761</xdr:row>
      <xdr:rowOff>0</xdr:rowOff>
    </xdr:from>
    <xdr:to>
      <xdr:col>4</xdr:col>
      <xdr:colOff>304800</xdr:colOff>
      <xdr:row>762</xdr:row>
      <xdr:rowOff>114300</xdr:rowOff>
    </xdr:to>
    <xdr:sp macro="" textlink="">
      <xdr:nvSpPr>
        <xdr:cNvPr id="1785" name="AutoShape 76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91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761</xdr:row>
      <xdr:rowOff>0</xdr:rowOff>
    </xdr:from>
    <xdr:to>
      <xdr:col>5</xdr:col>
      <xdr:colOff>304800</xdr:colOff>
      <xdr:row>762</xdr:row>
      <xdr:rowOff>114300</xdr:rowOff>
    </xdr:to>
    <xdr:sp macro="" textlink="">
      <xdr:nvSpPr>
        <xdr:cNvPr id="1786" name="AutoShape 762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91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763</xdr:row>
      <xdr:rowOff>0</xdr:rowOff>
    </xdr:from>
    <xdr:to>
      <xdr:col>4</xdr:col>
      <xdr:colOff>304800</xdr:colOff>
      <xdr:row>764</xdr:row>
      <xdr:rowOff>76200</xdr:rowOff>
    </xdr:to>
    <xdr:sp macro="" textlink="">
      <xdr:nvSpPr>
        <xdr:cNvPr id="1787" name="AutoShape 763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96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763</xdr:row>
      <xdr:rowOff>0</xdr:rowOff>
    </xdr:from>
    <xdr:to>
      <xdr:col>5</xdr:col>
      <xdr:colOff>304800</xdr:colOff>
      <xdr:row>764</xdr:row>
      <xdr:rowOff>76200</xdr:rowOff>
    </xdr:to>
    <xdr:sp macro="" textlink="">
      <xdr:nvSpPr>
        <xdr:cNvPr id="1788" name="AutoShape 764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96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765</xdr:row>
      <xdr:rowOff>0</xdr:rowOff>
    </xdr:from>
    <xdr:to>
      <xdr:col>4</xdr:col>
      <xdr:colOff>304800</xdr:colOff>
      <xdr:row>766</xdr:row>
      <xdr:rowOff>114300</xdr:rowOff>
    </xdr:to>
    <xdr:sp macro="" textlink="">
      <xdr:nvSpPr>
        <xdr:cNvPr id="1789" name="AutoShape 76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0115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765</xdr:row>
      <xdr:rowOff>0</xdr:rowOff>
    </xdr:from>
    <xdr:to>
      <xdr:col>5</xdr:col>
      <xdr:colOff>304800</xdr:colOff>
      <xdr:row>766</xdr:row>
      <xdr:rowOff>114300</xdr:rowOff>
    </xdr:to>
    <xdr:sp macro="" textlink="">
      <xdr:nvSpPr>
        <xdr:cNvPr id="1790" name="AutoShape 76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0115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767</xdr:row>
      <xdr:rowOff>0</xdr:rowOff>
    </xdr:from>
    <xdr:to>
      <xdr:col>4</xdr:col>
      <xdr:colOff>304800</xdr:colOff>
      <xdr:row>768</xdr:row>
      <xdr:rowOff>114300</xdr:rowOff>
    </xdr:to>
    <xdr:sp macro="" textlink="">
      <xdr:nvSpPr>
        <xdr:cNvPr id="1791" name="AutoShape 767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0696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767</xdr:row>
      <xdr:rowOff>0</xdr:rowOff>
    </xdr:from>
    <xdr:to>
      <xdr:col>5</xdr:col>
      <xdr:colOff>304800</xdr:colOff>
      <xdr:row>768</xdr:row>
      <xdr:rowOff>114300</xdr:rowOff>
    </xdr:to>
    <xdr:sp macro="" textlink="">
      <xdr:nvSpPr>
        <xdr:cNvPr id="1792" name="AutoShape 768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0696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769</xdr:row>
      <xdr:rowOff>0</xdr:rowOff>
    </xdr:from>
    <xdr:to>
      <xdr:col>4</xdr:col>
      <xdr:colOff>304800</xdr:colOff>
      <xdr:row>770</xdr:row>
      <xdr:rowOff>114300</xdr:rowOff>
    </xdr:to>
    <xdr:sp macro="" textlink="">
      <xdr:nvSpPr>
        <xdr:cNvPr id="1793" name="AutoShape 769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127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769</xdr:row>
      <xdr:rowOff>0</xdr:rowOff>
    </xdr:from>
    <xdr:to>
      <xdr:col>5</xdr:col>
      <xdr:colOff>304800</xdr:colOff>
      <xdr:row>770</xdr:row>
      <xdr:rowOff>114300</xdr:rowOff>
    </xdr:to>
    <xdr:sp macro="" textlink="">
      <xdr:nvSpPr>
        <xdr:cNvPr id="1794" name="AutoShape 770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127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771</xdr:row>
      <xdr:rowOff>0</xdr:rowOff>
    </xdr:from>
    <xdr:to>
      <xdr:col>4</xdr:col>
      <xdr:colOff>304800</xdr:colOff>
      <xdr:row>772</xdr:row>
      <xdr:rowOff>76200</xdr:rowOff>
    </xdr:to>
    <xdr:sp macro="" textlink="">
      <xdr:nvSpPr>
        <xdr:cNvPr id="1795" name="AutoShape 771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185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771</xdr:row>
      <xdr:rowOff>0</xdr:rowOff>
    </xdr:from>
    <xdr:to>
      <xdr:col>5</xdr:col>
      <xdr:colOff>304800</xdr:colOff>
      <xdr:row>772</xdr:row>
      <xdr:rowOff>76200</xdr:rowOff>
    </xdr:to>
    <xdr:sp macro="" textlink="">
      <xdr:nvSpPr>
        <xdr:cNvPr id="1796" name="AutoShape 772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185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773</xdr:row>
      <xdr:rowOff>0</xdr:rowOff>
    </xdr:from>
    <xdr:to>
      <xdr:col>4</xdr:col>
      <xdr:colOff>304800</xdr:colOff>
      <xdr:row>774</xdr:row>
      <xdr:rowOff>114300</xdr:rowOff>
    </xdr:to>
    <xdr:sp macro="" textlink="">
      <xdr:nvSpPr>
        <xdr:cNvPr id="1797" name="AutoShape 773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228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773</xdr:row>
      <xdr:rowOff>0</xdr:rowOff>
    </xdr:from>
    <xdr:to>
      <xdr:col>5</xdr:col>
      <xdr:colOff>304800</xdr:colOff>
      <xdr:row>774</xdr:row>
      <xdr:rowOff>114300</xdr:rowOff>
    </xdr:to>
    <xdr:sp macro="" textlink="">
      <xdr:nvSpPr>
        <xdr:cNvPr id="1798" name="AutoShape 774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228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775</xdr:row>
      <xdr:rowOff>0</xdr:rowOff>
    </xdr:from>
    <xdr:to>
      <xdr:col>4</xdr:col>
      <xdr:colOff>304800</xdr:colOff>
      <xdr:row>776</xdr:row>
      <xdr:rowOff>114300</xdr:rowOff>
    </xdr:to>
    <xdr:sp macro="" textlink="">
      <xdr:nvSpPr>
        <xdr:cNvPr id="1799" name="AutoShape 775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286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775</xdr:row>
      <xdr:rowOff>0</xdr:rowOff>
    </xdr:from>
    <xdr:to>
      <xdr:col>5</xdr:col>
      <xdr:colOff>304800</xdr:colOff>
      <xdr:row>776</xdr:row>
      <xdr:rowOff>114300</xdr:rowOff>
    </xdr:to>
    <xdr:sp macro="" textlink="">
      <xdr:nvSpPr>
        <xdr:cNvPr id="1800" name="AutoShape 776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286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777</xdr:row>
      <xdr:rowOff>0</xdr:rowOff>
    </xdr:from>
    <xdr:to>
      <xdr:col>4</xdr:col>
      <xdr:colOff>304800</xdr:colOff>
      <xdr:row>778</xdr:row>
      <xdr:rowOff>76200</xdr:rowOff>
    </xdr:to>
    <xdr:sp macro="" textlink="">
      <xdr:nvSpPr>
        <xdr:cNvPr id="1801" name="AutoShape 777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344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777</xdr:row>
      <xdr:rowOff>0</xdr:rowOff>
    </xdr:from>
    <xdr:to>
      <xdr:col>5</xdr:col>
      <xdr:colOff>304800</xdr:colOff>
      <xdr:row>778</xdr:row>
      <xdr:rowOff>76200</xdr:rowOff>
    </xdr:to>
    <xdr:sp macro="" textlink="">
      <xdr:nvSpPr>
        <xdr:cNvPr id="1802" name="AutoShape 77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344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779</xdr:row>
      <xdr:rowOff>0</xdr:rowOff>
    </xdr:from>
    <xdr:to>
      <xdr:col>4</xdr:col>
      <xdr:colOff>304800</xdr:colOff>
      <xdr:row>780</xdr:row>
      <xdr:rowOff>114300</xdr:rowOff>
    </xdr:to>
    <xdr:sp macro="" textlink="">
      <xdr:nvSpPr>
        <xdr:cNvPr id="1803" name="AutoShape 779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3877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779</xdr:row>
      <xdr:rowOff>0</xdr:rowOff>
    </xdr:from>
    <xdr:to>
      <xdr:col>5</xdr:col>
      <xdr:colOff>304800</xdr:colOff>
      <xdr:row>780</xdr:row>
      <xdr:rowOff>114300</xdr:rowOff>
    </xdr:to>
    <xdr:sp macro="" textlink="">
      <xdr:nvSpPr>
        <xdr:cNvPr id="1804" name="AutoShape 780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3877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781</xdr:row>
      <xdr:rowOff>0</xdr:rowOff>
    </xdr:from>
    <xdr:to>
      <xdr:col>4</xdr:col>
      <xdr:colOff>304800</xdr:colOff>
      <xdr:row>782</xdr:row>
      <xdr:rowOff>114300</xdr:rowOff>
    </xdr:to>
    <xdr:sp macro="" textlink="">
      <xdr:nvSpPr>
        <xdr:cNvPr id="1805" name="AutoShape 78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4458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781</xdr:row>
      <xdr:rowOff>0</xdr:rowOff>
    </xdr:from>
    <xdr:to>
      <xdr:col>5</xdr:col>
      <xdr:colOff>304800</xdr:colOff>
      <xdr:row>782</xdr:row>
      <xdr:rowOff>114300</xdr:rowOff>
    </xdr:to>
    <xdr:sp macro="" textlink="">
      <xdr:nvSpPr>
        <xdr:cNvPr id="1806" name="AutoShape 782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4458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783</xdr:row>
      <xdr:rowOff>0</xdr:rowOff>
    </xdr:from>
    <xdr:to>
      <xdr:col>4</xdr:col>
      <xdr:colOff>304800</xdr:colOff>
      <xdr:row>784</xdr:row>
      <xdr:rowOff>114300</xdr:rowOff>
    </xdr:to>
    <xdr:sp macro="" textlink="">
      <xdr:nvSpPr>
        <xdr:cNvPr id="1807" name="AutoShape 783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5230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783</xdr:row>
      <xdr:rowOff>0</xdr:rowOff>
    </xdr:from>
    <xdr:to>
      <xdr:col>5</xdr:col>
      <xdr:colOff>304800</xdr:colOff>
      <xdr:row>784</xdr:row>
      <xdr:rowOff>114300</xdr:rowOff>
    </xdr:to>
    <xdr:sp macro="" textlink="">
      <xdr:nvSpPr>
        <xdr:cNvPr id="1808" name="AutoShape 784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5230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785</xdr:row>
      <xdr:rowOff>0</xdr:rowOff>
    </xdr:from>
    <xdr:to>
      <xdr:col>4</xdr:col>
      <xdr:colOff>304800</xdr:colOff>
      <xdr:row>786</xdr:row>
      <xdr:rowOff>114300</xdr:rowOff>
    </xdr:to>
    <xdr:sp macro="" textlink="">
      <xdr:nvSpPr>
        <xdr:cNvPr id="1809" name="AutoShape 785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581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785</xdr:row>
      <xdr:rowOff>0</xdr:rowOff>
    </xdr:from>
    <xdr:to>
      <xdr:col>5</xdr:col>
      <xdr:colOff>304800</xdr:colOff>
      <xdr:row>786</xdr:row>
      <xdr:rowOff>114300</xdr:rowOff>
    </xdr:to>
    <xdr:sp macro="" textlink="">
      <xdr:nvSpPr>
        <xdr:cNvPr id="1810" name="AutoShape 786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581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787</xdr:row>
      <xdr:rowOff>0</xdr:rowOff>
    </xdr:from>
    <xdr:to>
      <xdr:col>4</xdr:col>
      <xdr:colOff>304800</xdr:colOff>
      <xdr:row>788</xdr:row>
      <xdr:rowOff>114300</xdr:rowOff>
    </xdr:to>
    <xdr:sp macro="" textlink="">
      <xdr:nvSpPr>
        <xdr:cNvPr id="1811" name="AutoShape 787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6392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787</xdr:row>
      <xdr:rowOff>0</xdr:rowOff>
    </xdr:from>
    <xdr:to>
      <xdr:col>5</xdr:col>
      <xdr:colOff>304800</xdr:colOff>
      <xdr:row>788</xdr:row>
      <xdr:rowOff>114300</xdr:rowOff>
    </xdr:to>
    <xdr:sp macro="" textlink="">
      <xdr:nvSpPr>
        <xdr:cNvPr id="1812" name="AutoShape 788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6392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789</xdr:row>
      <xdr:rowOff>0</xdr:rowOff>
    </xdr:from>
    <xdr:to>
      <xdr:col>4</xdr:col>
      <xdr:colOff>304800</xdr:colOff>
      <xdr:row>790</xdr:row>
      <xdr:rowOff>114300</xdr:rowOff>
    </xdr:to>
    <xdr:sp macro="" textlink="">
      <xdr:nvSpPr>
        <xdr:cNvPr id="1813" name="AutoShape 789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697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789</xdr:row>
      <xdr:rowOff>0</xdr:rowOff>
    </xdr:from>
    <xdr:to>
      <xdr:col>5</xdr:col>
      <xdr:colOff>304800</xdr:colOff>
      <xdr:row>790</xdr:row>
      <xdr:rowOff>114300</xdr:rowOff>
    </xdr:to>
    <xdr:sp macro="" textlink="">
      <xdr:nvSpPr>
        <xdr:cNvPr id="1814" name="AutoShape 790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697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791</xdr:row>
      <xdr:rowOff>0</xdr:rowOff>
    </xdr:from>
    <xdr:to>
      <xdr:col>4</xdr:col>
      <xdr:colOff>304800</xdr:colOff>
      <xdr:row>792</xdr:row>
      <xdr:rowOff>76200</xdr:rowOff>
    </xdr:to>
    <xdr:sp macro="" textlink="">
      <xdr:nvSpPr>
        <xdr:cNvPr id="1815" name="AutoShape 79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755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791</xdr:row>
      <xdr:rowOff>0</xdr:rowOff>
    </xdr:from>
    <xdr:to>
      <xdr:col>5</xdr:col>
      <xdr:colOff>304800</xdr:colOff>
      <xdr:row>792</xdr:row>
      <xdr:rowOff>76200</xdr:rowOff>
    </xdr:to>
    <xdr:sp macro="" textlink="">
      <xdr:nvSpPr>
        <xdr:cNvPr id="1816" name="AutoShape 792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755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793</xdr:row>
      <xdr:rowOff>0</xdr:rowOff>
    </xdr:from>
    <xdr:to>
      <xdr:col>4</xdr:col>
      <xdr:colOff>304800</xdr:colOff>
      <xdr:row>794</xdr:row>
      <xdr:rowOff>114300</xdr:rowOff>
    </xdr:to>
    <xdr:sp macro="" textlink="">
      <xdr:nvSpPr>
        <xdr:cNvPr id="1817" name="AutoShape 793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798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793</xdr:row>
      <xdr:rowOff>0</xdr:rowOff>
    </xdr:from>
    <xdr:to>
      <xdr:col>5</xdr:col>
      <xdr:colOff>304800</xdr:colOff>
      <xdr:row>794</xdr:row>
      <xdr:rowOff>114300</xdr:rowOff>
    </xdr:to>
    <xdr:sp macro="" textlink="">
      <xdr:nvSpPr>
        <xdr:cNvPr id="1818" name="AutoShape 794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798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795</xdr:row>
      <xdr:rowOff>0</xdr:rowOff>
    </xdr:from>
    <xdr:to>
      <xdr:col>4</xdr:col>
      <xdr:colOff>304800</xdr:colOff>
      <xdr:row>796</xdr:row>
      <xdr:rowOff>114300</xdr:rowOff>
    </xdr:to>
    <xdr:sp macro="" textlink="">
      <xdr:nvSpPr>
        <xdr:cNvPr id="1819" name="AutoShape 795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856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795</xdr:row>
      <xdr:rowOff>0</xdr:rowOff>
    </xdr:from>
    <xdr:to>
      <xdr:col>5</xdr:col>
      <xdr:colOff>304800</xdr:colOff>
      <xdr:row>796</xdr:row>
      <xdr:rowOff>114300</xdr:rowOff>
    </xdr:to>
    <xdr:sp macro="" textlink="">
      <xdr:nvSpPr>
        <xdr:cNvPr id="1820" name="AutoShape 79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856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797</xdr:row>
      <xdr:rowOff>0</xdr:rowOff>
    </xdr:from>
    <xdr:to>
      <xdr:col>4</xdr:col>
      <xdr:colOff>304800</xdr:colOff>
      <xdr:row>798</xdr:row>
      <xdr:rowOff>76200</xdr:rowOff>
    </xdr:to>
    <xdr:sp macro="" textlink="">
      <xdr:nvSpPr>
        <xdr:cNvPr id="1821" name="AutoShape 797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914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797</xdr:row>
      <xdr:rowOff>0</xdr:rowOff>
    </xdr:from>
    <xdr:to>
      <xdr:col>5</xdr:col>
      <xdr:colOff>304800</xdr:colOff>
      <xdr:row>798</xdr:row>
      <xdr:rowOff>76200</xdr:rowOff>
    </xdr:to>
    <xdr:sp macro="" textlink="">
      <xdr:nvSpPr>
        <xdr:cNvPr id="1822" name="AutoShape 798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914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799</xdr:row>
      <xdr:rowOff>0</xdr:rowOff>
    </xdr:from>
    <xdr:to>
      <xdr:col>4</xdr:col>
      <xdr:colOff>304800</xdr:colOff>
      <xdr:row>800</xdr:row>
      <xdr:rowOff>114300</xdr:rowOff>
    </xdr:to>
    <xdr:sp macro="" textlink="">
      <xdr:nvSpPr>
        <xdr:cNvPr id="1823" name="AutoShape 799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957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799</xdr:row>
      <xdr:rowOff>0</xdr:rowOff>
    </xdr:from>
    <xdr:to>
      <xdr:col>5</xdr:col>
      <xdr:colOff>304800</xdr:colOff>
      <xdr:row>800</xdr:row>
      <xdr:rowOff>114300</xdr:rowOff>
    </xdr:to>
    <xdr:sp macro="" textlink="">
      <xdr:nvSpPr>
        <xdr:cNvPr id="1824" name="AutoShape 800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957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801</xdr:row>
      <xdr:rowOff>0</xdr:rowOff>
    </xdr:from>
    <xdr:to>
      <xdr:col>4</xdr:col>
      <xdr:colOff>304800</xdr:colOff>
      <xdr:row>802</xdr:row>
      <xdr:rowOff>76200</xdr:rowOff>
    </xdr:to>
    <xdr:sp macro="" textlink="">
      <xdr:nvSpPr>
        <xdr:cNvPr id="1825" name="AutoShape 801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996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801</xdr:row>
      <xdr:rowOff>0</xdr:rowOff>
    </xdr:from>
    <xdr:to>
      <xdr:col>5</xdr:col>
      <xdr:colOff>304800</xdr:colOff>
      <xdr:row>802</xdr:row>
      <xdr:rowOff>76200</xdr:rowOff>
    </xdr:to>
    <xdr:sp macro="" textlink="">
      <xdr:nvSpPr>
        <xdr:cNvPr id="1826" name="AutoShape 802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996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803</xdr:row>
      <xdr:rowOff>0</xdr:rowOff>
    </xdr:from>
    <xdr:to>
      <xdr:col>4</xdr:col>
      <xdr:colOff>304800</xdr:colOff>
      <xdr:row>804</xdr:row>
      <xdr:rowOff>114300</xdr:rowOff>
    </xdr:to>
    <xdr:sp macro="" textlink="">
      <xdr:nvSpPr>
        <xdr:cNvPr id="1827" name="AutoShape 803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039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803</xdr:row>
      <xdr:rowOff>0</xdr:rowOff>
    </xdr:from>
    <xdr:to>
      <xdr:col>5</xdr:col>
      <xdr:colOff>304800</xdr:colOff>
      <xdr:row>804</xdr:row>
      <xdr:rowOff>114300</xdr:rowOff>
    </xdr:to>
    <xdr:sp macro="" textlink="">
      <xdr:nvSpPr>
        <xdr:cNvPr id="1828" name="AutoShape 80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039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805</xdr:row>
      <xdr:rowOff>0</xdr:rowOff>
    </xdr:from>
    <xdr:to>
      <xdr:col>4</xdr:col>
      <xdr:colOff>304800</xdr:colOff>
      <xdr:row>806</xdr:row>
      <xdr:rowOff>114300</xdr:rowOff>
    </xdr:to>
    <xdr:sp macro="" textlink="">
      <xdr:nvSpPr>
        <xdr:cNvPr id="1829" name="AutoShape 80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0973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805</xdr:row>
      <xdr:rowOff>0</xdr:rowOff>
    </xdr:from>
    <xdr:to>
      <xdr:col>5</xdr:col>
      <xdr:colOff>304800</xdr:colOff>
      <xdr:row>806</xdr:row>
      <xdr:rowOff>114300</xdr:rowOff>
    </xdr:to>
    <xdr:sp macro="" textlink="">
      <xdr:nvSpPr>
        <xdr:cNvPr id="1830" name="AutoShape 806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0973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807</xdr:row>
      <xdr:rowOff>0</xdr:rowOff>
    </xdr:from>
    <xdr:to>
      <xdr:col>4</xdr:col>
      <xdr:colOff>304800</xdr:colOff>
      <xdr:row>808</xdr:row>
      <xdr:rowOff>114300</xdr:rowOff>
    </xdr:to>
    <xdr:sp macro="" textlink="">
      <xdr:nvSpPr>
        <xdr:cNvPr id="1831" name="AutoShape 807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1554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807</xdr:row>
      <xdr:rowOff>0</xdr:rowOff>
    </xdr:from>
    <xdr:to>
      <xdr:col>5</xdr:col>
      <xdr:colOff>304800</xdr:colOff>
      <xdr:row>808</xdr:row>
      <xdr:rowOff>114300</xdr:rowOff>
    </xdr:to>
    <xdr:sp macro="" textlink="">
      <xdr:nvSpPr>
        <xdr:cNvPr id="1832" name="AutoShape 80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1554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809</xdr:row>
      <xdr:rowOff>0</xdr:rowOff>
    </xdr:from>
    <xdr:to>
      <xdr:col>4</xdr:col>
      <xdr:colOff>304800</xdr:colOff>
      <xdr:row>810</xdr:row>
      <xdr:rowOff>114300</xdr:rowOff>
    </xdr:to>
    <xdr:sp macro="" textlink="">
      <xdr:nvSpPr>
        <xdr:cNvPr id="1833" name="AutoShape 809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213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809</xdr:row>
      <xdr:rowOff>0</xdr:rowOff>
    </xdr:from>
    <xdr:to>
      <xdr:col>5</xdr:col>
      <xdr:colOff>304800</xdr:colOff>
      <xdr:row>810</xdr:row>
      <xdr:rowOff>114300</xdr:rowOff>
    </xdr:to>
    <xdr:sp macro="" textlink="">
      <xdr:nvSpPr>
        <xdr:cNvPr id="1834" name="AutoShape 810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213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811</xdr:row>
      <xdr:rowOff>0</xdr:rowOff>
    </xdr:from>
    <xdr:to>
      <xdr:col>4</xdr:col>
      <xdr:colOff>304800</xdr:colOff>
      <xdr:row>812</xdr:row>
      <xdr:rowOff>114300</xdr:rowOff>
    </xdr:to>
    <xdr:sp macro="" textlink="">
      <xdr:nvSpPr>
        <xdr:cNvPr id="1835" name="AutoShape 811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2716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811</xdr:row>
      <xdr:rowOff>0</xdr:rowOff>
    </xdr:from>
    <xdr:to>
      <xdr:col>5</xdr:col>
      <xdr:colOff>304800</xdr:colOff>
      <xdr:row>812</xdr:row>
      <xdr:rowOff>114300</xdr:rowOff>
    </xdr:to>
    <xdr:sp macro="" textlink="">
      <xdr:nvSpPr>
        <xdr:cNvPr id="1836" name="AutoShape 812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2716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813</xdr:row>
      <xdr:rowOff>0</xdr:rowOff>
    </xdr:from>
    <xdr:to>
      <xdr:col>4</xdr:col>
      <xdr:colOff>304800</xdr:colOff>
      <xdr:row>814</xdr:row>
      <xdr:rowOff>114300</xdr:rowOff>
    </xdr:to>
    <xdr:sp macro="" textlink="">
      <xdr:nvSpPr>
        <xdr:cNvPr id="1837" name="AutoShape 813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329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813</xdr:row>
      <xdr:rowOff>0</xdr:rowOff>
    </xdr:from>
    <xdr:to>
      <xdr:col>5</xdr:col>
      <xdr:colOff>304800</xdr:colOff>
      <xdr:row>814</xdr:row>
      <xdr:rowOff>114300</xdr:rowOff>
    </xdr:to>
    <xdr:sp macro="" textlink="">
      <xdr:nvSpPr>
        <xdr:cNvPr id="1838" name="AutoShape 814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329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815</xdr:row>
      <xdr:rowOff>0</xdr:rowOff>
    </xdr:from>
    <xdr:to>
      <xdr:col>4</xdr:col>
      <xdr:colOff>304800</xdr:colOff>
      <xdr:row>816</xdr:row>
      <xdr:rowOff>76200</xdr:rowOff>
    </xdr:to>
    <xdr:sp macro="" textlink="">
      <xdr:nvSpPr>
        <xdr:cNvPr id="1839" name="AutoShape 81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387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815</xdr:row>
      <xdr:rowOff>0</xdr:rowOff>
    </xdr:from>
    <xdr:to>
      <xdr:col>5</xdr:col>
      <xdr:colOff>304800</xdr:colOff>
      <xdr:row>816</xdr:row>
      <xdr:rowOff>76200</xdr:rowOff>
    </xdr:to>
    <xdr:sp macro="" textlink="">
      <xdr:nvSpPr>
        <xdr:cNvPr id="1840" name="AutoShape 816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387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817</xdr:row>
      <xdr:rowOff>0</xdr:rowOff>
    </xdr:from>
    <xdr:to>
      <xdr:col>4</xdr:col>
      <xdr:colOff>304800</xdr:colOff>
      <xdr:row>818</xdr:row>
      <xdr:rowOff>114300</xdr:rowOff>
    </xdr:to>
    <xdr:sp macro="" textlink="">
      <xdr:nvSpPr>
        <xdr:cNvPr id="1841" name="AutoShape 817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430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817</xdr:row>
      <xdr:rowOff>0</xdr:rowOff>
    </xdr:from>
    <xdr:to>
      <xdr:col>5</xdr:col>
      <xdr:colOff>304800</xdr:colOff>
      <xdr:row>818</xdr:row>
      <xdr:rowOff>114300</xdr:rowOff>
    </xdr:to>
    <xdr:sp macro="" textlink="">
      <xdr:nvSpPr>
        <xdr:cNvPr id="1842" name="AutoShape 818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430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819</xdr:row>
      <xdr:rowOff>0</xdr:rowOff>
    </xdr:from>
    <xdr:to>
      <xdr:col>4</xdr:col>
      <xdr:colOff>304800</xdr:colOff>
      <xdr:row>820</xdr:row>
      <xdr:rowOff>114300</xdr:rowOff>
    </xdr:to>
    <xdr:sp macro="" textlink="">
      <xdr:nvSpPr>
        <xdr:cNvPr id="1843" name="AutoShape 819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4888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819</xdr:row>
      <xdr:rowOff>0</xdr:rowOff>
    </xdr:from>
    <xdr:to>
      <xdr:col>5</xdr:col>
      <xdr:colOff>304800</xdr:colOff>
      <xdr:row>820</xdr:row>
      <xdr:rowOff>114300</xdr:rowOff>
    </xdr:to>
    <xdr:sp macro="" textlink="">
      <xdr:nvSpPr>
        <xdr:cNvPr id="1844" name="AutoShape 820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4888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821</xdr:row>
      <xdr:rowOff>0</xdr:rowOff>
    </xdr:from>
    <xdr:to>
      <xdr:col>4</xdr:col>
      <xdr:colOff>304800</xdr:colOff>
      <xdr:row>822</xdr:row>
      <xdr:rowOff>114300</xdr:rowOff>
    </xdr:to>
    <xdr:sp macro="" textlink="">
      <xdr:nvSpPr>
        <xdr:cNvPr id="1845" name="AutoShape 821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546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821</xdr:row>
      <xdr:rowOff>0</xdr:rowOff>
    </xdr:from>
    <xdr:to>
      <xdr:col>5</xdr:col>
      <xdr:colOff>304800</xdr:colOff>
      <xdr:row>822</xdr:row>
      <xdr:rowOff>114300</xdr:rowOff>
    </xdr:to>
    <xdr:sp macro="" textlink="">
      <xdr:nvSpPr>
        <xdr:cNvPr id="1846" name="AutoShape 822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546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823</xdr:row>
      <xdr:rowOff>0</xdr:rowOff>
    </xdr:from>
    <xdr:to>
      <xdr:col>4</xdr:col>
      <xdr:colOff>304800</xdr:colOff>
      <xdr:row>824</xdr:row>
      <xdr:rowOff>76200</xdr:rowOff>
    </xdr:to>
    <xdr:sp macro="" textlink="">
      <xdr:nvSpPr>
        <xdr:cNvPr id="1847" name="AutoShape 823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6050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823</xdr:row>
      <xdr:rowOff>0</xdr:rowOff>
    </xdr:from>
    <xdr:to>
      <xdr:col>5</xdr:col>
      <xdr:colOff>304800</xdr:colOff>
      <xdr:row>824</xdr:row>
      <xdr:rowOff>76200</xdr:rowOff>
    </xdr:to>
    <xdr:sp macro="" textlink="">
      <xdr:nvSpPr>
        <xdr:cNvPr id="1848" name="AutoShape 82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6050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825</xdr:row>
      <xdr:rowOff>0</xdr:rowOff>
    </xdr:from>
    <xdr:to>
      <xdr:col>4</xdr:col>
      <xdr:colOff>304800</xdr:colOff>
      <xdr:row>826</xdr:row>
      <xdr:rowOff>114300</xdr:rowOff>
    </xdr:to>
    <xdr:sp macro="" textlink="">
      <xdr:nvSpPr>
        <xdr:cNvPr id="1849" name="AutoShape 825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647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825</xdr:row>
      <xdr:rowOff>0</xdr:rowOff>
    </xdr:from>
    <xdr:to>
      <xdr:col>5</xdr:col>
      <xdr:colOff>304800</xdr:colOff>
      <xdr:row>826</xdr:row>
      <xdr:rowOff>114300</xdr:rowOff>
    </xdr:to>
    <xdr:sp macro="" textlink="">
      <xdr:nvSpPr>
        <xdr:cNvPr id="1850" name="AutoShape 82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647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827</xdr:row>
      <xdr:rowOff>0</xdr:rowOff>
    </xdr:from>
    <xdr:to>
      <xdr:col>4</xdr:col>
      <xdr:colOff>304800</xdr:colOff>
      <xdr:row>828</xdr:row>
      <xdr:rowOff>114300</xdr:rowOff>
    </xdr:to>
    <xdr:sp macro="" textlink="">
      <xdr:nvSpPr>
        <xdr:cNvPr id="1851" name="AutoShape 827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7060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827</xdr:row>
      <xdr:rowOff>0</xdr:rowOff>
    </xdr:from>
    <xdr:to>
      <xdr:col>5</xdr:col>
      <xdr:colOff>304800</xdr:colOff>
      <xdr:row>828</xdr:row>
      <xdr:rowOff>114300</xdr:rowOff>
    </xdr:to>
    <xdr:sp macro="" textlink="">
      <xdr:nvSpPr>
        <xdr:cNvPr id="1852" name="AutoShape 828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7060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829</xdr:row>
      <xdr:rowOff>0</xdr:rowOff>
    </xdr:from>
    <xdr:to>
      <xdr:col>4</xdr:col>
      <xdr:colOff>304800</xdr:colOff>
      <xdr:row>830</xdr:row>
      <xdr:rowOff>114300</xdr:rowOff>
    </xdr:to>
    <xdr:sp macro="" textlink="">
      <xdr:nvSpPr>
        <xdr:cNvPr id="1853" name="AutoShape 829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764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829</xdr:row>
      <xdr:rowOff>0</xdr:rowOff>
    </xdr:from>
    <xdr:to>
      <xdr:col>5</xdr:col>
      <xdr:colOff>304800</xdr:colOff>
      <xdr:row>830</xdr:row>
      <xdr:rowOff>114300</xdr:rowOff>
    </xdr:to>
    <xdr:sp macro="" textlink="">
      <xdr:nvSpPr>
        <xdr:cNvPr id="1854" name="AutoShape 830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764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831</xdr:row>
      <xdr:rowOff>0</xdr:rowOff>
    </xdr:from>
    <xdr:to>
      <xdr:col>4</xdr:col>
      <xdr:colOff>304800</xdr:colOff>
      <xdr:row>832</xdr:row>
      <xdr:rowOff>76200</xdr:rowOff>
    </xdr:to>
    <xdr:sp macro="" textlink="">
      <xdr:nvSpPr>
        <xdr:cNvPr id="1855" name="AutoShape 831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822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831</xdr:row>
      <xdr:rowOff>0</xdr:rowOff>
    </xdr:from>
    <xdr:to>
      <xdr:col>5</xdr:col>
      <xdr:colOff>304800</xdr:colOff>
      <xdr:row>832</xdr:row>
      <xdr:rowOff>76200</xdr:rowOff>
    </xdr:to>
    <xdr:sp macro="" textlink="">
      <xdr:nvSpPr>
        <xdr:cNvPr id="1856" name="AutoShape 832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822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833</xdr:row>
      <xdr:rowOff>0</xdr:rowOff>
    </xdr:from>
    <xdr:to>
      <xdr:col>4</xdr:col>
      <xdr:colOff>304800</xdr:colOff>
      <xdr:row>834</xdr:row>
      <xdr:rowOff>114300</xdr:rowOff>
    </xdr:to>
    <xdr:sp macro="" textlink="">
      <xdr:nvSpPr>
        <xdr:cNvPr id="1857" name="AutoShape 833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865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833</xdr:row>
      <xdr:rowOff>0</xdr:rowOff>
    </xdr:from>
    <xdr:to>
      <xdr:col>5</xdr:col>
      <xdr:colOff>304800</xdr:colOff>
      <xdr:row>834</xdr:row>
      <xdr:rowOff>114300</xdr:rowOff>
    </xdr:to>
    <xdr:sp macro="" textlink="">
      <xdr:nvSpPr>
        <xdr:cNvPr id="1858" name="AutoShape 834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865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835</xdr:row>
      <xdr:rowOff>0</xdr:rowOff>
    </xdr:from>
    <xdr:to>
      <xdr:col>4</xdr:col>
      <xdr:colOff>304800</xdr:colOff>
      <xdr:row>836</xdr:row>
      <xdr:rowOff>114300</xdr:rowOff>
    </xdr:to>
    <xdr:sp macro="" textlink="">
      <xdr:nvSpPr>
        <xdr:cNvPr id="1859" name="AutoShape 835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923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835</xdr:row>
      <xdr:rowOff>0</xdr:rowOff>
    </xdr:from>
    <xdr:to>
      <xdr:col>5</xdr:col>
      <xdr:colOff>304800</xdr:colOff>
      <xdr:row>836</xdr:row>
      <xdr:rowOff>114300</xdr:rowOff>
    </xdr:to>
    <xdr:sp macro="" textlink="">
      <xdr:nvSpPr>
        <xdr:cNvPr id="1860" name="AutoShape 836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923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837</xdr:row>
      <xdr:rowOff>0</xdr:rowOff>
    </xdr:from>
    <xdr:to>
      <xdr:col>4</xdr:col>
      <xdr:colOff>304800</xdr:colOff>
      <xdr:row>838</xdr:row>
      <xdr:rowOff>76200</xdr:rowOff>
    </xdr:to>
    <xdr:sp macro="" textlink="">
      <xdr:nvSpPr>
        <xdr:cNvPr id="1861" name="AutoShape 837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981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837</xdr:row>
      <xdr:rowOff>0</xdr:rowOff>
    </xdr:from>
    <xdr:to>
      <xdr:col>5</xdr:col>
      <xdr:colOff>304800</xdr:colOff>
      <xdr:row>838</xdr:row>
      <xdr:rowOff>76200</xdr:rowOff>
    </xdr:to>
    <xdr:sp macro="" textlink="">
      <xdr:nvSpPr>
        <xdr:cNvPr id="1862" name="AutoShape 838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981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839</xdr:row>
      <xdr:rowOff>0</xdr:rowOff>
    </xdr:from>
    <xdr:to>
      <xdr:col>4</xdr:col>
      <xdr:colOff>304800</xdr:colOff>
      <xdr:row>840</xdr:row>
      <xdr:rowOff>114300</xdr:rowOff>
    </xdr:to>
    <xdr:sp macro="" textlink="">
      <xdr:nvSpPr>
        <xdr:cNvPr id="1863" name="AutoShape 839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024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839</xdr:row>
      <xdr:rowOff>0</xdr:rowOff>
    </xdr:from>
    <xdr:to>
      <xdr:col>5</xdr:col>
      <xdr:colOff>304800</xdr:colOff>
      <xdr:row>840</xdr:row>
      <xdr:rowOff>114300</xdr:rowOff>
    </xdr:to>
    <xdr:sp macro="" textlink="">
      <xdr:nvSpPr>
        <xdr:cNvPr id="1864" name="AutoShape 840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024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841</xdr:row>
      <xdr:rowOff>0</xdr:rowOff>
    </xdr:from>
    <xdr:to>
      <xdr:col>4</xdr:col>
      <xdr:colOff>304800</xdr:colOff>
      <xdr:row>842</xdr:row>
      <xdr:rowOff>76200</xdr:rowOff>
    </xdr:to>
    <xdr:sp macro="" textlink="">
      <xdr:nvSpPr>
        <xdr:cNvPr id="1865" name="AutoShape 841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082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841</xdr:row>
      <xdr:rowOff>0</xdr:rowOff>
    </xdr:from>
    <xdr:to>
      <xdr:col>5</xdr:col>
      <xdr:colOff>304800</xdr:colOff>
      <xdr:row>842</xdr:row>
      <xdr:rowOff>76200</xdr:rowOff>
    </xdr:to>
    <xdr:sp macro="" textlink="">
      <xdr:nvSpPr>
        <xdr:cNvPr id="1866" name="AutoShape 842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082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843</xdr:row>
      <xdr:rowOff>0</xdr:rowOff>
    </xdr:from>
    <xdr:to>
      <xdr:col>4</xdr:col>
      <xdr:colOff>304800</xdr:colOff>
      <xdr:row>844</xdr:row>
      <xdr:rowOff>76200</xdr:rowOff>
    </xdr:to>
    <xdr:sp macro="" textlink="">
      <xdr:nvSpPr>
        <xdr:cNvPr id="1867" name="AutoShape 843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125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843</xdr:row>
      <xdr:rowOff>0</xdr:rowOff>
    </xdr:from>
    <xdr:to>
      <xdr:col>5</xdr:col>
      <xdr:colOff>304800</xdr:colOff>
      <xdr:row>844</xdr:row>
      <xdr:rowOff>76200</xdr:rowOff>
    </xdr:to>
    <xdr:sp macro="" textlink="">
      <xdr:nvSpPr>
        <xdr:cNvPr id="1868" name="AutoShape 844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125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845</xdr:row>
      <xdr:rowOff>0</xdr:rowOff>
    </xdr:from>
    <xdr:to>
      <xdr:col>4</xdr:col>
      <xdr:colOff>304800</xdr:colOff>
      <xdr:row>846</xdr:row>
      <xdr:rowOff>114300</xdr:rowOff>
    </xdr:to>
    <xdr:sp macro="" textlink="">
      <xdr:nvSpPr>
        <xdr:cNvPr id="1869" name="AutoShape 845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167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845</xdr:row>
      <xdr:rowOff>0</xdr:rowOff>
    </xdr:from>
    <xdr:to>
      <xdr:col>5</xdr:col>
      <xdr:colOff>304800</xdr:colOff>
      <xdr:row>846</xdr:row>
      <xdr:rowOff>114300</xdr:rowOff>
    </xdr:to>
    <xdr:sp macro="" textlink="">
      <xdr:nvSpPr>
        <xdr:cNvPr id="1870" name="AutoShape 846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167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847</xdr:row>
      <xdr:rowOff>0</xdr:rowOff>
    </xdr:from>
    <xdr:to>
      <xdr:col>4</xdr:col>
      <xdr:colOff>304800</xdr:colOff>
      <xdr:row>848</xdr:row>
      <xdr:rowOff>114300</xdr:rowOff>
    </xdr:to>
    <xdr:sp macro="" textlink="">
      <xdr:nvSpPr>
        <xdr:cNvPr id="1871" name="AutoShape 847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226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847</xdr:row>
      <xdr:rowOff>0</xdr:rowOff>
    </xdr:from>
    <xdr:to>
      <xdr:col>5</xdr:col>
      <xdr:colOff>304800</xdr:colOff>
      <xdr:row>848</xdr:row>
      <xdr:rowOff>114300</xdr:rowOff>
    </xdr:to>
    <xdr:sp macro="" textlink="">
      <xdr:nvSpPr>
        <xdr:cNvPr id="1872" name="AutoShape 848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226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849</xdr:row>
      <xdr:rowOff>0</xdr:rowOff>
    </xdr:from>
    <xdr:to>
      <xdr:col>4</xdr:col>
      <xdr:colOff>304800</xdr:colOff>
      <xdr:row>850</xdr:row>
      <xdr:rowOff>114300</xdr:rowOff>
    </xdr:to>
    <xdr:sp macro="" textlink="">
      <xdr:nvSpPr>
        <xdr:cNvPr id="1873" name="AutoShape 849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284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849</xdr:row>
      <xdr:rowOff>0</xdr:rowOff>
    </xdr:from>
    <xdr:to>
      <xdr:col>5</xdr:col>
      <xdr:colOff>304800</xdr:colOff>
      <xdr:row>850</xdr:row>
      <xdr:rowOff>114300</xdr:rowOff>
    </xdr:to>
    <xdr:sp macro="" textlink="">
      <xdr:nvSpPr>
        <xdr:cNvPr id="1874" name="AutoShape 850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284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851</xdr:row>
      <xdr:rowOff>0</xdr:rowOff>
    </xdr:from>
    <xdr:to>
      <xdr:col>4</xdr:col>
      <xdr:colOff>304800</xdr:colOff>
      <xdr:row>852</xdr:row>
      <xdr:rowOff>114300</xdr:rowOff>
    </xdr:to>
    <xdr:sp macro="" textlink="">
      <xdr:nvSpPr>
        <xdr:cNvPr id="1875" name="AutoShape 851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342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851</xdr:row>
      <xdr:rowOff>0</xdr:rowOff>
    </xdr:from>
    <xdr:to>
      <xdr:col>5</xdr:col>
      <xdr:colOff>304800</xdr:colOff>
      <xdr:row>852</xdr:row>
      <xdr:rowOff>114300</xdr:rowOff>
    </xdr:to>
    <xdr:sp macro="" textlink="">
      <xdr:nvSpPr>
        <xdr:cNvPr id="1876" name="AutoShape 852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342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853</xdr:row>
      <xdr:rowOff>0</xdr:rowOff>
    </xdr:from>
    <xdr:to>
      <xdr:col>4</xdr:col>
      <xdr:colOff>304800</xdr:colOff>
      <xdr:row>854</xdr:row>
      <xdr:rowOff>114300</xdr:rowOff>
    </xdr:to>
    <xdr:sp macro="" textlink="">
      <xdr:nvSpPr>
        <xdr:cNvPr id="1877" name="AutoShape 853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400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853</xdr:row>
      <xdr:rowOff>0</xdr:rowOff>
    </xdr:from>
    <xdr:to>
      <xdr:col>5</xdr:col>
      <xdr:colOff>304800</xdr:colOff>
      <xdr:row>854</xdr:row>
      <xdr:rowOff>114300</xdr:rowOff>
    </xdr:to>
    <xdr:sp macro="" textlink="">
      <xdr:nvSpPr>
        <xdr:cNvPr id="1878" name="AutoShape 854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400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855</xdr:row>
      <xdr:rowOff>0</xdr:rowOff>
    </xdr:from>
    <xdr:to>
      <xdr:col>4</xdr:col>
      <xdr:colOff>304800</xdr:colOff>
      <xdr:row>856</xdr:row>
      <xdr:rowOff>114300</xdr:rowOff>
    </xdr:to>
    <xdr:sp macro="" textlink="">
      <xdr:nvSpPr>
        <xdr:cNvPr id="1879" name="AutoShape 855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458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855</xdr:row>
      <xdr:rowOff>0</xdr:rowOff>
    </xdr:from>
    <xdr:to>
      <xdr:col>5</xdr:col>
      <xdr:colOff>304800</xdr:colOff>
      <xdr:row>856</xdr:row>
      <xdr:rowOff>114300</xdr:rowOff>
    </xdr:to>
    <xdr:sp macro="" textlink="">
      <xdr:nvSpPr>
        <xdr:cNvPr id="1880" name="AutoShape 856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458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857</xdr:row>
      <xdr:rowOff>0</xdr:rowOff>
    </xdr:from>
    <xdr:to>
      <xdr:col>4</xdr:col>
      <xdr:colOff>304800</xdr:colOff>
      <xdr:row>858</xdr:row>
      <xdr:rowOff>114300</xdr:rowOff>
    </xdr:to>
    <xdr:sp macro="" textlink="">
      <xdr:nvSpPr>
        <xdr:cNvPr id="1881" name="AutoShape 857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516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857</xdr:row>
      <xdr:rowOff>0</xdr:rowOff>
    </xdr:from>
    <xdr:to>
      <xdr:col>5</xdr:col>
      <xdr:colOff>304800</xdr:colOff>
      <xdr:row>858</xdr:row>
      <xdr:rowOff>114300</xdr:rowOff>
    </xdr:to>
    <xdr:sp macro="" textlink="">
      <xdr:nvSpPr>
        <xdr:cNvPr id="1882" name="AutoShape 858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516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859</xdr:row>
      <xdr:rowOff>0</xdr:rowOff>
    </xdr:from>
    <xdr:to>
      <xdr:col>4</xdr:col>
      <xdr:colOff>304800</xdr:colOff>
      <xdr:row>860</xdr:row>
      <xdr:rowOff>114300</xdr:rowOff>
    </xdr:to>
    <xdr:sp macro="" textlink="">
      <xdr:nvSpPr>
        <xdr:cNvPr id="1883" name="AutoShape 859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5556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859</xdr:row>
      <xdr:rowOff>0</xdr:rowOff>
    </xdr:from>
    <xdr:to>
      <xdr:col>5</xdr:col>
      <xdr:colOff>304800</xdr:colOff>
      <xdr:row>860</xdr:row>
      <xdr:rowOff>114300</xdr:rowOff>
    </xdr:to>
    <xdr:sp macro="" textlink="">
      <xdr:nvSpPr>
        <xdr:cNvPr id="1884" name="AutoShape 860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5556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861</xdr:row>
      <xdr:rowOff>0</xdr:rowOff>
    </xdr:from>
    <xdr:to>
      <xdr:col>4</xdr:col>
      <xdr:colOff>304800</xdr:colOff>
      <xdr:row>862</xdr:row>
      <xdr:rowOff>114300</xdr:rowOff>
    </xdr:to>
    <xdr:sp macro="" textlink="">
      <xdr:nvSpPr>
        <xdr:cNvPr id="1885" name="AutoShape 861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6137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861</xdr:row>
      <xdr:rowOff>0</xdr:rowOff>
    </xdr:from>
    <xdr:to>
      <xdr:col>5</xdr:col>
      <xdr:colOff>304800</xdr:colOff>
      <xdr:row>862</xdr:row>
      <xdr:rowOff>114300</xdr:rowOff>
    </xdr:to>
    <xdr:sp macro="" textlink="">
      <xdr:nvSpPr>
        <xdr:cNvPr id="1886" name="AutoShape 862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6137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863</xdr:row>
      <xdr:rowOff>0</xdr:rowOff>
    </xdr:from>
    <xdr:to>
      <xdr:col>4</xdr:col>
      <xdr:colOff>304800</xdr:colOff>
      <xdr:row>864</xdr:row>
      <xdr:rowOff>114300</xdr:rowOff>
    </xdr:to>
    <xdr:sp macro="" textlink="">
      <xdr:nvSpPr>
        <xdr:cNvPr id="1887" name="AutoShape 863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6718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863</xdr:row>
      <xdr:rowOff>0</xdr:rowOff>
    </xdr:from>
    <xdr:to>
      <xdr:col>5</xdr:col>
      <xdr:colOff>304800</xdr:colOff>
      <xdr:row>864</xdr:row>
      <xdr:rowOff>114300</xdr:rowOff>
    </xdr:to>
    <xdr:sp macro="" textlink="">
      <xdr:nvSpPr>
        <xdr:cNvPr id="1888" name="AutoShape 864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6718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865</xdr:row>
      <xdr:rowOff>0</xdr:rowOff>
    </xdr:from>
    <xdr:to>
      <xdr:col>4</xdr:col>
      <xdr:colOff>304800</xdr:colOff>
      <xdr:row>866</xdr:row>
      <xdr:rowOff>76200</xdr:rowOff>
    </xdr:to>
    <xdr:sp macro="" textlink="">
      <xdr:nvSpPr>
        <xdr:cNvPr id="1889" name="AutoShape 86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729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865</xdr:row>
      <xdr:rowOff>0</xdr:rowOff>
    </xdr:from>
    <xdr:to>
      <xdr:col>5</xdr:col>
      <xdr:colOff>304800</xdr:colOff>
      <xdr:row>866</xdr:row>
      <xdr:rowOff>76200</xdr:rowOff>
    </xdr:to>
    <xdr:sp macro="" textlink="">
      <xdr:nvSpPr>
        <xdr:cNvPr id="1890" name="AutoShape 866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729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867</xdr:row>
      <xdr:rowOff>0</xdr:rowOff>
    </xdr:from>
    <xdr:to>
      <xdr:col>4</xdr:col>
      <xdr:colOff>304800</xdr:colOff>
      <xdr:row>868</xdr:row>
      <xdr:rowOff>114300</xdr:rowOff>
    </xdr:to>
    <xdr:sp macro="" textlink="">
      <xdr:nvSpPr>
        <xdr:cNvPr id="1891" name="AutoShape 867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772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867</xdr:row>
      <xdr:rowOff>0</xdr:rowOff>
    </xdr:from>
    <xdr:to>
      <xdr:col>5</xdr:col>
      <xdr:colOff>304800</xdr:colOff>
      <xdr:row>868</xdr:row>
      <xdr:rowOff>114300</xdr:rowOff>
    </xdr:to>
    <xdr:sp macro="" textlink="">
      <xdr:nvSpPr>
        <xdr:cNvPr id="1892" name="AutoShape 868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772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869</xdr:row>
      <xdr:rowOff>0</xdr:rowOff>
    </xdr:from>
    <xdr:to>
      <xdr:col>4</xdr:col>
      <xdr:colOff>304800</xdr:colOff>
      <xdr:row>870</xdr:row>
      <xdr:rowOff>76200</xdr:rowOff>
    </xdr:to>
    <xdr:sp macro="" textlink="">
      <xdr:nvSpPr>
        <xdr:cNvPr id="1893" name="AutoShape 869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830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869</xdr:row>
      <xdr:rowOff>0</xdr:rowOff>
    </xdr:from>
    <xdr:to>
      <xdr:col>5</xdr:col>
      <xdr:colOff>304800</xdr:colOff>
      <xdr:row>870</xdr:row>
      <xdr:rowOff>76200</xdr:rowOff>
    </xdr:to>
    <xdr:sp macro="" textlink="">
      <xdr:nvSpPr>
        <xdr:cNvPr id="1894" name="AutoShape 870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830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871</xdr:row>
      <xdr:rowOff>0</xdr:rowOff>
    </xdr:from>
    <xdr:to>
      <xdr:col>4</xdr:col>
      <xdr:colOff>304800</xdr:colOff>
      <xdr:row>872</xdr:row>
      <xdr:rowOff>114300</xdr:rowOff>
    </xdr:to>
    <xdr:sp macro="" textlink="">
      <xdr:nvSpPr>
        <xdr:cNvPr id="1895" name="AutoShape 871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873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871</xdr:row>
      <xdr:rowOff>0</xdr:rowOff>
    </xdr:from>
    <xdr:to>
      <xdr:col>5</xdr:col>
      <xdr:colOff>304800</xdr:colOff>
      <xdr:row>872</xdr:row>
      <xdr:rowOff>114300</xdr:rowOff>
    </xdr:to>
    <xdr:sp macro="" textlink="">
      <xdr:nvSpPr>
        <xdr:cNvPr id="1896" name="AutoShape 872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873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873</xdr:row>
      <xdr:rowOff>0</xdr:rowOff>
    </xdr:from>
    <xdr:to>
      <xdr:col>4</xdr:col>
      <xdr:colOff>304800</xdr:colOff>
      <xdr:row>874</xdr:row>
      <xdr:rowOff>76200</xdr:rowOff>
    </xdr:to>
    <xdr:sp macro="" textlink="">
      <xdr:nvSpPr>
        <xdr:cNvPr id="1897" name="AutoShape 873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93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873</xdr:row>
      <xdr:rowOff>0</xdr:rowOff>
    </xdr:from>
    <xdr:to>
      <xdr:col>5</xdr:col>
      <xdr:colOff>304800</xdr:colOff>
      <xdr:row>874</xdr:row>
      <xdr:rowOff>76200</xdr:rowOff>
    </xdr:to>
    <xdr:sp macro="" textlink="">
      <xdr:nvSpPr>
        <xdr:cNvPr id="1898" name="AutoShape 874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93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875</xdr:row>
      <xdr:rowOff>0</xdr:rowOff>
    </xdr:from>
    <xdr:to>
      <xdr:col>4</xdr:col>
      <xdr:colOff>304800</xdr:colOff>
      <xdr:row>876</xdr:row>
      <xdr:rowOff>76200</xdr:rowOff>
    </xdr:to>
    <xdr:sp macro="" textlink="">
      <xdr:nvSpPr>
        <xdr:cNvPr id="1899" name="AutoShape 87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974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875</xdr:row>
      <xdr:rowOff>0</xdr:rowOff>
    </xdr:from>
    <xdr:to>
      <xdr:col>5</xdr:col>
      <xdr:colOff>304800</xdr:colOff>
      <xdr:row>876</xdr:row>
      <xdr:rowOff>76200</xdr:rowOff>
    </xdr:to>
    <xdr:sp macro="" textlink="">
      <xdr:nvSpPr>
        <xdr:cNvPr id="1900" name="AutoShape 876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974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877</xdr:row>
      <xdr:rowOff>0</xdr:rowOff>
    </xdr:from>
    <xdr:to>
      <xdr:col>4</xdr:col>
      <xdr:colOff>304800</xdr:colOff>
      <xdr:row>878</xdr:row>
      <xdr:rowOff>114300</xdr:rowOff>
    </xdr:to>
    <xdr:sp macro="" textlink="">
      <xdr:nvSpPr>
        <xdr:cNvPr id="1901" name="AutoShape 877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0176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877</xdr:row>
      <xdr:rowOff>0</xdr:rowOff>
    </xdr:from>
    <xdr:to>
      <xdr:col>5</xdr:col>
      <xdr:colOff>304800</xdr:colOff>
      <xdr:row>878</xdr:row>
      <xdr:rowOff>114300</xdr:rowOff>
    </xdr:to>
    <xdr:sp macro="" textlink="">
      <xdr:nvSpPr>
        <xdr:cNvPr id="1902" name="AutoShape 878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0176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879</xdr:row>
      <xdr:rowOff>0</xdr:rowOff>
    </xdr:from>
    <xdr:to>
      <xdr:col>4</xdr:col>
      <xdr:colOff>304800</xdr:colOff>
      <xdr:row>880</xdr:row>
      <xdr:rowOff>114300</xdr:rowOff>
    </xdr:to>
    <xdr:sp macro="" textlink="">
      <xdr:nvSpPr>
        <xdr:cNvPr id="1903" name="AutoShape 879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0947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879</xdr:row>
      <xdr:rowOff>0</xdr:rowOff>
    </xdr:from>
    <xdr:to>
      <xdr:col>5</xdr:col>
      <xdr:colOff>304800</xdr:colOff>
      <xdr:row>880</xdr:row>
      <xdr:rowOff>114300</xdr:rowOff>
    </xdr:to>
    <xdr:sp macro="" textlink="">
      <xdr:nvSpPr>
        <xdr:cNvPr id="1904" name="AutoShape 880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0947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881</xdr:row>
      <xdr:rowOff>0</xdr:rowOff>
    </xdr:from>
    <xdr:to>
      <xdr:col>4</xdr:col>
      <xdr:colOff>304800</xdr:colOff>
      <xdr:row>882</xdr:row>
      <xdr:rowOff>114300</xdr:rowOff>
    </xdr:to>
    <xdr:sp macro="" textlink="">
      <xdr:nvSpPr>
        <xdr:cNvPr id="1905" name="AutoShape 881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15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881</xdr:row>
      <xdr:rowOff>0</xdr:rowOff>
    </xdr:from>
    <xdr:to>
      <xdr:col>5</xdr:col>
      <xdr:colOff>304800</xdr:colOff>
      <xdr:row>882</xdr:row>
      <xdr:rowOff>114300</xdr:rowOff>
    </xdr:to>
    <xdr:sp macro="" textlink="">
      <xdr:nvSpPr>
        <xdr:cNvPr id="1906" name="AutoShape 882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15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883</xdr:row>
      <xdr:rowOff>0</xdr:rowOff>
    </xdr:from>
    <xdr:to>
      <xdr:col>4</xdr:col>
      <xdr:colOff>304800</xdr:colOff>
      <xdr:row>884</xdr:row>
      <xdr:rowOff>114300</xdr:rowOff>
    </xdr:to>
    <xdr:sp macro="" textlink="">
      <xdr:nvSpPr>
        <xdr:cNvPr id="1907" name="AutoShape 883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210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883</xdr:row>
      <xdr:rowOff>0</xdr:rowOff>
    </xdr:from>
    <xdr:to>
      <xdr:col>5</xdr:col>
      <xdr:colOff>304800</xdr:colOff>
      <xdr:row>884</xdr:row>
      <xdr:rowOff>114300</xdr:rowOff>
    </xdr:to>
    <xdr:sp macro="" textlink="">
      <xdr:nvSpPr>
        <xdr:cNvPr id="1908" name="AutoShape 88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210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885</xdr:row>
      <xdr:rowOff>0</xdr:rowOff>
    </xdr:from>
    <xdr:to>
      <xdr:col>4</xdr:col>
      <xdr:colOff>304800</xdr:colOff>
      <xdr:row>886</xdr:row>
      <xdr:rowOff>114300</xdr:rowOff>
    </xdr:to>
    <xdr:sp macro="" textlink="">
      <xdr:nvSpPr>
        <xdr:cNvPr id="1909" name="AutoShape 885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2690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885</xdr:row>
      <xdr:rowOff>0</xdr:rowOff>
    </xdr:from>
    <xdr:to>
      <xdr:col>5</xdr:col>
      <xdr:colOff>304800</xdr:colOff>
      <xdr:row>886</xdr:row>
      <xdr:rowOff>114300</xdr:rowOff>
    </xdr:to>
    <xdr:sp macro="" textlink="">
      <xdr:nvSpPr>
        <xdr:cNvPr id="1910" name="AutoShape 886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2690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887</xdr:row>
      <xdr:rowOff>0</xdr:rowOff>
    </xdr:from>
    <xdr:to>
      <xdr:col>4</xdr:col>
      <xdr:colOff>304800</xdr:colOff>
      <xdr:row>888</xdr:row>
      <xdr:rowOff>114300</xdr:rowOff>
    </xdr:to>
    <xdr:sp macro="" textlink="">
      <xdr:nvSpPr>
        <xdr:cNvPr id="1911" name="AutoShape 887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3271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887</xdr:row>
      <xdr:rowOff>0</xdr:rowOff>
    </xdr:from>
    <xdr:to>
      <xdr:col>5</xdr:col>
      <xdr:colOff>304800</xdr:colOff>
      <xdr:row>888</xdr:row>
      <xdr:rowOff>114300</xdr:rowOff>
    </xdr:to>
    <xdr:sp macro="" textlink="">
      <xdr:nvSpPr>
        <xdr:cNvPr id="1912" name="AutoShape 888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3271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889</xdr:row>
      <xdr:rowOff>0</xdr:rowOff>
    </xdr:from>
    <xdr:to>
      <xdr:col>4</xdr:col>
      <xdr:colOff>304800</xdr:colOff>
      <xdr:row>890</xdr:row>
      <xdr:rowOff>114300</xdr:rowOff>
    </xdr:to>
    <xdr:sp macro="" textlink="">
      <xdr:nvSpPr>
        <xdr:cNvPr id="1913" name="AutoShape 889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385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889</xdr:row>
      <xdr:rowOff>0</xdr:rowOff>
    </xdr:from>
    <xdr:to>
      <xdr:col>5</xdr:col>
      <xdr:colOff>304800</xdr:colOff>
      <xdr:row>890</xdr:row>
      <xdr:rowOff>114300</xdr:rowOff>
    </xdr:to>
    <xdr:sp macro="" textlink="">
      <xdr:nvSpPr>
        <xdr:cNvPr id="1914" name="AutoShape 890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385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891</xdr:row>
      <xdr:rowOff>0</xdr:rowOff>
    </xdr:from>
    <xdr:to>
      <xdr:col>4</xdr:col>
      <xdr:colOff>304800</xdr:colOff>
      <xdr:row>892</xdr:row>
      <xdr:rowOff>114300</xdr:rowOff>
    </xdr:to>
    <xdr:sp macro="" textlink="">
      <xdr:nvSpPr>
        <xdr:cNvPr id="1915" name="AutoShape 891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443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891</xdr:row>
      <xdr:rowOff>0</xdr:rowOff>
    </xdr:from>
    <xdr:to>
      <xdr:col>5</xdr:col>
      <xdr:colOff>304800</xdr:colOff>
      <xdr:row>892</xdr:row>
      <xdr:rowOff>114300</xdr:rowOff>
    </xdr:to>
    <xdr:sp macro="" textlink="">
      <xdr:nvSpPr>
        <xdr:cNvPr id="1916" name="AutoShape 892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443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893</xdr:row>
      <xdr:rowOff>0</xdr:rowOff>
    </xdr:from>
    <xdr:to>
      <xdr:col>4</xdr:col>
      <xdr:colOff>304800</xdr:colOff>
      <xdr:row>894</xdr:row>
      <xdr:rowOff>76200</xdr:rowOff>
    </xdr:to>
    <xdr:sp macro="" textlink="">
      <xdr:nvSpPr>
        <xdr:cNvPr id="1917" name="AutoShape 893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5014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893</xdr:row>
      <xdr:rowOff>0</xdr:rowOff>
    </xdr:from>
    <xdr:to>
      <xdr:col>5</xdr:col>
      <xdr:colOff>304800</xdr:colOff>
      <xdr:row>894</xdr:row>
      <xdr:rowOff>76200</xdr:rowOff>
    </xdr:to>
    <xdr:sp macro="" textlink="">
      <xdr:nvSpPr>
        <xdr:cNvPr id="1918" name="AutoShape 894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5014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895</xdr:row>
      <xdr:rowOff>0</xdr:rowOff>
    </xdr:from>
    <xdr:to>
      <xdr:col>4</xdr:col>
      <xdr:colOff>304800</xdr:colOff>
      <xdr:row>896</xdr:row>
      <xdr:rowOff>114300</xdr:rowOff>
    </xdr:to>
    <xdr:sp macro="" textlink="">
      <xdr:nvSpPr>
        <xdr:cNvPr id="1919" name="AutoShape 895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544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895</xdr:row>
      <xdr:rowOff>0</xdr:rowOff>
    </xdr:from>
    <xdr:to>
      <xdr:col>5</xdr:col>
      <xdr:colOff>304800</xdr:colOff>
      <xdr:row>896</xdr:row>
      <xdr:rowOff>114300</xdr:rowOff>
    </xdr:to>
    <xdr:sp macro="" textlink="">
      <xdr:nvSpPr>
        <xdr:cNvPr id="1920" name="AutoShape 896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544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897</xdr:row>
      <xdr:rowOff>0</xdr:rowOff>
    </xdr:from>
    <xdr:to>
      <xdr:col>4</xdr:col>
      <xdr:colOff>304800</xdr:colOff>
      <xdr:row>898</xdr:row>
      <xdr:rowOff>76200</xdr:rowOff>
    </xdr:to>
    <xdr:sp macro="" textlink="">
      <xdr:nvSpPr>
        <xdr:cNvPr id="1921" name="AutoShape 897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602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897</xdr:row>
      <xdr:rowOff>0</xdr:rowOff>
    </xdr:from>
    <xdr:to>
      <xdr:col>5</xdr:col>
      <xdr:colOff>304800</xdr:colOff>
      <xdr:row>898</xdr:row>
      <xdr:rowOff>76200</xdr:rowOff>
    </xdr:to>
    <xdr:sp macro="" textlink="">
      <xdr:nvSpPr>
        <xdr:cNvPr id="1922" name="AutoShape 89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602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899</xdr:row>
      <xdr:rowOff>0</xdr:rowOff>
    </xdr:from>
    <xdr:to>
      <xdr:col>4</xdr:col>
      <xdr:colOff>304800</xdr:colOff>
      <xdr:row>900</xdr:row>
      <xdr:rowOff>114300</xdr:rowOff>
    </xdr:to>
    <xdr:sp macro="" textlink="">
      <xdr:nvSpPr>
        <xdr:cNvPr id="1923" name="AutoShape 899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645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899</xdr:row>
      <xdr:rowOff>0</xdr:rowOff>
    </xdr:from>
    <xdr:to>
      <xdr:col>5</xdr:col>
      <xdr:colOff>304800</xdr:colOff>
      <xdr:row>900</xdr:row>
      <xdr:rowOff>114300</xdr:rowOff>
    </xdr:to>
    <xdr:sp macro="" textlink="">
      <xdr:nvSpPr>
        <xdr:cNvPr id="1924" name="AutoShape 900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645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901</xdr:row>
      <xdr:rowOff>0</xdr:rowOff>
    </xdr:from>
    <xdr:to>
      <xdr:col>4</xdr:col>
      <xdr:colOff>304800</xdr:colOff>
      <xdr:row>902</xdr:row>
      <xdr:rowOff>114300</xdr:rowOff>
    </xdr:to>
    <xdr:sp macro="" textlink="">
      <xdr:nvSpPr>
        <xdr:cNvPr id="1925" name="AutoShape 901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703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901</xdr:row>
      <xdr:rowOff>0</xdr:rowOff>
    </xdr:from>
    <xdr:to>
      <xdr:col>5</xdr:col>
      <xdr:colOff>304800</xdr:colOff>
      <xdr:row>902</xdr:row>
      <xdr:rowOff>114300</xdr:rowOff>
    </xdr:to>
    <xdr:sp macro="" textlink="">
      <xdr:nvSpPr>
        <xdr:cNvPr id="1926" name="AutoShape 902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703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903</xdr:row>
      <xdr:rowOff>0</xdr:rowOff>
    </xdr:from>
    <xdr:to>
      <xdr:col>4</xdr:col>
      <xdr:colOff>304800</xdr:colOff>
      <xdr:row>904</xdr:row>
      <xdr:rowOff>114300</xdr:rowOff>
    </xdr:to>
    <xdr:sp macro="" textlink="">
      <xdr:nvSpPr>
        <xdr:cNvPr id="1927" name="AutoShape 903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7805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903</xdr:row>
      <xdr:rowOff>0</xdr:rowOff>
    </xdr:from>
    <xdr:to>
      <xdr:col>5</xdr:col>
      <xdr:colOff>304800</xdr:colOff>
      <xdr:row>904</xdr:row>
      <xdr:rowOff>114300</xdr:rowOff>
    </xdr:to>
    <xdr:sp macro="" textlink="">
      <xdr:nvSpPr>
        <xdr:cNvPr id="1928" name="AutoShape 904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7805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905</xdr:row>
      <xdr:rowOff>0</xdr:rowOff>
    </xdr:from>
    <xdr:to>
      <xdr:col>4</xdr:col>
      <xdr:colOff>304800</xdr:colOff>
      <xdr:row>906</xdr:row>
      <xdr:rowOff>76200</xdr:rowOff>
    </xdr:to>
    <xdr:sp macro="" textlink="">
      <xdr:nvSpPr>
        <xdr:cNvPr id="1929" name="AutoShape 905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838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905</xdr:row>
      <xdr:rowOff>0</xdr:rowOff>
    </xdr:from>
    <xdr:to>
      <xdr:col>5</xdr:col>
      <xdr:colOff>304800</xdr:colOff>
      <xdr:row>906</xdr:row>
      <xdr:rowOff>76200</xdr:rowOff>
    </xdr:to>
    <xdr:sp macro="" textlink="">
      <xdr:nvSpPr>
        <xdr:cNvPr id="1930" name="AutoShape 906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838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907</xdr:row>
      <xdr:rowOff>0</xdr:rowOff>
    </xdr:from>
    <xdr:to>
      <xdr:col>4</xdr:col>
      <xdr:colOff>304800</xdr:colOff>
      <xdr:row>908</xdr:row>
      <xdr:rowOff>114300</xdr:rowOff>
    </xdr:to>
    <xdr:sp macro="" textlink="">
      <xdr:nvSpPr>
        <xdr:cNvPr id="1931" name="AutoShape 907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881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907</xdr:row>
      <xdr:rowOff>0</xdr:rowOff>
    </xdr:from>
    <xdr:to>
      <xdr:col>5</xdr:col>
      <xdr:colOff>304800</xdr:colOff>
      <xdr:row>908</xdr:row>
      <xdr:rowOff>114300</xdr:rowOff>
    </xdr:to>
    <xdr:sp macro="" textlink="">
      <xdr:nvSpPr>
        <xdr:cNvPr id="1932" name="AutoShape 908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881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909</xdr:row>
      <xdr:rowOff>0</xdr:rowOff>
    </xdr:from>
    <xdr:to>
      <xdr:col>4</xdr:col>
      <xdr:colOff>304800</xdr:colOff>
      <xdr:row>910</xdr:row>
      <xdr:rowOff>76200</xdr:rowOff>
    </xdr:to>
    <xdr:sp macro="" textlink="">
      <xdr:nvSpPr>
        <xdr:cNvPr id="1933" name="AutoShape 909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939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909</xdr:row>
      <xdr:rowOff>0</xdr:rowOff>
    </xdr:from>
    <xdr:to>
      <xdr:col>5</xdr:col>
      <xdr:colOff>304800</xdr:colOff>
      <xdr:row>910</xdr:row>
      <xdr:rowOff>76200</xdr:rowOff>
    </xdr:to>
    <xdr:sp macro="" textlink="">
      <xdr:nvSpPr>
        <xdr:cNvPr id="1934" name="AutoShape 910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939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911</xdr:row>
      <xdr:rowOff>0</xdr:rowOff>
    </xdr:from>
    <xdr:to>
      <xdr:col>4</xdr:col>
      <xdr:colOff>304800</xdr:colOff>
      <xdr:row>912</xdr:row>
      <xdr:rowOff>114300</xdr:rowOff>
    </xdr:to>
    <xdr:sp macro="" textlink="">
      <xdr:nvSpPr>
        <xdr:cNvPr id="1935" name="AutoShape 911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982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911</xdr:row>
      <xdr:rowOff>0</xdr:rowOff>
    </xdr:from>
    <xdr:to>
      <xdr:col>5</xdr:col>
      <xdr:colOff>304800</xdr:colOff>
      <xdr:row>912</xdr:row>
      <xdr:rowOff>114300</xdr:rowOff>
    </xdr:to>
    <xdr:sp macro="" textlink="">
      <xdr:nvSpPr>
        <xdr:cNvPr id="1936" name="AutoShape 912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982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913</xdr:row>
      <xdr:rowOff>0</xdr:rowOff>
    </xdr:from>
    <xdr:to>
      <xdr:col>4</xdr:col>
      <xdr:colOff>304800</xdr:colOff>
      <xdr:row>914</xdr:row>
      <xdr:rowOff>76200</xdr:rowOff>
    </xdr:to>
    <xdr:sp macro="" textlink="">
      <xdr:nvSpPr>
        <xdr:cNvPr id="1937" name="AutoShape 913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040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913</xdr:row>
      <xdr:rowOff>0</xdr:rowOff>
    </xdr:from>
    <xdr:to>
      <xdr:col>5</xdr:col>
      <xdr:colOff>304800</xdr:colOff>
      <xdr:row>914</xdr:row>
      <xdr:rowOff>76200</xdr:rowOff>
    </xdr:to>
    <xdr:sp macro="" textlink="">
      <xdr:nvSpPr>
        <xdr:cNvPr id="1938" name="AutoShape 914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040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915</xdr:row>
      <xdr:rowOff>0</xdr:rowOff>
    </xdr:from>
    <xdr:to>
      <xdr:col>4</xdr:col>
      <xdr:colOff>304800</xdr:colOff>
      <xdr:row>916</xdr:row>
      <xdr:rowOff>114300</xdr:rowOff>
    </xdr:to>
    <xdr:sp macro="" textlink="">
      <xdr:nvSpPr>
        <xdr:cNvPr id="1939" name="AutoShape 915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0834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915</xdr:row>
      <xdr:rowOff>0</xdr:rowOff>
    </xdr:from>
    <xdr:to>
      <xdr:col>5</xdr:col>
      <xdr:colOff>304800</xdr:colOff>
      <xdr:row>916</xdr:row>
      <xdr:rowOff>114300</xdr:rowOff>
    </xdr:to>
    <xdr:sp macro="" textlink="">
      <xdr:nvSpPr>
        <xdr:cNvPr id="1940" name="AutoShape 916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0834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917</xdr:row>
      <xdr:rowOff>0</xdr:rowOff>
    </xdr:from>
    <xdr:to>
      <xdr:col>4</xdr:col>
      <xdr:colOff>304800</xdr:colOff>
      <xdr:row>918</xdr:row>
      <xdr:rowOff>114300</xdr:rowOff>
    </xdr:to>
    <xdr:sp macro="" textlink="">
      <xdr:nvSpPr>
        <xdr:cNvPr id="1941" name="AutoShape 917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141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917</xdr:row>
      <xdr:rowOff>0</xdr:rowOff>
    </xdr:from>
    <xdr:to>
      <xdr:col>5</xdr:col>
      <xdr:colOff>304800</xdr:colOff>
      <xdr:row>918</xdr:row>
      <xdr:rowOff>114300</xdr:rowOff>
    </xdr:to>
    <xdr:sp macro="" textlink="">
      <xdr:nvSpPr>
        <xdr:cNvPr id="1942" name="AutoShape 918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141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919</xdr:row>
      <xdr:rowOff>0</xdr:rowOff>
    </xdr:from>
    <xdr:to>
      <xdr:col>4</xdr:col>
      <xdr:colOff>304800</xdr:colOff>
      <xdr:row>920</xdr:row>
      <xdr:rowOff>114300</xdr:rowOff>
    </xdr:to>
    <xdr:sp macro="" textlink="">
      <xdr:nvSpPr>
        <xdr:cNvPr id="1943" name="AutoShape 919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19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919</xdr:row>
      <xdr:rowOff>0</xdr:rowOff>
    </xdr:from>
    <xdr:to>
      <xdr:col>5</xdr:col>
      <xdr:colOff>304800</xdr:colOff>
      <xdr:row>920</xdr:row>
      <xdr:rowOff>114300</xdr:rowOff>
    </xdr:to>
    <xdr:sp macro="" textlink="">
      <xdr:nvSpPr>
        <xdr:cNvPr id="1944" name="AutoShape 920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19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921</xdr:row>
      <xdr:rowOff>0</xdr:rowOff>
    </xdr:from>
    <xdr:to>
      <xdr:col>4</xdr:col>
      <xdr:colOff>304800</xdr:colOff>
      <xdr:row>922</xdr:row>
      <xdr:rowOff>114300</xdr:rowOff>
    </xdr:to>
    <xdr:sp macro="" textlink="">
      <xdr:nvSpPr>
        <xdr:cNvPr id="1945" name="AutoShape 92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257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921</xdr:row>
      <xdr:rowOff>0</xdr:rowOff>
    </xdr:from>
    <xdr:to>
      <xdr:col>5</xdr:col>
      <xdr:colOff>304800</xdr:colOff>
      <xdr:row>922</xdr:row>
      <xdr:rowOff>114300</xdr:rowOff>
    </xdr:to>
    <xdr:sp macro="" textlink="">
      <xdr:nvSpPr>
        <xdr:cNvPr id="1946" name="AutoShape 922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257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923</xdr:row>
      <xdr:rowOff>0</xdr:rowOff>
    </xdr:from>
    <xdr:to>
      <xdr:col>4</xdr:col>
      <xdr:colOff>304800</xdr:colOff>
      <xdr:row>924</xdr:row>
      <xdr:rowOff>114300</xdr:rowOff>
    </xdr:to>
    <xdr:sp macro="" textlink="">
      <xdr:nvSpPr>
        <xdr:cNvPr id="1947" name="AutoShape 923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315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923</xdr:row>
      <xdr:rowOff>0</xdr:rowOff>
    </xdr:from>
    <xdr:to>
      <xdr:col>5</xdr:col>
      <xdr:colOff>304800</xdr:colOff>
      <xdr:row>924</xdr:row>
      <xdr:rowOff>114300</xdr:rowOff>
    </xdr:to>
    <xdr:sp macro="" textlink="">
      <xdr:nvSpPr>
        <xdr:cNvPr id="1948" name="AutoShape 924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315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925</xdr:row>
      <xdr:rowOff>0</xdr:rowOff>
    </xdr:from>
    <xdr:to>
      <xdr:col>4</xdr:col>
      <xdr:colOff>304800</xdr:colOff>
      <xdr:row>926</xdr:row>
      <xdr:rowOff>114300</xdr:rowOff>
    </xdr:to>
    <xdr:sp macro="" textlink="">
      <xdr:nvSpPr>
        <xdr:cNvPr id="1949" name="AutoShape 925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373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925</xdr:row>
      <xdr:rowOff>0</xdr:rowOff>
    </xdr:from>
    <xdr:to>
      <xdr:col>5</xdr:col>
      <xdr:colOff>304800</xdr:colOff>
      <xdr:row>926</xdr:row>
      <xdr:rowOff>114300</xdr:rowOff>
    </xdr:to>
    <xdr:sp macro="" textlink="">
      <xdr:nvSpPr>
        <xdr:cNvPr id="1950" name="AutoShape 926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373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927</xdr:row>
      <xdr:rowOff>0</xdr:rowOff>
    </xdr:from>
    <xdr:to>
      <xdr:col>4</xdr:col>
      <xdr:colOff>304800</xdr:colOff>
      <xdr:row>928</xdr:row>
      <xdr:rowOff>114300</xdr:rowOff>
    </xdr:to>
    <xdr:sp macro="" textlink="">
      <xdr:nvSpPr>
        <xdr:cNvPr id="1951" name="AutoShape 927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432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927</xdr:row>
      <xdr:rowOff>0</xdr:rowOff>
    </xdr:from>
    <xdr:to>
      <xdr:col>5</xdr:col>
      <xdr:colOff>304800</xdr:colOff>
      <xdr:row>928</xdr:row>
      <xdr:rowOff>114300</xdr:rowOff>
    </xdr:to>
    <xdr:sp macro="" textlink="">
      <xdr:nvSpPr>
        <xdr:cNvPr id="1952" name="AutoShape 928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432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929</xdr:row>
      <xdr:rowOff>0</xdr:rowOff>
    </xdr:from>
    <xdr:to>
      <xdr:col>4</xdr:col>
      <xdr:colOff>304800</xdr:colOff>
      <xdr:row>930</xdr:row>
      <xdr:rowOff>114300</xdr:rowOff>
    </xdr:to>
    <xdr:sp macro="" textlink="">
      <xdr:nvSpPr>
        <xdr:cNvPr id="1953" name="AutoShape 929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490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929</xdr:row>
      <xdr:rowOff>0</xdr:rowOff>
    </xdr:from>
    <xdr:to>
      <xdr:col>5</xdr:col>
      <xdr:colOff>304800</xdr:colOff>
      <xdr:row>930</xdr:row>
      <xdr:rowOff>114300</xdr:rowOff>
    </xdr:to>
    <xdr:sp macro="" textlink="">
      <xdr:nvSpPr>
        <xdr:cNvPr id="1954" name="AutoShape 930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490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931</xdr:row>
      <xdr:rowOff>0</xdr:rowOff>
    </xdr:from>
    <xdr:to>
      <xdr:col>4</xdr:col>
      <xdr:colOff>304800</xdr:colOff>
      <xdr:row>932</xdr:row>
      <xdr:rowOff>114300</xdr:rowOff>
    </xdr:to>
    <xdr:sp macro="" textlink="">
      <xdr:nvSpPr>
        <xdr:cNvPr id="1955" name="AutoShape 931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548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931</xdr:row>
      <xdr:rowOff>0</xdr:rowOff>
    </xdr:from>
    <xdr:to>
      <xdr:col>5</xdr:col>
      <xdr:colOff>304800</xdr:colOff>
      <xdr:row>932</xdr:row>
      <xdr:rowOff>114300</xdr:rowOff>
    </xdr:to>
    <xdr:sp macro="" textlink="">
      <xdr:nvSpPr>
        <xdr:cNvPr id="1956" name="AutoShape 932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548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933</xdr:row>
      <xdr:rowOff>0</xdr:rowOff>
    </xdr:from>
    <xdr:to>
      <xdr:col>4</xdr:col>
      <xdr:colOff>304800</xdr:colOff>
      <xdr:row>934</xdr:row>
      <xdr:rowOff>114300</xdr:rowOff>
    </xdr:to>
    <xdr:sp macro="" textlink="">
      <xdr:nvSpPr>
        <xdr:cNvPr id="1957" name="AutoShape 933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606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933</xdr:row>
      <xdr:rowOff>0</xdr:rowOff>
    </xdr:from>
    <xdr:to>
      <xdr:col>5</xdr:col>
      <xdr:colOff>304800</xdr:colOff>
      <xdr:row>934</xdr:row>
      <xdr:rowOff>114300</xdr:rowOff>
    </xdr:to>
    <xdr:sp macro="" textlink="">
      <xdr:nvSpPr>
        <xdr:cNvPr id="1958" name="AutoShape 934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606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935</xdr:row>
      <xdr:rowOff>0</xdr:rowOff>
    </xdr:from>
    <xdr:to>
      <xdr:col>4</xdr:col>
      <xdr:colOff>304800</xdr:colOff>
      <xdr:row>936</xdr:row>
      <xdr:rowOff>114300</xdr:rowOff>
    </xdr:to>
    <xdr:sp macro="" textlink="">
      <xdr:nvSpPr>
        <xdr:cNvPr id="1959" name="AutoShape 93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664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935</xdr:row>
      <xdr:rowOff>0</xdr:rowOff>
    </xdr:from>
    <xdr:to>
      <xdr:col>5</xdr:col>
      <xdr:colOff>304800</xdr:colOff>
      <xdr:row>936</xdr:row>
      <xdr:rowOff>114300</xdr:rowOff>
    </xdr:to>
    <xdr:sp macro="" textlink="">
      <xdr:nvSpPr>
        <xdr:cNvPr id="1960" name="AutoShape 936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664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937</xdr:row>
      <xdr:rowOff>0</xdr:rowOff>
    </xdr:from>
    <xdr:to>
      <xdr:col>4</xdr:col>
      <xdr:colOff>304800</xdr:colOff>
      <xdr:row>938</xdr:row>
      <xdr:rowOff>114300</xdr:rowOff>
    </xdr:to>
    <xdr:sp macro="" textlink="">
      <xdr:nvSpPr>
        <xdr:cNvPr id="1961" name="AutoShape 937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722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937</xdr:row>
      <xdr:rowOff>0</xdr:rowOff>
    </xdr:from>
    <xdr:to>
      <xdr:col>5</xdr:col>
      <xdr:colOff>304800</xdr:colOff>
      <xdr:row>938</xdr:row>
      <xdr:rowOff>114300</xdr:rowOff>
    </xdr:to>
    <xdr:sp macro="" textlink="">
      <xdr:nvSpPr>
        <xdr:cNvPr id="1962" name="AutoShape 938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722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939</xdr:row>
      <xdr:rowOff>0</xdr:rowOff>
    </xdr:from>
    <xdr:to>
      <xdr:col>4</xdr:col>
      <xdr:colOff>304800</xdr:colOff>
      <xdr:row>940</xdr:row>
      <xdr:rowOff>114300</xdr:rowOff>
    </xdr:to>
    <xdr:sp macro="" textlink="">
      <xdr:nvSpPr>
        <xdr:cNvPr id="1963" name="AutoShape 939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780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939</xdr:row>
      <xdr:rowOff>0</xdr:rowOff>
    </xdr:from>
    <xdr:to>
      <xdr:col>5</xdr:col>
      <xdr:colOff>304800</xdr:colOff>
      <xdr:row>940</xdr:row>
      <xdr:rowOff>114300</xdr:rowOff>
    </xdr:to>
    <xdr:sp macro="" textlink="">
      <xdr:nvSpPr>
        <xdr:cNvPr id="1964" name="AutoShape 940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780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941</xdr:row>
      <xdr:rowOff>0</xdr:rowOff>
    </xdr:from>
    <xdr:to>
      <xdr:col>4</xdr:col>
      <xdr:colOff>304800</xdr:colOff>
      <xdr:row>942</xdr:row>
      <xdr:rowOff>114300</xdr:rowOff>
    </xdr:to>
    <xdr:sp macro="" textlink="">
      <xdr:nvSpPr>
        <xdr:cNvPr id="1965" name="AutoShape 941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838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941</xdr:row>
      <xdr:rowOff>0</xdr:rowOff>
    </xdr:from>
    <xdr:to>
      <xdr:col>5</xdr:col>
      <xdr:colOff>304800</xdr:colOff>
      <xdr:row>942</xdr:row>
      <xdr:rowOff>114300</xdr:rowOff>
    </xdr:to>
    <xdr:sp macro="" textlink="">
      <xdr:nvSpPr>
        <xdr:cNvPr id="1966" name="AutoShape 942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838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943</xdr:row>
      <xdr:rowOff>0</xdr:rowOff>
    </xdr:from>
    <xdr:to>
      <xdr:col>4</xdr:col>
      <xdr:colOff>304800</xdr:colOff>
      <xdr:row>944</xdr:row>
      <xdr:rowOff>114300</xdr:rowOff>
    </xdr:to>
    <xdr:sp macro="" textlink="">
      <xdr:nvSpPr>
        <xdr:cNvPr id="1967" name="AutoShape 943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896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943</xdr:row>
      <xdr:rowOff>0</xdr:rowOff>
    </xdr:from>
    <xdr:to>
      <xdr:col>5</xdr:col>
      <xdr:colOff>304800</xdr:colOff>
      <xdr:row>944</xdr:row>
      <xdr:rowOff>114300</xdr:rowOff>
    </xdr:to>
    <xdr:sp macro="" textlink="">
      <xdr:nvSpPr>
        <xdr:cNvPr id="1968" name="AutoShape 944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896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945</xdr:row>
      <xdr:rowOff>0</xdr:rowOff>
    </xdr:from>
    <xdr:to>
      <xdr:col>4</xdr:col>
      <xdr:colOff>304800</xdr:colOff>
      <xdr:row>946</xdr:row>
      <xdr:rowOff>114300</xdr:rowOff>
    </xdr:to>
    <xdr:sp macro="" textlink="">
      <xdr:nvSpPr>
        <xdr:cNvPr id="1969" name="AutoShape 94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955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945</xdr:row>
      <xdr:rowOff>0</xdr:rowOff>
    </xdr:from>
    <xdr:to>
      <xdr:col>5</xdr:col>
      <xdr:colOff>304800</xdr:colOff>
      <xdr:row>946</xdr:row>
      <xdr:rowOff>114300</xdr:rowOff>
    </xdr:to>
    <xdr:sp macro="" textlink="">
      <xdr:nvSpPr>
        <xdr:cNvPr id="1970" name="AutoShape 946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955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947</xdr:row>
      <xdr:rowOff>0</xdr:rowOff>
    </xdr:from>
    <xdr:to>
      <xdr:col>4</xdr:col>
      <xdr:colOff>304800</xdr:colOff>
      <xdr:row>948</xdr:row>
      <xdr:rowOff>114300</xdr:rowOff>
    </xdr:to>
    <xdr:sp macro="" textlink="">
      <xdr:nvSpPr>
        <xdr:cNvPr id="1971" name="AutoShape 947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013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947</xdr:row>
      <xdr:rowOff>0</xdr:rowOff>
    </xdr:from>
    <xdr:to>
      <xdr:col>5</xdr:col>
      <xdr:colOff>304800</xdr:colOff>
      <xdr:row>948</xdr:row>
      <xdr:rowOff>114300</xdr:rowOff>
    </xdr:to>
    <xdr:sp macro="" textlink="">
      <xdr:nvSpPr>
        <xdr:cNvPr id="1972" name="AutoShape 948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013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949</xdr:row>
      <xdr:rowOff>0</xdr:rowOff>
    </xdr:from>
    <xdr:to>
      <xdr:col>4</xdr:col>
      <xdr:colOff>304800</xdr:colOff>
      <xdr:row>950</xdr:row>
      <xdr:rowOff>114300</xdr:rowOff>
    </xdr:to>
    <xdr:sp macro="" textlink="">
      <xdr:nvSpPr>
        <xdr:cNvPr id="1973" name="AutoShape 949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071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949</xdr:row>
      <xdr:rowOff>0</xdr:rowOff>
    </xdr:from>
    <xdr:to>
      <xdr:col>5</xdr:col>
      <xdr:colOff>304800</xdr:colOff>
      <xdr:row>950</xdr:row>
      <xdr:rowOff>114300</xdr:rowOff>
    </xdr:to>
    <xdr:sp macro="" textlink="">
      <xdr:nvSpPr>
        <xdr:cNvPr id="1974" name="AutoShape 950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071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951</xdr:row>
      <xdr:rowOff>0</xdr:rowOff>
    </xdr:from>
    <xdr:to>
      <xdr:col>4</xdr:col>
      <xdr:colOff>304800</xdr:colOff>
      <xdr:row>952</xdr:row>
      <xdr:rowOff>76200</xdr:rowOff>
    </xdr:to>
    <xdr:sp macro="" textlink="">
      <xdr:nvSpPr>
        <xdr:cNvPr id="1975" name="AutoShape 951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129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951</xdr:row>
      <xdr:rowOff>0</xdr:rowOff>
    </xdr:from>
    <xdr:to>
      <xdr:col>5</xdr:col>
      <xdr:colOff>304800</xdr:colOff>
      <xdr:row>952</xdr:row>
      <xdr:rowOff>76200</xdr:rowOff>
    </xdr:to>
    <xdr:sp macro="" textlink="">
      <xdr:nvSpPr>
        <xdr:cNvPr id="1976" name="AutoShape 952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129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953</xdr:row>
      <xdr:rowOff>0</xdr:rowOff>
    </xdr:from>
    <xdr:to>
      <xdr:col>4</xdr:col>
      <xdr:colOff>304800</xdr:colOff>
      <xdr:row>954</xdr:row>
      <xdr:rowOff>114300</xdr:rowOff>
    </xdr:to>
    <xdr:sp macro="" textlink="">
      <xdr:nvSpPr>
        <xdr:cNvPr id="1977" name="AutoShape 953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172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953</xdr:row>
      <xdr:rowOff>0</xdr:rowOff>
    </xdr:from>
    <xdr:to>
      <xdr:col>5</xdr:col>
      <xdr:colOff>304800</xdr:colOff>
      <xdr:row>954</xdr:row>
      <xdr:rowOff>114300</xdr:rowOff>
    </xdr:to>
    <xdr:sp macro="" textlink="">
      <xdr:nvSpPr>
        <xdr:cNvPr id="1978" name="AutoShape 954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172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955</xdr:row>
      <xdr:rowOff>0</xdr:rowOff>
    </xdr:from>
    <xdr:to>
      <xdr:col>4</xdr:col>
      <xdr:colOff>304800</xdr:colOff>
      <xdr:row>956</xdr:row>
      <xdr:rowOff>114300</xdr:rowOff>
    </xdr:to>
    <xdr:sp macro="" textlink="">
      <xdr:nvSpPr>
        <xdr:cNvPr id="1979" name="AutoShape 955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230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955</xdr:row>
      <xdr:rowOff>0</xdr:rowOff>
    </xdr:from>
    <xdr:to>
      <xdr:col>5</xdr:col>
      <xdr:colOff>304800</xdr:colOff>
      <xdr:row>956</xdr:row>
      <xdr:rowOff>114300</xdr:rowOff>
    </xdr:to>
    <xdr:sp macro="" textlink="">
      <xdr:nvSpPr>
        <xdr:cNvPr id="1980" name="AutoShape 956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230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957</xdr:row>
      <xdr:rowOff>0</xdr:rowOff>
    </xdr:from>
    <xdr:to>
      <xdr:col>4</xdr:col>
      <xdr:colOff>304800</xdr:colOff>
      <xdr:row>958</xdr:row>
      <xdr:rowOff>76200</xdr:rowOff>
    </xdr:to>
    <xdr:sp macro="" textlink="">
      <xdr:nvSpPr>
        <xdr:cNvPr id="1981" name="AutoShape 957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2883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957</xdr:row>
      <xdr:rowOff>0</xdr:rowOff>
    </xdr:from>
    <xdr:to>
      <xdr:col>5</xdr:col>
      <xdr:colOff>304800</xdr:colOff>
      <xdr:row>958</xdr:row>
      <xdr:rowOff>76200</xdr:rowOff>
    </xdr:to>
    <xdr:sp macro="" textlink="">
      <xdr:nvSpPr>
        <xdr:cNvPr id="1982" name="AutoShape 958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2883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959</xdr:row>
      <xdr:rowOff>0</xdr:rowOff>
    </xdr:from>
    <xdr:to>
      <xdr:col>4</xdr:col>
      <xdr:colOff>304800</xdr:colOff>
      <xdr:row>960</xdr:row>
      <xdr:rowOff>114300</xdr:rowOff>
    </xdr:to>
    <xdr:sp macro="" textlink="">
      <xdr:nvSpPr>
        <xdr:cNvPr id="1983" name="AutoShape 95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331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959</xdr:row>
      <xdr:rowOff>0</xdr:rowOff>
    </xdr:from>
    <xdr:to>
      <xdr:col>5</xdr:col>
      <xdr:colOff>304800</xdr:colOff>
      <xdr:row>960</xdr:row>
      <xdr:rowOff>114300</xdr:rowOff>
    </xdr:to>
    <xdr:sp macro="" textlink="">
      <xdr:nvSpPr>
        <xdr:cNvPr id="1984" name="AutoShape 960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331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961</xdr:row>
      <xdr:rowOff>0</xdr:rowOff>
    </xdr:from>
    <xdr:to>
      <xdr:col>4</xdr:col>
      <xdr:colOff>304800</xdr:colOff>
      <xdr:row>962</xdr:row>
      <xdr:rowOff>114300</xdr:rowOff>
    </xdr:to>
    <xdr:sp macro="" textlink="">
      <xdr:nvSpPr>
        <xdr:cNvPr id="1985" name="AutoShape 961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389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961</xdr:row>
      <xdr:rowOff>0</xdr:rowOff>
    </xdr:from>
    <xdr:to>
      <xdr:col>5</xdr:col>
      <xdr:colOff>304800</xdr:colOff>
      <xdr:row>962</xdr:row>
      <xdr:rowOff>114300</xdr:rowOff>
    </xdr:to>
    <xdr:sp macro="" textlink="">
      <xdr:nvSpPr>
        <xdr:cNvPr id="1986" name="AutoShape 962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389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963</xdr:row>
      <xdr:rowOff>0</xdr:rowOff>
    </xdr:from>
    <xdr:to>
      <xdr:col>4</xdr:col>
      <xdr:colOff>304800</xdr:colOff>
      <xdr:row>964</xdr:row>
      <xdr:rowOff>114300</xdr:rowOff>
    </xdr:to>
    <xdr:sp macro="" textlink="">
      <xdr:nvSpPr>
        <xdr:cNvPr id="1987" name="AutoShape 963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447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963</xdr:row>
      <xdr:rowOff>0</xdr:rowOff>
    </xdr:from>
    <xdr:to>
      <xdr:col>5</xdr:col>
      <xdr:colOff>304800</xdr:colOff>
      <xdr:row>964</xdr:row>
      <xdr:rowOff>114300</xdr:rowOff>
    </xdr:to>
    <xdr:sp macro="" textlink="">
      <xdr:nvSpPr>
        <xdr:cNvPr id="1988" name="AutoShape 96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447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965</xdr:row>
      <xdr:rowOff>0</xdr:rowOff>
    </xdr:from>
    <xdr:to>
      <xdr:col>4</xdr:col>
      <xdr:colOff>304800</xdr:colOff>
      <xdr:row>966</xdr:row>
      <xdr:rowOff>114300</xdr:rowOff>
    </xdr:to>
    <xdr:sp macro="" textlink="">
      <xdr:nvSpPr>
        <xdr:cNvPr id="1989" name="AutoShape 965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505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965</xdr:row>
      <xdr:rowOff>0</xdr:rowOff>
    </xdr:from>
    <xdr:to>
      <xdr:col>5</xdr:col>
      <xdr:colOff>304800</xdr:colOff>
      <xdr:row>966</xdr:row>
      <xdr:rowOff>114300</xdr:rowOff>
    </xdr:to>
    <xdr:sp macro="" textlink="">
      <xdr:nvSpPr>
        <xdr:cNvPr id="1990" name="AutoShape 96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505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967</xdr:row>
      <xdr:rowOff>0</xdr:rowOff>
    </xdr:from>
    <xdr:to>
      <xdr:col>4</xdr:col>
      <xdr:colOff>304800</xdr:colOff>
      <xdr:row>968</xdr:row>
      <xdr:rowOff>114300</xdr:rowOff>
    </xdr:to>
    <xdr:sp macro="" textlink="">
      <xdr:nvSpPr>
        <xdr:cNvPr id="1991" name="AutoShape 967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5636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967</xdr:row>
      <xdr:rowOff>0</xdr:rowOff>
    </xdr:from>
    <xdr:to>
      <xdr:col>5</xdr:col>
      <xdr:colOff>304800</xdr:colOff>
      <xdr:row>968</xdr:row>
      <xdr:rowOff>114300</xdr:rowOff>
    </xdr:to>
    <xdr:sp macro="" textlink="">
      <xdr:nvSpPr>
        <xdr:cNvPr id="1992" name="AutoShape 968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5636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969</xdr:row>
      <xdr:rowOff>0</xdr:rowOff>
    </xdr:from>
    <xdr:to>
      <xdr:col>4</xdr:col>
      <xdr:colOff>304800</xdr:colOff>
      <xdr:row>970</xdr:row>
      <xdr:rowOff>114300</xdr:rowOff>
    </xdr:to>
    <xdr:sp macro="" textlink="">
      <xdr:nvSpPr>
        <xdr:cNvPr id="1993" name="AutoShape 969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621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969</xdr:row>
      <xdr:rowOff>0</xdr:rowOff>
    </xdr:from>
    <xdr:to>
      <xdr:col>5</xdr:col>
      <xdr:colOff>304800</xdr:colOff>
      <xdr:row>970</xdr:row>
      <xdr:rowOff>114300</xdr:rowOff>
    </xdr:to>
    <xdr:sp macro="" textlink="">
      <xdr:nvSpPr>
        <xdr:cNvPr id="1994" name="AutoShape 970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621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971</xdr:row>
      <xdr:rowOff>0</xdr:rowOff>
    </xdr:from>
    <xdr:to>
      <xdr:col>4</xdr:col>
      <xdr:colOff>304800</xdr:colOff>
      <xdr:row>972</xdr:row>
      <xdr:rowOff>114300</xdr:rowOff>
    </xdr:to>
    <xdr:sp macro="" textlink="">
      <xdr:nvSpPr>
        <xdr:cNvPr id="1995" name="AutoShape 971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698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971</xdr:row>
      <xdr:rowOff>0</xdr:rowOff>
    </xdr:from>
    <xdr:to>
      <xdr:col>5</xdr:col>
      <xdr:colOff>304800</xdr:colOff>
      <xdr:row>972</xdr:row>
      <xdr:rowOff>114300</xdr:rowOff>
    </xdr:to>
    <xdr:sp macro="" textlink="">
      <xdr:nvSpPr>
        <xdr:cNvPr id="1996" name="AutoShape 972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698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973</xdr:row>
      <xdr:rowOff>0</xdr:rowOff>
    </xdr:from>
    <xdr:to>
      <xdr:col>4</xdr:col>
      <xdr:colOff>304800</xdr:colOff>
      <xdr:row>974</xdr:row>
      <xdr:rowOff>114300</xdr:rowOff>
    </xdr:to>
    <xdr:sp macro="" textlink="">
      <xdr:nvSpPr>
        <xdr:cNvPr id="1997" name="AutoShape 973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757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973</xdr:row>
      <xdr:rowOff>0</xdr:rowOff>
    </xdr:from>
    <xdr:to>
      <xdr:col>5</xdr:col>
      <xdr:colOff>304800</xdr:colOff>
      <xdr:row>974</xdr:row>
      <xdr:rowOff>114300</xdr:rowOff>
    </xdr:to>
    <xdr:sp macro="" textlink="">
      <xdr:nvSpPr>
        <xdr:cNvPr id="1998" name="AutoShape 974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757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975</xdr:row>
      <xdr:rowOff>0</xdr:rowOff>
    </xdr:from>
    <xdr:to>
      <xdr:col>4</xdr:col>
      <xdr:colOff>304800</xdr:colOff>
      <xdr:row>976</xdr:row>
      <xdr:rowOff>114300</xdr:rowOff>
    </xdr:to>
    <xdr:sp macro="" textlink="">
      <xdr:nvSpPr>
        <xdr:cNvPr id="1999" name="AutoShape 975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815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975</xdr:row>
      <xdr:rowOff>0</xdr:rowOff>
    </xdr:from>
    <xdr:to>
      <xdr:col>5</xdr:col>
      <xdr:colOff>304800</xdr:colOff>
      <xdr:row>976</xdr:row>
      <xdr:rowOff>114300</xdr:rowOff>
    </xdr:to>
    <xdr:sp macro="" textlink="">
      <xdr:nvSpPr>
        <xdr:cNvPr id="2000" name="AutoShape 976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815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977</xdr:row>
      <xdr:rowOff>0</xdr:rowOff>
    </xdr:from>
    <xdr:to>
      <xdr:col>4</xdr:col>
      <xdr:colOff>304800</xdr:colOff>
      <xdr:row>978</xdr:row>
      <xdr:rowOff>114300</xdr:rowOff>
    </xdr:to>
    <xdr:sp macro="" textlink="">
      <xdr:nvSpPr>
        <xdr:cNvPr id="2001" name="AutoShape 977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873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977</xdr:row>
      <xdr:rowOff>0</xdr:rowOff>
    </xdr:from>
    <xdr:to>
      <xdr:col>5</xdr:col>
      <xdr:colOff>304800</xdr:colOff>
      <xdr:row>978</xdr:row>
      <xdr:rowOff>114300</xdr:rowOff>
    </xdr:to>
    <xdr:sp macro="" textlink="">
      <xdr:nvSpPr>
        <xdr:cNvPr id="2002" name="AutoShape 978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873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979</xdr:row>
      <xdr:rowOff>0</xdr:rowOff>
    </xdr:from>
    <xdr:to>
      <xdr:col>4</xdr:col>
      <xdr:colOff>304800</xdr:colOff>
      <xdr:row>980</xdr:row>
      <xdr:rowOff>114300</xdr:rowOff>
    </xdr:to>
    <xdr:sp macro="" textlink="">
      <xdr:nvSpPr>
        <xdr:cNvPr id="2003" name="AutoShape 979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931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979</xdr:row>
      <xdr:rowOff>0</xdr:rowOff>
    </xdr:from>
    <xdr:to>
      <xdr:col>5</xdr:col>
      <xdr:colOff>304800</xdr:colOff>
      <xdr:row>980</xdr:row>
      <xdr:rowOff>114300</xdr:rowOff>
    </xdr:to>
    <xdr:sp macro="" textlink="">
      <xdr:nvSpPr>
        <xdr:cNvPr id="2004" name="AutoShape 980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931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981</xdr:row>
      <xdr:rowOff>0</xdr:rowOff>
    </xdr:from>
    <xdr:to>
      <xdr:col>4</xdr:col>
      <xdr:colOff>304800</xdr:colOff>
      <xdr:row>982</xdr:row>
      <xdr:rowOff>76200</xdr:rowOff>
    </xdr:to>
    <xdr:sp macro="" textlink="">
      <xdr:nvSpPr>
        <xdr:cNvPr id="2005" name="AutoShape 98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989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981</xdr:row>
      <xdr:rowOff>0</xdr:rowOff>
    </xdr:from>
    <xdr:to>
      <xdr:col>5</xdr:col>
      <xdr:colOff>304800</xdr:colOff>
      <xdr:row>982</xdr:row>
      <xdr:rowOff>76200</xdr:rowOff>
    </xdr:to>
    <xdr:sp macro="" textlink="">
      <xdr:nvSpPr>
        <xdr:cNvPr id="2006" name="AutoShape 982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989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983</xdr:row>
      <xdr:rowOff>0</xdr:rowOff>
    </xdr:from>
    <xdr:to>
      <xdr:col>4</xdr:col>
      <xdr:colOff>304800</xdr:colOff>
      <xdr:row>984</xdr:row>
      <xdr:rowOff>114300</xdr:rowOff>
    </xdr:to>
    <xdr:sp macro="" textlink="">
      <xdr:nvSpPr>
        <xdr:cNvPr id="2007" name="AutoShape 983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032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983</xdr:row>
      <xdr:rowOff>0</xdr:rowOff>
    </xdr:from>
    <xdr:to>
      <xdr:col>5</xdr:col>
      <xdr:colOff>304800</xdr:colOff>
      <xdr:row>984</xdr:row>
      <xdr:rowOff>114300</xdr:rowOff>
    </xdr:to>
    <xdr:sp macro="" textlink="">
      <xdr:nvSpPr>
        <xdr:cNvPr id="2008" name="AutoShape 984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032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985</xdr:row>
      <xdr:rowOff>0</xdr:rowOff>
    </xdr:from>
    <xdr:to>
      <xdr:col>4</xdr:col>
      <xdr:colOff>304800</xdr:colOff>
      <xdr:row>986</xdr:row>
      <xdr:rowOff>114300</xdr:rowOff>
    </xdr:to>
    <xdr:sp macro="" textlink="">
      <xdr:nvSpPr>
        <xdr:cNvPr id="2009" name="AutoShape 985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0903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985</xdr:row>
      <xdr:rowOff>0</xdr:rowOff>
    </xdr:from>
    <xdr:to>
      <xdr:col>5</xdr:col>
      <xdr:colOff>304800</xdr:colOff>
      <xdr:row>986</xdr:row>
      <xdr:rowOff>114300</xdr:rowOff>
    </xdr:to>
    <xdr:sp macro="" textlink="">
      <xdr:nvSpPr>
        <xdr:cNvPr id="2010" name="AutoShape 986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0903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987</xdr:row>
      <xdr:rowOff>0</xdr:rowOff>
    </xdr:from>
    <xdr:to>
      <xdr:col>4</xdr:col>
      <xdr:colOff>304800</xdr:colOff>
      <xdr:row>988</xdr:row>
      <xdr:rowOff>76200</xdr:rowOff>
    </xdr:to>
    <xdr:sp macro="" textlink="">
      <xdr:nvSpPr>
        <xdr:cNvPr id="2011" name="AutoShape 987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1484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987</xdr:row>
      <xdr:rowOff>0</xdr:rowOff>
    </xdr:from>
    <xdr:to>
      <xdr:col>5</xdr:col>
      <xdr:colOff>304800</xdr:colOff>
      <xdr:row>988</xdr:row>
      <xdr:rowOff>76200</xdr:rowOff>
    </xdr:to>
    <xdr:sp macro="" textlink="">
      <xdr:nvSpPr>
        <xdr:cNvPr id="2012" name="AutoShape 988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1484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989</xdr:row>
      <xdr:rowOff>0</xdr:rowOff>
    </xdr:from>
    <xdr:to>
      <xdr:col>4</xdr:col>
      <xdr:colOff>304800</xdr:colOff>
      <xdr:row>990</xdr:row>
      <xdr:rowOff>114300</xdr:rowOff>
    </xdr:to>
    <xdr:sp macro="" textlink="">
      <xdr:nvSpPr>
        <xdr:cNvPr id="2013" name="AutoShape 98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191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989</xdr:row>
      <xdr:rowOff>0</xdr:rowOff>
    </xdr:from>
    <xdr:to>
      <xdr:col>5</xdr:col>
      <xdr:colOff>304800</xdr:colOff>
      <xdr:row>990</xdr:row>
      <xdr:rowOff>114300</xdr:rowOff>
    </xdr:to>
    <xdr:sp macro="" textlink="">
      <xdr:nvSpPr>
        <xdr:cNvPr id="2014" name="AutoShape 990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191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991</xdr:row>
      <xdr:rowOff>0</xdr:rowOff>
    </xdr:from>
    <xdr:to>
      <xdr:col>4</xdr:col>
      <xdr:colOff>304800</xdr:colOff>
      <xdr:row>992</xdr:row>
      <xdr:rowOff>114300</xdr:rowOff>
    </xdr:to>
    <xdr:sp macro="" textlink="">
      <xdr:nvSpPr>
        <xdr:cNvPr id="2015" name="AutoShape 991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2494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991</xdr:row>
      <xdr:rowOff>0</xdr:rowOff>
    </xdr:from>
    <xdr:to>
      <xdr:col>5</xdr:col>
      <xdr:colOff>304800</xdr:colOff>
      <xdr:row>992</xdr:row>
      <xdr:rowOff>114300</xdr:rowOff>
    </xdr:to>
    <xdr:sp macro="" textlink="">
      <xdr:nvSpPr>
        <xdr:cNvPr id="2016" name="AutoShape 992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2494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993</xdr:row>
      <xdr:rowOff>0</xdr:rowOff>
    </xdr:from>
    <xdr:to>
      <xdr:col>4</xdr:col>
      <xdr:colOff>304800</xdr:colOff>
      <xdr:row>994</xdr:row>
      <xdr:rowOff>114300</xdr:rowOff>
    </xdr:to>
    <xdr:sp macro="" textlink="">
      <xdr:nvSpPr>
        <xdr:cNvPr id="2017" name="AutoShape 993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288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993</xdr:row>
      <xdr:rowOff>0</xdr:rowOff>
    </xdr:from>
    <xdr:to>
      <xdr:col>5</xdr:col>
      <xdr:colOff>304800</xdr:colOff>
      <xdr:row>994</xdr:row>
      <xdr:rowOff>114300</xdr:rowOff>
    </xdr:to>
    <xdr:sp macro="" textlink="">
      <xdr:nvSpPr>
        <xdr:cNvPr id="2018" name="AutoShape 99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288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995</xdr:row>
      <xdr:rowOff>0</xdr:rowOff>
    </xdr:from>
    <xdr:to>
      <xdr:col>4</xdr:col>
      <xdr:colOff>304800</xdr:colOff>
      <xdr:row>996</xdr:row>
      <xdr:rowOff>114300</xdr:rowOff>
    </xdr:to>
    <xdr:sp macro="" textlink="">
      <xdr:nvSpPr>
        <xdr:cNvPr id="2019" name="AutoShape 995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346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995</xdr:row>
      <xdr:rowOff>0</xdr:rowOff>
    </xdr:from>
    <xdr:to>
      <xdr:col>5</xdr:col>
      <xdr:colOff>304800</xdr:colOff>
      <xdr:row>996</xdr:row>
      <xdr:rowOff>114300</xdr:rowOff>
    </xdr:to>
    <xdr:sp macro="" textlink="">
      <xdr:nvSpPr>
        <xdr:cNvPr id="2020" name="AutoShape 996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346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997</xdr:row>
      <xdr:rowOff>0</xdr:rowOff>
    </xdr:from>
    <xdr:to>
      <xdr:col>4</xdr:col>
      <xdr:colOff>304800</xdr:colOff>
      <xdr:row>998</xdr:row>
      <xdr:rowOff>114300</xdr:rowOff>
    </xdr:to>
    <xdr:sp macro="" textlink="">
      <xdr:nvSpPr>
        <xdr:cNvPr id="2021" name="AutoShape 997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404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997</xdr:row>
      <xdr:rowOff>0</xdr:rowOff>
    </xdr:from>
    <xdr:to>
      <xdr:col>5</xdr:col>
      <xdr:colOff>304800</xdr:colOff>
      <xdr:row>998</xdr:row>
      <xdr:rowOff>114300</xdr:rowOff>
    </xdr:to>
    <xdr:sp macro="" textlink="">
      <xdr:nvSpPr>
        <xdr:cNvPr id="2022" name="AutoShape 998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404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999</xdr:row>
      <xdr:rowOff>0</xdr:rowOff>
    </xdr:from>
    <xdr:to>
      <xdr:col>4</xdr:col>
      <xdr:colOff>304800</xdr:colOff>
      <xdr:row>1000</xdr:row>
      <xdr:rowOff>114300</xdr:rowOff>
    </xdr:to>
    <xdr:sp macro="" textlink="">
      <xdr:nvSpPr>
        <xdr:cNvPr id="2023" name="AutoShape 999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462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999</xdr:row>
      <xdr:rowOff>0</xdr:rowOff>
    </xdr:from>
    <xdr:to>
      <xdr:col>5</xdr:col>
      <xdr:colOff>304800</xdr:colOff>
      <xdr:row>1000</xdr:row>
      <xdr:rowOff>114300</xdr:rowOff>
    </xdr:to>
    <xdr:sp macro="" textlink="">
      <xdr:nvSpPr>
        <xdr:cNvPr id="2024" name="AutoShape 1000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462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1001</xdr:row>
      <xdr:rowOff>0</xdr:rowOff>
    </xdr:from>
    <xdr:to>
      <xdr:col>4</xdr:col>
      <xdr:colOff>304800</xdr:colOff>
      <xdr:row>1002</xdr:row>
      <xdr:rowOff>114300</xdr:rowOff>
    </xdr:to>
    <xdr:sp macro="" textlink="">
      <xdr:nvSpPr>
        <xdr:cNvPr id="2025" name="AutoShape 1001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5209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1001</xdr:row>
      <xdr:rowOff>0</xdr:rowOff>
    </xdr:from>
    <xdr:to>
      <xdr:col>5</xdr:col>
      <xdr:colOff>304800</xdr:colOff>
      <xdr:row>1002</xdr:row>
      <xdr:rowOff>114300</xdr:rowOff>
    </xdr:to>
    <xdr:sp macro="" textlink="">
      <xdr:nvSpPr>
        <xdr:cNvPr id="2026" name="AutoShape 1002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5209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1003</xdr:row>
      <xdr:rowOff>0</xdr:rowOff>
    </xdr:from>
    <xdr:to>
      <xdr:col>4</xdr:col>
      <xdr:colOff>304800</xdr:colOff>
      <xdr:row>1004</xdr:row>
      <xdr:rowOff>76200</xdr:rowOff>
    </xdr:to>
    <xdr:sp macro="" textlink="">
      <xdr:nvSpPr>
        <xdr:cNvPr id="2027" name="AutoShape 1003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5790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1003</xdr:row>
      <xdr:rowOff>0</xdr:rowOff>
    </xdr:from>
    <xdr:to>
      <xdr:col>5</xdr:col>
      <xdr:colOff>304800</xdr:colOff>
      <xdr:row>1004</xdr:row>
      <xdr:rowOff>76200</xdr:rowOff>
    </xdr:to>
    <xdr:sp macro="" textlink="">
      <xdr:nvSpPr>
        <xdr:cNvPr id="2028" name="AutoShape 1004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5790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1005</xdr:row>
      <xdr:rowOff>0</xdr:rowOff>
    </xdr:from>
    <xdr:to>
      <xdr:col>4</xdr:col>
      <xdr:colOff>304800</xdr:colOff>
      <xdr:row>1006</xdr:row>
      <xdr:rowOff>114300</xdr:rowOff>
    </xdr:to>
    <xdr:sp macro="" textlink="">
      <xdr:nvSpPr>
        <xdr:cNvPr id="2029" name="AutoShape 1005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621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1005</xdr:row>
      <xdr:rowOff>0</xdr:rowOff>
    </xdr:from>
    <xdr:to>
      <xdr:col>5</xdr:col>
      <xdr:colOff>304800</xdr:colOff>
      <xdr:row>1006</xdr:row>
      <xdr:rowOff>114300</xdr:rowOff>
    </xdr:to>
    <xdr:sp macro="" textlink="">
      <xdr:nvSpPr>
        <xdr:cNvPr id="2030" name="AutoShape 1006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621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1007</xdr:row>
      <xdr:rowOff>0</xdr:rowOff>
    </xdr:from>
    <xdr:to>
      <xdr:col>4</xdr:col>
      <xdr:colOff>304800</xdr:colOff>
      <xdr:row>1008</xdr:row>
      <xdr:rowOff>76200</xdr:rowOff>
    </xdr:to>
    <xdr:sp macro="" textlink="">
      <xdr:nvSpPr>
        <xdr:cNvPr id="2031" name="AutoShape 1007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679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1007</xdr:row>
      <xdr:rowOff>0</xdr:rowOff>
    </xdr:from>
    <xdr:to>
      <xdr:col>5</xdr:col>
      <xdr:colOff>304800</xdr:colOff>
      <xdr:row>1008</xdr:row>
      <xdr:rowOff>76200</xdr:rowOff>
    </xdr:to>
    <xdr:sp macro="" textlink="">
      <xdr:nvSpPr>
        <xdr:cNvPr id="2032" name="AutoShape 1008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679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1009</xdr:row>
      <xdr:rowOff>0</xdr:rowOff>
    </xdr:from>
    <xdr:to>
      <xdr:col>4</xdr:col>
      <xdr:colOff>304800</xdr:colOff>
      <xdr:row>1010</xdr:row>
      <xdr:rowOff>114300</xdr:rowOff>
    </xdr:to>
    <xdr:sp macro="" textlink="">
      <xdr:nvSpPr>
        <xdr:cNvPr id="2033" name="AutoShape 100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722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1009</xdr:row>
      <xdr:rowOff>0</xdr:rowOff>
    </xdr:from>
    <xdr:to>
      <xdr:col>5</xdr:col>
      <xdr:colOff>304800</xdr:colOff>
      <xdr:row>1010</xdr:row>
      <xdr:rowOff>114300</xdr:rowOff>
    </xdr:to>
    <xdr:sp macro="" textlink="">
      <xdr:nvSpPr>
        <xdr:cNvPr id="2034" name="AutoShape 1010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722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1011</xdr:row>
      <xdr:rowOff>0</xdr:rowOff>
    </xdr:from>
    <xdr:to>
      <xdr:col>4</xdr:col>
      <xdr:colOff>304800</xdr:colOff>
      <xdr:row>1012</xdr:row>
      <xdr:rowOff>114300</xdr:rowOff>
    </xdr:to>
    <xdr:sp macro="" textlink="">
      <xdr:nvSpPr>
        <xdr:cNvPr id="2035" name="AutoShape 1011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7809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1011</xdr:row>
      <xdr:rowOff>0</xdr:rowOff>
    </xdr:from>
    <xdr:to>
      <xdr:col>5</xdr:col>
      <xdr:colOff>304800</xdr:colOff>
      <xdr:row>1012</xdr:row>
      <xdr:rowOff>114300</xdr:rowOff>
    </xdr:to>
    <xdr:sp macro="" textlink="">
      <xdr:nvSpPr>
        <xdr:cNvPr id="2036" name="AutoShape 1012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7809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1013</xdr:row>
      <xdr:rowOff>0</xdr:rowOff>
    </xdr:from>
    <xdr:to>
      <xdr:col>4</xdr:col>
      <xdr:colOff>304800</xdr:colOff>
      <xdr:row>1014</xdr:row>
      <xdr:rowOff>114300</xdr:rowOff>
    </xdr:to>
    <xdr:sp macro="" textlink="">
      <xdr:nvSpPr>
        <xdr:cNvPr id="2037" name="AutoShape 1013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8580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1013</xdr:row>
      <xdr:rowOff>0</xdr:rowOff>
    </xdr:from>
    <xdr:to>
      <xdr:col>5</xdr:col>
      <xdr:colOff>304800</xdr:colOff>
      <xdr:row>1014</xdr:row>
      <xdr:rowOff>114300</xdr:rowOff>
    </xdr:to>
    <xdr:sp macro="" textlink="">
      <xdr:nvSpPr>
        <xdr:cNvPr id="2038" name="AutoShape 1014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8580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1015</xdr:row>
      <xdr:rowOff>0</xdr:rowOff>
    </xdr:from>
    <xdr:to>
      <xdr:col>4</xdr:col>
      <xdr:colOff>304800</xdr:colOff>
      <xdr:row>1016</xdr:row>
      <xdr:rowOff>114300</xdr:rowOff>
    </xdr:to>
    <xdr:sp macro="" textlink="">
      <xdr:nvSpPr>
        <xdr:cNvPr id="2039" name="AutoShape 1015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916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1015</xdr:row>
      <xdr:rowOff>0</xdr:rowOff>
    </xdr:from>
    <xdr:to>
      <xdr:col>5</xdr:col>
      <xdr:colOff>304800</xdr:colOff>
      <xdr:row>1016</xdr:row>
      <xdr:rowOff>114300</xdr:rowOff>
    </xdr:to>
    <xdr:sp macro="" textlink="">
      <xdr:nvSpPr>
        <xdr:cNvPr id="2040" name="AutoShape 1016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916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1017</xdr:row>
      <xdr:rowOff>0</xdr:rowOff>
    </xdr:from>
    <xdr:to>
      <xdr:col>4</xdr:col>
      <xdr:colOff>304800</xdr:colOff>
      <xdr:row>1018</xdr:row>
      <xdr:rowOff>76200</xdr:rowOff>
    </xdr:to>
    <xdr:sp macro="" textlink="">
      <xdr:nvSpPr>
        <xdr:cNvPr id="2041" name="AutoShape 1017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974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1017</xdr:row>
      <xdr:rowOff>0</xdr:rowOff>
    </xdr:from>
    <xdr:to>
      <xdr:col>5</xdr:col>
      <xdr:colOff>304800</xdr:colOff>
      <xdr:row>1018</xdr:row>
      <xdr:rowOff>76200</xdr:rowOff>
    </xdr:to>
    <xdr:sp macro="" textlink="">
      <xdr:nvSpPr>
        <xdr:cNvPr id="2042" name="AutoShape 1018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974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1019</xdr:row>
      <xdr:rowOff>0</xdr:rowOff>
    </xdr:from>
    <xdr:to>
      <xdr:col>4</xdr:col>
      <xdr:colOff>304800</xdr:colOff>
      <xdr:row>1020</xdr:row>
      <xdr:rowOff>76200</xdr:rowOff>
    </xdr:to>
    <xdr:sp macro="" textlink="">
      <xdr:nvSpPr>
        <xdr:cNvPr id="2043" name="AutoShape 1019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017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1019</xdr:row>
      <xdr:rowOff>0</xdr:rowOff>
    </xdr:from>
    <xdr:to>
      <xdr:col>5</xdr:col>
      <xdr:colOff>304800</xdr:colOff>
      <xdr:row>1020</xdr:row>
      <xdr:rowOff>76200</xdr:rowOff>
    </xdr:to>
    <xdr:sp macro="" textlink="">
      <xdr:nvSpPr>
        <xdr:cNvPr id="2044" name="AutoShape 1020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017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1021</xdr:row>
      <xdr:rowOff>0</xdr:rowOff>
    </xdr:from>
    <xdr:to>
      <xdr:col>4</xdr:col>
      <xdr:colOff>304800</xdr:colOff>
      <xdr:row>1022</xdr:row>
      <xdr:rowOff>114300</xdr:rowOff>
    </xdr:to>
    <xdr:sp macro="" textlink="">
      <xdr:nvSpPr>
        <xdr:cNvPr id="2045" name="AutoShape 1021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060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1021</xdr:row>
      <xdr:rowOff>0</xdr:rowOff>
    </xdr:from>
    <xdr:to>
      <xdr:col>5</xdr:col>
      <xdr:colOff>304800</xdr:colOff>
      <xdr:row>1022</xdr:row>
      <xdr:rowOff>114300</xdr:rowOff>
    </xdr:to>
    <xdr:sp macro="" textlink="">
      <xdr:nvSpPr>
        <xdr:cNvPr id="2046" name="AutoShape 1022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060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1023</xdr:row>
      <xdr:rowOff>0</xdr:rowOff>
    </xdr:from>
    <xdr:to>
      <xdr:col>4</xdr:col>
      <xdr:colOff>304800</xdr:colOff>
      <xdr:row>1024</xdr:row>
      <xdr:rowOff>114300</xdr:rowOff>
    </xdr:to>
    <xdr:sp macro="" textlink="">
      <xdr:nvSpPr>
        <xdr:cNvPr id="2047" name="AutoShape 1023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118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1023</xdr:row>
      <xdr:rowOff>0</xdr:rowOff>
    </xdr:from>
    <xdr:to>
      <xdr:col>5</xdr:col>
      <xdr:colOff>304800</xdr:colOff>
      <xdr:row>1024</xdr:row>
      <xdr:rowOff>114300</xdr:rowOff>
    </xdr:to>
    <xdr:sp macro="" textlink="">
      <xdr:nvSpPr>
        <xdr:cNvPr id="4096" name="AutoShape 1024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118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1025</xdr:row>
      <xdr:rowOff>0</xdr:rowOff>
    </xdr:from>
    <xdr:to>
      <xdr:col>4</xdr:col>
      <xdr:colOff>304800</xdr:colOff>
      <xdr:row>1026</xdr:row>
      <xdr:rowOff>114300</xdr:rowOff>
    </xdr:to>
    <xdr:sp macro="" textlink="">
      <xdr:nvSpPr>
        <xdr:cNvPr id="4097" name="AutoShape 102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176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1025</xdr:row>
      <xdr:rowOff>0</xdr:rowOff>
    </xdr:from>
    <xdr:to>
      <xdr:col>5</xdr:col>
      <xdr:colOff>304800</xdr:colOff>
      <xdr:row>1026</xdr:row>
      <xdr:rowOff>114300</xdr:rowOff>
    </xdr:to>
    <xdr:sp macro="" textlink="">
      <xdr:nvSpPr>
        <xdr:cNvPr id="4098" name="AutoShape 1026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176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1027</xdr:row>
      <xdr:rowOff>0</xdr:rowOff>
    </xdr:from>
    <xdr:to>
      <xdr:col>4</xdr:col>
      <xdr:colOff>304800</xdr:colOff>
      <xdr:row>1028</xdr:row>
      <xdr:rowOff>76200</xdr:rowOff>
    </xdr:to>
    <xdr:sp macro="" textlink="">
      <xdr:nvSpPr>
        <xdr:cNvPr id="4099" name="AutoShape 1027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2343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1027</xdr:row>
      <xdr:rowOff>0</xdr:rowOff>
    </xdr:from>
    <xdr:to>
      <xdr:col>5</xdr:col>
      <xdr:colOff>304800</xdr:colOff>
      <xdr:row>1028</xdr:row>
      <xdr:rowOff>76200</xdr:rowOff>
    </xdr:to>
    <xdr:sp macro="" textlink="">
      <xdr:nvSpPr>
        <xdr:cNvPr id="4100" name="AutoShape 102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2343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1029</xdr:row>
      <xdr:rowOff>0</xdr:rowOff>
    </xdr:from>
    <xdr:to>
      <xdr:col>4</xdr:col>
      <xdr:colOff>304800</xdr:colOff>
      <xdr:row>1030</xdr:row>
      <xdr:rowOff>114300</xdr:rowOff>
    </xdr:to>
    <xdr:sp macro="" textlink="">
      <xdr:nvSpPr>
        <xdr:cNvPr id="4101" name="AutoShape 1029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277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1029</xdr:row>
      <xdr:rowOff>0</xdr:rowOff>
    </xdr:from>
    <xdr:to>
      <xdr:col>5</xdr:col>
      <xdr:colOff>304800</xdr:colOff>
      <xdr:row>1030</xdr:row>
      <xdr:rowOff>114300</xdr:rowOff>
    </xdr:to>
    <xdr:sp macro="" textlink="">
      <xdr:nvSpPr>
        <xdr:cNvPr id="4102" name="AutoShape 1030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277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1031</xdr:row>
      <xdr:rowOff>0</xdr:rowOff>
    </xdr:from>
    <xdr:to>
      <xdr:col>4</xdr:col>
      <xdr:colOff>304800</xdr:colOff>
      <xdr:row>1032</xdr:row>
      <xdr:rowOff>76200</xdr:rowOff>
    </xdr:to>
    <xdr:sp macro="" textlink="">
      <xdr:nvSpPr>
        <xdr:cNvPr id="4103" name="AutoShape 1031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335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1031</xdr:row>
      <xdr:rowOff>0</xdr:rowOff>
    </xdr:from>
    <xdr:to>
      <xdr:col>5</xdr:col>
      <xdr:colOff>304800</xdr:colOff>
      <xdr:row>1032</xdr:row>
      <xdr:rowOff>76200</xdr:rowOff>
    </xdr:to>
    <xdr:sp macro="" textlink="">
      <xdr:nvSpPr>
        <xdr:cNvPr id="4104" name="AutoShape 1032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335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1033</xdr:row>
      <xdr:rowOff>0</xdr:rowOff>
    </xdr:from>
    <xdr:to>
      <xdr:col>4</xdr:col>
      <xdr:colOff>304800</xdr:colOff>
      <xdr:row>1034</xdr:row>
      <xdr:rowOff>114300</xdr:rowOff>
    </xdr:to>
    <xdr:sp macro="" textlink="">
      <xdr:nvSpPr>
        <xdr:cNvPr id="4105" name="AutoShape 1033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37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1033</xdr:row>
      <xdr:rowOff>0</xdr:rowOff>
    </xdr:from>
    <xdr:to>
      <xdr:col>5</xdr:col>
      <xdr:colOff>304800</xdr:colOff>
      <xdr:row>1034</xdr:row>
      <xdr:rowOff>114300</xdr:rowOff>
    </xdr:to>
    <xdr:sp macro="" textlink="">
      <xdr:nvSpPr>
        <xdr:cNvPr id="4106" name="AutoShape 1034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37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1035</xdr:row>
      <xdr:rowOff>0</xdr:rowOff>
    </xdr:from>
    <xdr:to>
      <xdr:col>4</xdr:col>
      <xdr:colOff>304800</xdr:colOff>
      <xdr:row>1036</xdr:row>
      <xdr:rowOff>114300</xdr:rowOff>
    </xdr:to>
    <xdr:sp macro="" textlink="">
      <xdr:nvSpPr>
        <xdr:cNvPr id="4107" name="AutoShape 1035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4362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1035</xdr:row>
      <xdr:rowOff>0</xdr:rowOff>
    </xdr:from>
    <xdr:to>
      <xdr:col>5</xdr:col>
      <xdr:colOff>304800</xdr:colOff>
      <xdr:row>1036</xdr:row>
      <xdr:rowOff>114300</xdr:rowOff>
    </xdr:to>
    <xdr:sp macro="" textlink="">
      <xdr:nvSpPr>
        <xdr:cNvPr id="4108" name="AutoShape 1036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4362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1037</xdr:row>
      <xdr:rowOff>0</xdr:rowOff>
    </xdr:from>
    <xdr:to>
      <xdr:col>4</xdr:col>
      <xdr:colOff>304800</xdr:colOff>
      <xdr:row>1038</xdr:row>
      <xdr:rowOff>114300</xdr:rowOff>
    </xdr:to>
    <xdr:sp macro="" textlink="">
      <xdr:nvSpPr>
        <xdr:cNvPr id="4109" name="AutoShape 1037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494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1037</xdr:row>
      <xdr:rowOff>0</xdr:rowOff>
    </xdr:from>
    <xdr:to>
      <xdr:col>5</xdr:col>
      <xdr:colOff>304800</xdr:colOff>
      <xdr:row>1038</xdr:row>
      <xdr:rowOff>114300</xdr:rowOff>
    </xdr:to>
    <xdr:sp macro="" textlink="">
      <xdr:nvSpPr>
        <xdr:cNvPr id="4110" name="AutoShape 1038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494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1039</xdr:row>
      <xdr:rowOff>0</xdr:rowOff>
    </xdr:from>
    <xdr:to>
      <xdr:col>4</xdr:col>
      <xdr:colOff>304800</xdr:colOff>
      <xdr:row>1040</xdr:row>
      <xdr:rowOff>114300</xdr:rowOff>
    </xdr:to>
    <xdr:sp macro="" textlink="">
      <xdr:nvSpPr>
        <xdr:cNvPr id="4111" name="AutoShape 1039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5524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1039</xdr:row>
      <xdr:rowOff>0</xdr:rowOff>
    </xdr:from>
    <xdr:to>
      <xdr:col>5</xdr:col>
      <xdr:colOff>304800</xdr:colOff>
      <xdr:row>1040</xdr:row>
      <xdr:rowOff>114300</xdr:rowOff>
    </xdr:to>
    <xdr:sp macro="" textlink="">
      <xdr:nvSpPr>
        <xdr:cNvPr id="4112" name="AutoShape 1040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5524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1041</xdr:row>
      <xdr:rowOff>0</xdr:rowOff>
    </xdr:from>
    <xdr:to>
      <xdr:col>4</xdr:col>
      <xdr:colOff>304800</xdr:colOff>
      <xdr:row>1042</xdr:row>
      <xdr:rowOff>114300</xdr:rowOff>
    </xdr:to>
    <xdr:sp macro="" textlink="">
      <xdr:nvSpPr>
        <xdr:cNvPr id="4113" name="AutoShape 1041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610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1041</xdr:row>
      <xdr:rowOff>0</xdr:rowOff>
    </xdr:from>
    <xdr:to>
      <xdr:col>5</xdr:col>
      <xdr:colOff>304800</xdr:colOff>
      <xdr:row>1042</xdr:row>
      <xdr:rowOff>114300</xdr:rowOff>
    </xdr:to>
    <xdr:sp macro="" textlink="">
      <xdr:nvSpPr>
        <xdr:cNvPr id="4114" name="AutoShape 1042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610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1043</xdr:row>
      <xdr:rowOff>0</xdr:rowOff>
    </xdr:from>
    <xdr:to>
      <xdr:col>4</xdr:col>
      <xdr:colOff>304800</xdr:colOff>
      <xdr:row>1044</xdr:row>
      <xdr:rowOff>76200</xdr:rowOff>
    </xdr:to>
    <xdr:sp macro="" textlink="">
      <xdr:nvSpPr>
        <xdr:cNvPr id="4115" name="AutoShape 1043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6686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1043</xdr:row>
      <xdr:rowOff>0</xdr:rowOff>
    </xdr:from>
    <xdr:to>
      <xdr:col>5</xdr:col>
      <xdr:colOff>304800</xdr:colOff>
      <xdr:row>1044</xdr:row>
      <xdr:rowOff>76200</xdr:rowOff>
    </xdr:to>
    <xdr:sp macro="" textlink="">
      <xdr:nvSpPr>
        <xdr:cNvPr id="4116" name="AutoShape 1044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6686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1045</xdr:row>
      <xdr:rowOff>0</xdr:rowOff>
    </xdr:from>
    <xdr:to>
      <xdr:col>4</xdr:col>
      <xdr:colOff>304800</xdr:colOff>
      <xdr:row>1046</xdr:row>
      <xdr:rowOff>114300</xdr:rowOff>
    </xdr:to>
    <xdr:sp macro="" textlink="">
      <xdr:nvSpPr>
        <xdr:cNvPr id="4117" name="AutoShape 1045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711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1045</xdr:row>
      <xdr:rowOff>0</xdr:rowOff>
    </xdr:from>
    <xdr:to>
      <xdr:col>5</xdr:col>
      <xdr:colOff>304800</xdr:colOff>
      <xdr:row>1046</xdr:row>
      <xdr:rowOff>114300</xdr:rowOff>
    </xdr:to>
    <xdr:sp macro="" textlink="">
      <xdr:nvSpPr>
        <xdr:cNvPr id="4118" name="AutoShape 104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711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1047</xdr:row>
      <xdr:rowOff>0</xdr:rowOff>
    </xdr:from>
    <xdr:to>
      <xdr:col>4</xdr:col>
      <xdr:colOff>304800</xdr:colOff>
      <xdr:row>1048</xdr:row>
      <xdr:rowOff>76200</xdr:rowOff>
    </xdr:to>
    <xdr:sp macro="" textlink="">
      <xdr:nvSpPr>
        <xdr:cNvPr id="4119" name="AutoShape 1047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7696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1047</xdr:row>
      <xdr:rowOff>0</xdr:rowOff>
    </xdr:from>
    <xdr:to>
      <xdr:col>5</xdr:col>
      <xdr:colOff>304800</xdr:colOff>
      <xdr:row>1048</xdr:row>
      <xdr:rowOff>76200</xdr:rowOff>
    </xdr:to>
    <xdr:sp macro="" textlink="">
      <xdr:nvSpPr>
        <xdr:cNvPr id="4120" name="AutoShape 1048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7696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1049</xdr:row>
      <xdr:rowOff>0</xdr:rowOff>
    </xdr:from>
    <xdr:to>
      <xdr:col>4</xdr:col>
      <xdr:colOff>304800</xdr:colOff>
      <xdr:row>1050</xdr:row>
      <xdr:rowOff>114300</xdr:rowOff>
    </xdr:to>
    <xdr:sp macro="" textlink="">
      <xdr:nvSpPr>
        <xdr:cNvPr id="4121" name="AutoShape 1049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812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1049</xdr:row>
      <xdr:rowOff>0</xdr:rowOff>
    </xdr:from>
    <xdr:to>
      <xdr:col>5</xdr:col>
      <xdr:colOff>304800</xdr:colOff>
      <xdr:row>1050</xdr:row>
      <xdr:rowOff>114300</xdr:rowOff>
    </xdr:to>
    <xdr:sp macro="" textlink="">
      <xdr:nvSpPr>
        <xdr:cNvPr id="4122" name="AutoShape 1050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812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1051</xdr:row>
      <xdr:rowOff>0</xdr:rowOff>
    </xdr:from>
    <xdr:to>
      <xdr:col>4</xdr:col>
      <xdr:colOff>304800</xdr:colOff>
      <xdr:row>1052</xdr:row>
      <xdr:rowOff>114300</xdr:rowOff>
    </xdr:to>
    <xdr:sp macro="" textlink="">
      <xdr:nvSpPr>
        <xdr:cNvPr id="4123" name="AutoShape 1051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870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1051</xdr:row>
      <xdr:rowOff>0</xdr:rowOff>
    </xdr:from>
    <xdr:to>
      <xdr:col>5</xdr:col>
      <xdr:colOff>304800</xdr:colOff>
      <xdr:row>1052</xdr:row>
      <xdr:rowOff>114300</xdr:rowOff>
    </xdr:to>
    <xdr:sp macro="" textlink="">
      <xdr:nvSpPr>
        <xdr:cNvPr id="4124" name="AutoShape 1052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870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1053</xdr:row>
      <xdr:rowOff>0</xdr:rowOff>
    </xdr:from>
    <xdr:to>
      <xdr:col>4</xdr:col>
      <xdr:colOff>304800</xdr:colOff>
      <xdr:row>1054</xdr:row>
      <xdr:rowOff>114300</xdr:rowOff>
    </xdr:to>
    <xdr:sp macro="" textlink="">
      <xdr:nvSpPr>
        <xdr:cNvPr id="4125" name="AutoShape 1053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92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1053</xdr:row>
      <xdr:rowOff>0</xdr:rowOff>
    </xdr:from>
    <xdr:to>
      <xdr:col>5</xdr:col>
      <xdr:colOff>304800</xdr:colOff>
      <xdr:row>1054</xdr:row>
      <xdr:rowOff>114300</xdr:rowOff>
    </xdr:to>
    <xdr:sp macro="" textlink="">
      <xdr:nvSpPr>
        <xdr:cNvPr id="4126" name="AutoShape 1054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92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1055</xdr:row>
      <xdr:rowOff>0</xdr:rowOff>
    </xdr:from>
    <xdr:to>
      <xdr:col>4</xdr:col>
      <xdr:colOff>304800</xdr:colOff>
      <xdr:row>1056</xdr:row>
      <xdr:rowOff>76200</xdr:rowOff>
    </xdr:to>
    <xdr:sp macro="" textlink="">
      <xdr:nvSpPr>
        <xdr:cNvPr id="4127" name="AutoShape 1055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986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1055</xdr:row>
      <xdr:rowOff>0</xdr:rowOff>
    </xdr:from>
    <xdr:to>
      <xdr:col>5</xdr:col>
      <xdr:colOff>304800</xdr:colOff>
      <xdr:row>1056</xdr:row>
      <xdr:rowOff>76200</xdr:rowOff>
    </xdr:to>
    <xdr:sp macro="" textlink="">
      <xdr:nvSpPr>
        <xdr:cNvPr id="4128" name="AutoShape 1056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986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1057</xdr:row>
      <xdr:rowOff>0</xdr:rowOff>
    </xdr:from>
    <xdr:to>
      <xdr:col>4</xdr:col>
      <xdr:colOff>304800</xdr:colOff>
      <xdr:row>1058</xdr:row>
      <xdr:rowOff>114300</xdr:rowOff>
    </xdr:to>
    <xdr:sp macro="" textlink="">
      <xdr:nvSpPr>
        <xdr:cNvPr id="4129" name="AutoShape 1057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029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1057</xdr:row>
      <xdr:rowOff>0</xdr:rowOff>
    </xdr:from>
    <xdr:to>
      <xdr:col>5</xdr:col>
      <xdr:colOff>304800</xdr:colOff>
      <xdr:row>1058</xdr:row>
      <xdr:rowOff>114300</xdr:rowOff>
    </xdr:to>
    <xdr:sp macro="" textlink="">
      <xdr:nvSpPr>
        <xdr:cNvPr id="4130" name="AutoShape 1058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029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1059</xdr:row>
      <xdr:rowOff>0</xdr:rowOff>
    </xdr:from>
    <xdr:to>
      <xdr:col>4</xdr:col>
      <xdr:colOff>304800</xdr:colOff>
      <xdr:row>1060</xdr:row>
      <xdr:rowOff>76200</xdr:rowOff>
    </xdr:to>
    <xdr:sp macro="" textlink="">
      <xdr:nvSpPr>
        <xdr:cNvPr id="4131" name="AutoShape 1059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0877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1059</xdr:row>
      <xdr:rowOff>0</xdr:rowOff>
    </xdr:from>
    <xdr:to>
      <xdr:col>5</xdr:col>
      <xdr:colOff>304800</xdr:colOff>
      <xdr:row>1060</xdr:row>
      <xdr:rowOff>76200</xdr:rowOff>
    </xdr:to>
    <xdr:sp macro="" textlink="">
      <xdr:nvSpPr>
        <xdr:cNvPr id="4132" name="AutoShape 1060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0877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1061</xdr:row>
      <xdr:rowOff>0</xdr:rowOff>
    </xdr:from>
    <xdr:to>
      <xdr:col>4</xdr:col>
      <xdr:colOff>304800</xdr:colOff>
      <xdr:row>1062</xdr:row>
      <xdr:rowOff>114300</xdr:rowOff>
    </xdr:to>
    <xdr:sp macro="" textlink="">
      <xdr:nvSpPr>
        <xdr:cNvPr id="4133" name="AutoShape 1061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130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1061</xdr:row>
      <xdr:rowOff>0</xdr:rowOff>
    </xdr:from>
    <xdr:to>
      <xdr:col>5</xdr:col>
      <xdr:colOff>304800</xdr:colOff>
      <xdr:row>1062</xdr:row>
      <xdr:rowOff>114300</xdr:rowOff>
    </xdr:to>
    <xdr:sp macro="" textlink="">
      <xdr:nvSpPr>
        <xdr:cNvPr id="4134" name="AutoShape 1062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130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1063</xdr:row>
      <xdr:rowOff>0</xdr:rowOff>
    </xdr:from>
    <xdr:to>
      <xdr:col>4</xdr:col>
      <xdr:colOff>304800</xdr:colOff>
      <xdr:row>1064</xdr:row>
      <xdr:rowOff>114300</xdr:rowOff>
    </xdr:to>
    <xdr:sp macro="" textlink="">
      <xdr:nvSpPr>
        <xdr:cNvPr id="4135" name="AutoShape 1063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188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1063</xdr:row>
      <xdr:rowOff>0</xdr:rowOff>
    </xdr:from>
    <xdr:to>
      <xdr:col>5</xdr:col>
      <xdr:colOff>304800</xdr:colOff>
      <xdr:row>1064</xdr:row>
      <xdr:rowOff>114300</xdr:rowOff>
    </xdr:to>
    <xdr:sp macro="" textlink="">
      <xdr:nvSpPr>
        <xdr:cNvPr id="4136" name="AutoShape 1064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188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1065</xdr:row>
      <xdr:rowOff>0</xdr:rowOff>
    </xdr:from>
    <xdr:to>
      <xdr:col>4</xdr:col>
      <xdr:colOff>304800</xdr:colOff>
      <xdr:row>1066</xdr:row>
      <xdr:rowOff>114300</xdr:rowOff>
    </xdr:to>
    <xdr:sp macro="" textlink="">
      <xdr:nvSpPr>
        <xdr:cNvPr id="4137" name="AutoShape 1065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265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1065</xdr:row>
      <xdr:rowOff>0</xdr:rowOff>
    </xdr:from>
    <xdr:to>
      <xdr:col>5</xdr:col>
      <xdr:colOff>304800</xdr:colOff>
      <xdr:row>1066</xdr:row>
      <xdr:rowOff>114300</xdr:rowOff>
    </xdr:to>
    <xdr:sp macro="" textlink="">
      <xdr:nvSpPr>
        <xdr:cNvPr id="4138" name="AutoShape 1066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265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1067</xdr:row>
      <xdr:rowOff>0</xdr:rowOff>
    </xdr:from>
    <xdr:to>
      <xdr:col>4</xdr:col>
      <xdr:colOff>304800</xdr:colOff>
      <xdr:row>1068</xdr:row>
      <xdr:rowOff>76200</xdr:rowOff>
    </xdr:to>
    <xdr:sp macro="" textlink="">
      <xdr:nvSpPr>
        <xdr:cNvPr id="4139" name="AutoShape 1067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3239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1067</xdr:row>
      <xdr:rowOff>0</xdr:rowOff>
    </xdr:from>
    <xdr:to>
      <xdr:col>5</xdr:col>
      <xdr:colOff>304800</xdr:colOff>
      <xdr:row>1068</xdr:row>
      <xdr:rowOff>76200</xdr:rowOff>
    </xdr:to>
    <xdr:sp macro="" textlink="">
      <xdr:nvSpPr>
        <xdr:cNvPr id="4140" name="AutoShape 106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3239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1069</xdr:row>
      <xdr:rowOff>0</xdr:rowOff>
    </xdr:from>
    <xdr:to>
      <xdr:col>4</xdr:col>
      <xdr:colOff>304800</xdr:colOff>
      <xdr:row>1070</xdr:row>
      <xdr:rowOff>114300</xdr:rowOff>
    </xdr:to>
    <xdr:sp macro="" textlink="">
      <xdr:nvSpPr>
        <xdr:cNvPr id="4141" name="AutoShape 1069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366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1069</xdr:row>
      <xdr:rowOff>0</xdr:rowOff>
    </xdr:from>
    <xdr:to>
      <xdr:col>5</xdr:col>
      <xdr:colOff>304800</xdr:colOff>
      <xdr:row>1070</xdr:row>
      <xdr:rowOff>114300</xdr:rowOff>
    </xdr:to>
    <xdr:sp macro="" textlink="">
      <xdr:nvSpPr>
        <xdr:cNvPr id="4142" name="AutoShape 1070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366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1071</xdr:row>
      <xdr:rowOff>0</xdr:rowOff>
    </xdr:from>
    <xdr:to>
      <xdr:col>4</xdr:col>
      <xdr:colOff>304800</xdr:colOff>
      <xdr:row>1072</xdr:row>
      <xdr:rowOff>114300</xdr:rowOff>
    </xdr:to>
    <xdr:sp macro="" textlink="">
      <xdr:nvSpPr>
        <xdr:cNvPr id="4143" name="AutoShape 1071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4249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1071</xdr:row>
      <xdr:rowOff>0</xdr:rowOff>
    </xdr:from>
    <xdr:to>
      <xdr:col>5</xdr:col>
      <xdr:colOff>304800</xdr:colOff>
      <xdr:row>1072</xdr:row>
      <xdr:rowOff>114300</xdr:rowOff>
    </xdr:to>
    <xdr:sp macro="" textlink="">
      <xdr:nvSpPr>
        <xdr:cNvPr id="4144" name="AutoShape 107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4249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1073</xdr:row>
      <xdr:rowOff>0</xdr:rowOff>
    </xdr:from>
    <xdr:to>
      <xdr:col>4</xdr:col>
      <xdr:colOff>304800</xdr:colOff>
      <xdr:row>1074</xdr:row>
      <xdr:rowOff>114300</xdr:rowOff>
    </xdr:to>
    <xdr:sp macro="" textlink="">
      <xdr:nvSpPr>
        <xdr:cNvPr id="4145" name="AutoShape 1073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4830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1073</xdr:row>
      <xdr:rowOff>0</xdr:rowOff>
    </xdr:from>
    <xdr:to>
      <xdr:col>5</xdr:col>
      <xdr:colOff>304800</xdr:colOff>
      <xdr:row>1074</xdr:row>
      <xdr:rowOff>114300</xdr:rowOff>
    </xdr:to>
    <xdr:sp macro="" textlink="">
      <xdr:nvSpPr>
        <xdr:cNvPr id="4146" name="AutoShape 107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4830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1075</xdr:row>
      <xdr:rowOff>0</xdr:rowOff>
    </xdr:from>
    <xdr:to>
      <xdr:col>4</xdr:col>
      <xdr:colOff>304800</xdr:colOff>
      <xdr:row>1076</xdr:row>
      <xdr:rowOff>76200</xdr:rowOff>
    </xdr:to>
    <xdr:sp macro="" textlink="">
      <xdr:nvSpPr>
        <xdr:cNvPr id="4147" name="AutoShape 1075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541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1075</xdr:row>
      <xdr:rowOff>0</xdr:rowOff>
    </xdr:from>
    <xdr:to>
      <xdr:col>5</xdr:col>
      <xdr:colOff>304800</xdr:colOff>
      <xdr:row>1076</xdr:row>
      <xdr:rowOff>76200</xdr:rowOff>
    </xdr:to>
    <xdr:sp macro="" textlink="">
      <xdr:nvSpPr>
        <xdr:cNvPr id="4148" name="AutoShape 1076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541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1077</xdr:row>
      <xdr:rowOff>0</xdr:rowOff>
    </xdr:from>
    <xdr:to>
      <xdr:col>4</xdr:col>
      <xdr:colOff>304800</xdr:colOff>
      <xdr:row>1078</xdr:row>
      <xdr:rowOff>114300</xdr:rowOff>
    </xdr:to>
    <xdr:sp macro="" textlink="">
      <xdr:nvSpPr>
        <xdr:cNvPr id="4149" name="AutoShape 1077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584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1077</xdr:row>
      <xdr:rowOff>0</xdr:rowOff>
    </xdr:from>
    <xdr:to>
      <xdr:col>5</xdr:col>
      <xdr:colOff>304800</xdr:colOff>
      <xdr:row>1078</xdr:row>
      <xdr:rowOff>114300</xdr:rowOff>
    </xdr:to>
    <xdr:sp macro="" textlink="">
      <xdr:nvSpPr>
        <xdr:cNvPr id="4150" name="AutoShape 1078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584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1079</xdr:row>
      <xdr:rowOff>0</xdr:rowOff>
    </xdr:from>
    <xdr:to>
      <xdr:col>4</xdr:col>
      <xdr:colOff>304800</xdr:colOff>
      <xdr:row>1080</xdr:row>
      <xdr:rowOff>114300</xdr:rowOff>
    </xdr:to>
    <xdr:sp macro="" textlink="">
      <xdr:nvSpPr>
        <xdr:cNvPr id="4151" name="AutoShape 1079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642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1079</xdr:row>
      <xdr:rowOff>0</xdr:rowOff>
    </xdr:from>
    <xdr:to>
      <xdr:col>5</xdr:col>
      <xdr:colOff>304800</xdr:colOff>
      <xdr:row>1080</xdr:row>
      <xdr:rowOff>114300</xdr:rowOff>
    </xdr:to>
    <xdr:sp macro="" textlink="">
      <xdr:nvSpPr>
        <xdr:cNvPr id="4152" name="AutoShape 1080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642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1081</xdr:row>
      <xdr:rowOff>0</xdr:rowOff>
    </xdr:from>
    <xdr:to>
      <xdr:col>4</xdr:col>
      <xdr:colOff>304800</xdr:colOff>
      <xdr:row>1082</xdr:row>
      <xdr:rowOff>114300</xdr:rowOff>
    </xdr:to>
    <xdr:sp macro="" textlink="">
      <xdr:nvSpPr>
        <xdr:cNvPr id="4153" name="AutoShape 1081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700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1081</xdr:row>
      <xdr:rowOff>0</xdr:rowOff>
    </xdr:from>
    <xdr:to>
      <xdr:col>5</xdr:col>
      <xdr:colOff>304800</xdr:colOff>
      <xdr:row>1082</xdr:row>
      <xdr:rowOff>114300</xdr:rowOff>
    </xdr:to>
    <xdr:sp macro="" textlink="">
      <xdr:nvSpPr>
        <xdr:cNvPr id="4154" name="AutoShape 1082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700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1083</xdr:row>
      <xdr:rowOff>0</xdr:rowOff>
    </xdr:from>
    <xdr:to>
      <xdr:col>4</xdr:col>
      <xdr:colOff>304800</xdr:colOff>
      <xdr:row>1084</xdr:row>
      <xdr:rowOff>76200</xdr:rowOff>
    </xdr:to>
    <xdr:sp macro="" textlink="">
      <xdr:nvSpPr>
        <xdr:cNvPr id="4155" name="AutoShape 1083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7583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1083</xdr:row>
      <xdr:rowOff>0</xdr:rowOff>
    </xdr:from>
    <xdr:to>
      <xdr:col>5</xdr:col>
      <xdr:colOff>304800</xdr:colOff>
      <xdr:row>1084</xdr:row>
      <xdr:rowOff>76200</xdr:rowOff>
    </xdr:to>
    <xdr:sp macro="" textlink="">
      <xdr:nvSpPr>
        <xdr:cNvPr id="4156" name="AutoShape 1084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7583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1085</xdr:row>
      <xdr:rowOff>0</xdr:rowOff>
    </xdr:from>
    <xdr:to>
      <xdr:col>4</xdr:col>
      <xdr:colOff>304800</xdr:colOff>
      <xdr:row>1086</xdr:row>
      <xdr:rowOff>114300</xdr:rowOff>
    </xdr:to>
    <xdr:sp macro="" textlink="">
      <xdr:nvSpPr>
        <xdr:cNvPr id="4157" name="AutoShape 108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801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1085</xdr:row>
      <xdr:rowOff>0</xdr:rowOff>
    </xdr:from>
    <xdr:to>
      <xdr:col>5</xdr:col>
      <xdr:colOff>304800</xdr:colOff>
      <xdr:row>1086</xdr:row>
      <xdr:rowOff>114300</xdr:rowOff>
    </xdr:to>
    <xdr:sp macro="" textlink="">
      <xdr:nvSpPr>
        <xdr:cNvPr id="4158" name="AutoShape 108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801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1087</xdr:row>
      <xdr:rowOff>0</xdr:rowOff>
    </xdr:from>
    <xdr:to>
      <xdr:col>4</xdr:col>
      <xdr:colOff>304800</xdr:colOff>
      <xdr:row>1088</xdr:row>
      <xdr:rowOff>114300</xdr:rowOff>
    </xdr:to>
    <xdr:sp macro="" textlink="">
      <xdr:nvSpPr>
        <xdr:cNvPr id="4159" name="AutoShape 1087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859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1087</xdr:row>
      <xdr:rowOff>0</xdr:rowOff>
    </xdr:from>
    <xdr:to>
      <xdr:col>5</xdr:col>
      <xdr:colOff>304800</xdr:colOff>
      <xdr:row>1088</xdr:row>
      <xdr:rowOff>114300</xdr:rowOff>
    </xdr:to>
    <xdr:sp macro="" textlink="">
      <xdr:nvSpPr>
        <xdr:cNvPr id="4160" name="AutoShape 1088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859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1089</xdr:row>
      <xdr:rowOff>0</xdr:rowOff>
    </xdr:from>
    <xdr:to>
      <xdr:col>4</xdr:col>
      <xdr:colOff>304800</xdr:colOff>
      <xdr:row>1090</xdr:row>
      <xdr:rowOff>114300</xdr:rowOff>
    </xdr:to>
    <xdr:sp macro="" textlink="">
      <xdr:nvSpPr>
        <xdr:cNvPr id="4161" name="AutoShape 1089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917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1089</xdr:row>
      <xdr:rowOff>0</xdr:rowOff>
    </xdr:from>
    <xdr:to>
      <xdr:col>5</xdr:col>
      <xdr:colOff>304800</xdr:colOff>
      <xdr:row>1090</xdr:row>
      <xdr:rowOff>114300</xdr:rowOff>
    </xdr:to>
    <xdr:sp macro="" textlink="">
      <xdr:nvSpPr>
        <xdr:cNvPr id="4162" name="AutoShape 1090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917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1091</xdr:row>
      <xdr:rowOff>0</xdr:rowOff>
    </xdr:from>
    <xdr:to>
      <xdr:col>4</xdr:col>
      <xdr:colOff>304800</xdr:colOff>
      <xdr:row>1092</xdr:row>
      <xdr:rowOff>114300</xdr:rowOff>
    </xdr:to>
    <xdr:sp macro="" textlink="">
      <xdr:nvSpPr>
        <xdr:cNvPr id="4163" name="AutoShape 1091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975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1091</xdr:row>
      <xdr:rowOff>0</xdr:rowOff>
    </xdr:from>
    <xdr:to>
      <xdr:col>5</xdr:col>
      <xdr:colOff>304800</xdr:colOff>
      <xdr:row>1092</xdr:row>
      <xdr:rowOff>114300</xdr:rowOff>
    </xdr:to>
    <xdr:sp macro="" textlink="">
      <xdr:nvSpPr>
        <xdr:cNvPr id="4164" name="AutoShape 1092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975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1093</xdr:row>
      <xdr:rowOff>0</xdr:rowOff>
    </xdr:from>
    <xdr:to>
      <xdr:col>4</xdr:col>
      <xdr:colOff>304800</xdr:colOff>
      <xdr:row>1094</xdr:row>
      <xdr:rowOff>114300</xdr:rowOff>
    </xdr:to>
    <xdr:sp macro="" textlink="">
      <xdr:nvSpPr>
        <xdr:cNvPr id="4165" name="AutoShape 1093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0336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1093</xdr:row>
      <xdr:rowOff>0</xdr:rowOff>
    </xdr:from>
    <xdr:to>
      <xdr:col>5</xdr:col>
      <xdr:colOff>304800</xdr:colOff>
      <xdr:row>1094</xdr:row>
      <xdr:rowOff>114300</xdr:rowOff>
    </xdr:to>
    <xdr:sp macro="" textlink="">
      <xdr:nvSpPr>
        <xdr:cNvPr id="4166" name="AutoShape 1094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0336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1095</xdr:row>
      <xdr:rowOff>0</xdr:rowOff>
    </xdr:from>
    <xdr:to>
      <xdr:col>4</xdr:col>
      <xdr:colOff>304800</xdr:colOff>
      <xdr:row>1096</xdr:row>
      <xdr:rowOff>114300</xdr:rowOff>
    </xdr:to>
    <xdr:sp macro="" textlink="">
      <xdr:nvSpPr>
        <xdr:cNvPr id="4167" name="AutoShape 1095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0917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1095</xdr:row>
      <xdr:rowOff>0</xdr:rowOff>
    </xdr:from>
    <xdr:to>
      <xdr:col>5</xdr:col>
      <xdr:colOff>304800</xdr:colOff>
      <xdr:row>1096</xdr:row>
      <xdr:rowOff>114300</xdr:rowOff>
    </xdr:to>
    <xdr:sp macro="" textlink="">
      <xdr:nvSpPr>
        <xdr:cNvPr id="4168" name="AutoShape 1096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0917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1097</xdr:row>
      <xdr:rowOff>0</xdr:rowOff>
    </xdr:from>
    <xdr:to>
      <xdr:col>4</xdr:col>
      <xdr:colOff>304800</xdr:colOff>
      <xdr:row>1098</xdr:row>
      <xdr:rowOff>76200</xdr:rowOff>
    </xdr:to>
    <xdr:sp macro="" textlink="">
      <xdr:nvSpPr>
        <xdr:cNvPr id="4169" name="AutoShape 1097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1498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1097</xdr:row>
      <xdr:rowOff>0</xdr:rowOff>
    </xdr:from>
    <xdr:to>
      <xdr:col>5</xdr:col>
      <xdr:colOff>304800</xdr:colOff>
      <xdr:row>1098</xdr:row>
      <xdr:rowOff>76200</xdr:rowOff>
    </xdr:to>
    <xdr:sp macro="" textlink="">
      <xdr:nvSpPr>
        <xdr:cNvPr id="4170" name="AutoShape 1098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1498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1099</xdr:row>
      <xdr:rowOff>0</xdr:rowOff>
    </xdr:from>
    <xdr:to>
      <xdr:col>4</xdr:col>
      <xdr:colOff>304800</xdr:colOff>
      <xdr:row>1100</xdr:row>
      <xdr:rowOff>114300</xdr:rowOff>
    </xdr:to>
    <xdr:sp macro="" textlink="">
      <xdr:nvSpPr>
        <xdr:cNvPr id="4171" name="AutoShape 109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1926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1099</xdr:row>
      <xdr:rowOff>0</xdr:rowOff>
    </xdr:from>
    <xdr:to>
      <xdr:col>5</xdr:col>
      <xdr:colOff>304800</xdr:colOff>
      <xdr:row>1100</xdr:row>
      <xdr:rowOff>114300</xdr:rowOff>
    </xdr:to>
    <xdr:sp macro="" textlink="">
      <xdr:nvSpPr>
        <xdr:cNvPr id="4172" name="AutoShape 1100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1926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1101</xdr:row>
      <xdr:rowOff>0</xdr:rowOff>
    </xdr:from>
    <xdr:to>
      <xdr:col>4</xdr:col>
      <xdr:colOff>304800</xdr:colOff>
      <xdr:row>1102</xdr:row>
      <xdr:rowOff>114300</xdr:rowOff>
    </xdr:to>
    <xdr:sp macro="" textlink="">
      <xdr:nvSpPr>
        <xdr:cNvPr id="4173" name="AutoShape 1101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250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1101</xdr:row>
      <xdr:rowOff>0</xdr:rowOff>
    </xdr:from>
    <xdr:to>
      <xdr:col>5</xdr:col>
      <xdr:colOff>304800</xdr:colOff>
      <xdr:row>1102</xdr:row>
      <xdr:rowOff>114300</xdr:rowOff>
    </xdr:to>
    <xdr:sp macro="" textlink="">
      <xdr:nvSpPr>
        <xdr:cNvPr id="4174" name="AutoShape 1102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250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1103</xdr:row>
      <xdr:rowOff>0</xdr:rowOff>
    </xdr:from>
    <xdr:to>
      <xdr:col>4</xdr:col>
      <xdr:colOff>304800</xdr:colOff>
      <xdr:row>1104</xdr:row>
      <xdr:rowOff>114300</xdr:rowOff>
    </xdr:to>
    <xdr:sp macro="" textlink="">
      <xdr:nvSpPr>
        <xdr:cNvPr id="4175" name="AutoShape 1103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3088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1103</xdr:row>
      <xdr:rowOff>0</xdr:rowOff>
    </xdr:from>
    <xdr:to>
      <xdr:col>5</xdr:col>
      <xdr:colOff>304800</xdr:colOff>
      <xdr:row>1104</xdr:row>
      <xdr:rowOff>114300</xdr:rowOff>
    </xdr:to>
    <xdr:sp macro="" textlink="">
      <xdr:nvSpPr>
        <xdr:cNvPr id="4176" name="AutoShape 1104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3088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1105</xdr:row>
      <xdr:rowOff>0</xdr:rowOff>
    </xdr:from>
    <xdr:to>
      <xdr:col>4</xdr:col>
      <xdr:colOff>304800</xdr:colOff>
      <xdr:row>1106</xdr:row>
      <xdr:rowOff>76200</xdr:rowOff>
    </xdr:to>
    <xdr:sp macro="" textlink="">
      <xdr:nvSpPr>
        <xdr:cNvPr id="4177" name="AutoShape 1105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3669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1105</xdr:row>
      <xdr:rowOff>0</xdr:rowOff>
    </xdr:from>
    <xdr:to>
      <xdr:col>5</xdr:col>
      <xdr:colOff>304800</xdr:colOff>
      <xdr:row>1106</xdr:row>
      <xdr:rowOff>76200</xdr:rowOff>
    </xdr:to>
    <xdr:sp macro="" textlink="">
      <xdr:nvSpPr>
        <xdr:cNvPr id="4178" name="AutoShape 1106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3669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1107</xdr:row>
      <xdr:rowOff>0</xdr:rowOff>
    </xdr:from>
    <xdr:to>
      <xdr:col>4</xdr:col>
      <xdr:colOff>304800</xdr:colOff>
      <xdr:row>1108</xdr:row>
      <xdr:rowOff>76200</xdr:rowOff>
    </xdr:to>
    <xdr:sp macro="" textlink="">
      <xdr:nvSpPr>
        <xdr:cNvPr id="4179" name="AutoShape 1107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409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1107</xdr:row>
      <xdr:rowOff>0</xdr:rowOff>
    </xdr:from>
    <xdr:to>
      <xdr:col>5</xdr:col>
      <xdr:colOff>304800</xdr:colOff>
      <xdr:row>1108</xdr:row>
      <xdr:rowOff>76200</xdr:rowOff>
    </xdr:to>
    <xdr:sp macro="" textlink="">
      <xdr:nvSpPr>
        <xdr:cNvPr id="4180" name="AutoShape 1108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409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1109</xdr:row>
      <xdr:rowOff>0</xdr:rowOff>
    </xdr:from>
    <xdr:to>
      <xdr:col>4</xdr:col>
      <xdr:colOff>304800</xdr:colOff>
      <xdr:row>1110</xdr:row>
      <xdr:rowOff>114300</xdr:rowOff>
    </xdr:to>
    <xdr:sp macro="" textlink="">
      <xdr:nvSpPr>
        <xdr:cNvPr id="4181" name="AutoShape 1109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452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1109</xdr:row>
      <xdr:rowOff>0</xdr:rowOff>
    </xdr:from>
    <xdr:to>
      <xdr:col>5</xdr:col>
      <xdr:colOff>304800</xdr:colOff>
      <xdr:row>1110</xdr:row>
      <xdr:rowOff>114300</xdr:rowOff>
    </xdr:to>
    <xdr:sp macro="" textlink="">
      <xdr:nvSpPr>
        <xdr:cNvPr id="4182" name="AutoShape 1110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452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1111</xdr:row>
      <xdr:rowOff>0</xdr:rowOff>
    </xdr:from>
    <xdr:to>
      <xdr:col>4</xdr:col>
      <xdr:colOff>304800</xdr:colOff>
      <xdr:row>1112</xdr:row>
      <xdr:rowOff>114300</xdr:rowOff>
    </xdr:to>
    <xdr:sp macro="" textlink="">
      <xdr:nvSpPr>
        <xdr:cNvPr id="4183" name="AutoShape 1111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510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1111</xdr:row>
      <xdr:rowOff>0</xdr:rowOff>
    </xdr:from>
    <xdr:to>
      <xdr:col>5</xdr:col>
      <xdr:colOff>304800</xdr:colOff>
      <xdr:row>1112</xdr:row>
      <xdr:rowOff>114300</xdr:rowOff>
    </xdr:to>
    <xdr:sp macro="" textlink="">
      <xdr:nvSpPr>
        <xdr:cNvPr id="4184" name="AutoShape 1112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510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1113</xdr:row>
      <xdr:rowOff>0</xdr:rowOff>
    </xdr:from>
    <xdr:to>
      <xdr:col>4</xdr:col>
      <xdr:colOff>304800</xdr:colOff>
      <xdr:row>1114</xdr:row>
      <xdr:rowOff>114300</xdr:rowOff>
    </xdr:to>
    <xdr:sp macro="" textlink="">
      <xdr:nvSpPr>
        <xdr:cNvPr id="4185" name="AutoShape 1113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5689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1113</xdr:row>
      <xdr:rowOff>0</xdr:rowOff>
    </xdr:from>
    <xdr:to>
      <xdr:col>5</xdr:col>
      <xdr:colOff>304800</xdr:colOff>
      <xdr:row>1114</xdr:row>
      <xdr:rowOff>114300</xdr:rowOff>
    </xdr:to>
    <xdr:sp macro="" textlink="">
      <xdr:nvSpPr>
        <xdr:cNvPr id="4186" name="AutoShape 1114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5689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1115</xdr:row>
      <xdr:rowOff>0</xdr:rowOff>
    </xdr:from>
    <xdr:to>
      <xdr:col>4</xdr:col>
      <xdr:colOff>304800</xdr:colOff>
      <xdr:row>1116</xdr:row>
      <xdr:rowOff>114300</xdr:rowOff>
    </xdr:to>
    <xdr:sp macro="" textlink="">
      <xdr:nvSpPr>
        <xdr:cNvPr id="4187" name="AutoShape 1115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6660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1115</xdr:row>
      <xdr:rowOff>0</xdr:rowOff>
    </xdr:from>
    <xdr:to>
      <xdr:col>5</xdr:col>
      <xdr:colOff>304800</xdr:colOff>
      <xdr:row>1116</xdr:row>
      <xdr:rowOff>114300</xdr:rowOff>
    </xdr:to>
    <xdr:sp macro="" textlink="">
      <xdr:nvSpPr>
        <xdr:cNvPr id="4188" name="AutoShape 1116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6660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1117</xdr:row>
      <xdr:rowOff>0</xdr:rowOff>
    </xdr:from>
    <xdr:to>
      <xdr:col>4</xdr:col>
      <xdr:colOff>304800</xdr:colOff>
      <xdr:row>1118</xdr:row>
      <xdr:rowOff>76200</xdr:rowOff>
    </xdr:to>
    <xdr:sp macro="" textlink="">
      <xdr:nvSpPr>
        <xdr:cNvPr id="4189" name="AutoShape 1117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7241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1117</xdr:row>
      <xdr:rowOff>0</xdr:rowOff>
    </xdr:from>
    <xdr:to>
      <xdr:col>5</xdr:col>
      <xdr:colOff>304800</xdr:colOff>
      <xdr:row>1118</xdr:row>
      <xdr:rowOff>76200</xdr:rowOff>
    </xdr:to>
    <xdr:sp macro="" textlink="">
      <xdr:nvSpPr>
        <xdr:cNvPr id="4190" name="AutoShape 1118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7241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1119</xdr:row>
      <xdr:rowOff>0</xdr:rowOff>
    </xdr:from>
    <xdr:to>
      <xdr:col>4</xdr:col>
      <xdr:colOff>304800</xdr:colOff>
      <xdr:row>1120</xdr:row>
      <xdr:rowOff>114300</xdr:rowOff>
    </xdr:to>
    <xdr:sp macro="" textlink="">
      <xdr:nvSpPr>
        <xdr:cNvPr id="4191" name="AutoShape 1119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767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1119</xdr:row>
      <xdr:rowOff>0</xdr:rowOff>
    </xdr:from>
    <xdr:to>
      <xdr:col>5</xdr:col>
      <xdr:colOff>304800</xdr:colOff>
      <xdr:row>1120</xdr:row>
      <xdr:rowOff>114300</xdr:rowOff>
    </xdr:to>
    <xdr:sp macro="" textlink="">
      <xdr:nvSpPr>
        <xdr:cNvPr id="4192" name="AutoShape 1120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767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1121</xdr:row>
      <xdr:rowOff>0</xdr:rowOff>
    </xdr:from>
    <xdr:to>
      <xdr:col>4</xdr:col>
      <xdr:colOff>304800</xdr:colOff>
      <xdr:row>1122</xdr:row>
      <xdr:rowOff>114300</xdr:rowOff>
    </xdr:to>
    <xdr:sp macro="" textlink="">
      <xdr:nvSpPr>
        <xdr:cNvPr id="4193" name="AutoShape 1121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825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1121</xdr:row>
      <xdr:rowOff>0</xdr:rowOff>
    </xdr:from>
    <xdr:to>
      <xdr:col>5</xdr:col>
      <xdr:colOff>304800</xdr:colOff>
      <xdr:row>1122</xdr:row>
      <xdr:rowOff>114300</xdr:rowOff>
    </xdr:to>
    <xdr:sp macro="" textlink="">
      <xdr:nvSpPr>
        <xdr:cNvPr id="4194" name="AutoShape 1122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825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1123</xdr:row>
      <xdr:rowOff>0</xdr:rowOff>
    </xdr:from>
    <xdr:to>
      <xdr:col>4</xdr:col>
      <xdr:colOff>304800</xdr:colOff>
      <xdr:row>1124</xdr:row>
      <xdr:rowOff>114300</xdr:rowOff>
    </xdr:to>
    <xdr:sp macro="" textlink="">
      <xdr:nvSpPr>
        <xdr:cNvPr id="4195" name="AutoShape 1123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883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1123</xdr:row>
      <xdr:rowOff>0</xdr:rowOff>
    </xdr:from>
    <xdr:to>
      <xdr:col>5</xdr:col>
      <xdr:colOff>304800</xdr:colOff>
      <xdr:row>1124</xdr:row>
      <xdr:rowOff>114300</xdr:rowOff>
    </xdr:to>
    <xdr:sp macro="" textlink="">
      <xdr:nvSpPr>
        <xdr:cNvPr id="4196" name="AutoShape 1124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883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1125</xdr:row>
      <xdr:rowOff>0</xdr:rowOff>
    </xdr:from>
    <xdr:to>
      <xdr:col>4</xdr:col>
      <xdr:colOff>304800</xdr:colOff>
      <xdr:row>1126</xdr:row>
      <xdr:rowOff>114300</xdr:rowOff>
    </xdr:to>
    <xdr:sp macro="" textlink="">
      <xdr:nvSpPr>
        <xdr:cNvPr id="4197" name="AutoShape 1125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9413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1125</xdr:row>
      <xdr:rowOff>0</xdr:rowOff>
    </xdr:from>
    <xdr:to>
      <xdr:col>5</xdr:col>
      <xdr:colOff>304800</xdr:colOff>
      <xdr:row>1126</xdr:row>
      <xdr:rowOff>114300</xdr:rowOff>
    </xdr:to>
    <xdr:sp macro="" textlink="">
      <xdr:nvSpPr>
        <xdr:cNvPr id="4198" name="AutoShape 1126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9413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1127</xdr:row>
      <xdr:rowOff>0</xdr:rowOff>
    </xdr:from>
    <xdr:to>
      <xdr:col>4</xdr:col>
      <xdr:colOff>304800</xdr:colOff>
      <xdr:row>1128</xdr:row>
      <xdr:rowOff>114300</xdr:rowOff>
    </xdr:to>
    <xdr:sp macro="" textlink="">
      <xdr:nvSpPr>
        <xdr:cNvPr id="4199" name="AutoShape 1127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999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1127</xdr:row>
      <xdr:rowOff>0</xdr:rowOff>
    </xdr:from>
    <xdr:to>
      <xdr:col>5</xdr:col>
      <xdr:colOff>304800</xdr:colOff>
      <xdr:row>1128</xdr:row>
      <xdr:rowOff>114300</xdr:rowOff>
    </xdr:to>
    <xdr:sp macro="" textlink="">
      <xdr:nvSpPr>
        <xdr:cNvPr id="4200" name="AutoShape 1128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999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1129</xdr:row>
      <xdr:rowOff>0</xdr:rowOff>
    </xdr:from>
    <xdr:to>
      <xdr:col>4</xdr:col>
      <xdr:colOff>304800</xdr:colOff>
      <xdr:row>1130</xdr:row>
      <xdr:rowOff>114300</xdr:rowOff>
    </xdr:to>
    <xdr:sp macro="" textlink="">
      <xdr:nvSpPr>
        <xdr:cNvPr id="4201" name="AutoShape 1129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057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1129</xdr:row>
      <xdr:rowOff>0</xdr:rowOff>
    </xdr:from>
    <xdr:to>
      <xdr:col>5</xdr:col>
      <xdr:colOff>304800</xdr:colOff>
      <xdr:row>1130</xdr:row>
      <xdr:rowOff>114300</xdr:rowOff>
    </xdr:to>
    <xdr:sp macro="" textlink="">
      <xdr:nvSpPr>
        <xdr:cNvPr id="4202" name="AutoShape 1130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057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1131</xdr:row>
      <xdr:rowOff>0</xdr:rowOff>
    </xdr:from>
    <xdr:to>
      <xdr:col>4</xdr:col>
      <xdr:colOff>304800</xdr:colOff>
      <xdr:row>1132</xdr:row>
      <xdr:rowOff>76200</xdr:rowOff>
    </xdr:to>
    <xdr:sp macro="" textlink="">
      <xdr:nvSpPr>
        <xdr:cNvPr id="4203" name="AutoShape 113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1156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1131</xdr:row>
      <xdr:rowOff>0</xdr:rowOff>
    </xdr:from>
    <xdr:to>
      <xdr:col>5</xdr:col>
      <xdr:colOff>304800</xdr:colOff>
      <xdr:row>1132</xdr:row>
      <xdr:rowOff>76200</xdr:rowOff>
    </xdr:to>
    <xdr:sp macro="" textlink="">
      <xdr:nvSpPr>
        <xdr:cNvPr id="4204" name="AutoShape 1132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1156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1133</xdr:row>
      <xdr:rowOff>0</xdr:rowOff>
    </xdr:from>
    <xdr:to>
      <xdr:col>4</xdr:col>
      <xdr:colOff>304800</xdr:colOff>
      <xdr:row>1134</xdr:row>
      <xdr:rowOff>76200</xdr:rowOff>
    </xdr:to>
    <xdr:sp macro="" textlink="">
      <xdr:nvSpPr>
        <xdr:cNvPr id="4205" name="AutoShape 1133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158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1133</xdr:row>
      <xdr:rowOff>0</xdr:rowOff>
    </xdr:from>
    <xdr:to>
      <xdr:col>5</xdr:col>
      <xdr:colOff>304800</xdr:colOff>
      <xdr:row>1134</xdr:row>
      <xdr:rowOff>76200</xdr:rowOff>
    </xdr:to>
    <xdr:sp macro="" textlink="">
      <xdr:nvSpPr>
        <xdr:cNvPr id="4206" name="AutoShape 1134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158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1135</xdr:row>
      <xdr:rowOff>0</xdr:rowOff>
    </xdr:from>
    <xdr:to>
      <xdr:col>4</xdr:col>
      <xdr:colOff>304800</xdr:colOff>
      <xdr:row>1136</xdr:row>
      <xdr:rowOff>114300</xdr:rowOff>
    </xdr:to>
    <xdr:sp macro="" textlink="">
      <xdr:nvSpPr>
        <xdr:cNvPr id="4207" name="AutoShape 1135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201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1135</xdr:row>
      <xdr:rowOff>0</xdr:rowOff>
    </xdr:from>
    <xdr:to>
      <xdr:col>5</xdr:col>
      <xdr:colOff>304800</xdr:colOff>
      <xdr:row>1136</xdr:row>
      <xdr:rowOff>114300</xdr:rowOff>
    </xdr:to>
    <xdr:sp macro="" textlink="">
      <xdr:nvSpPr>
        <xdr:cNvPr id="4208" name="AutoShape 1136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201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1137</xdr:row>
      <xdr:rowOff>0</xdr:rowOff>
    </xdr:from>
    <xdr:to>
      <xdr:col>4</xdr:col>
      <xdr:colOff>304800</xdr:colOff>
      <xdr:row>1138</xdr:row>
      <xdr:rowOff>114300</xdr:rowOff>
    </xdr:to>
    <xdr:sp macro="" textlink="">
      <xdr:nvSpPr>
        <xdr:cNvPr id="4209" name="AutoShape 1137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259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1137</xdr:row>
      <xdr:rowOff>0</xdr:rowOff>
    </xdr:from>
    <xdr:to>
      <xdr:col>5</xdr:col>
      <xdr:colOff>304800</xdr:colOff>
      <xdr:row>1138</xdr:row>
      <xdr:rowOff>114300</xdr:rowOff>
    </xdr:to>
    <xdr:sp macro="" textlink="">
      <xdr:nvSpPr>
        <xdr:cNvPr id="4210" name="AutoShape 1138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259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1139</xdr:row>
      <xdr:rowOff>0</xdr:rowOff>
    </xdr:from>
    <xdr:to>
      <xdr:col>4</xdr:col>
      <xdr:colOff>304800</xdr:colOff>
      <xdr:row>1140</xdr:row>
      <xdr:rowOff>114300</xdr:rowOff>
    </xdr:to>
    <xdr:sp macro="" textlink="">
      <xdr:nvSpPr>
        <xdr:cNvPr id="4211" name="AutoShape 1139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317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1139</xdr:row>
      <xdr:rowOff>0</xdr:rowOff>
    </xdr:from>
    <xdr:to>
      <xdr:col>5</xdr:col>
      <xdr:colOff>304800</xdr:colOff>
      <xdr:row>1140</xdr:row>
      <xdr:rowOff>114300</xdr:rowOff>
    </xdr:to>
    <xdr:sp macro="" textlink="">
      <xdr:nvSpPr>
        <xdr:cNvPr id="4212" name="AutoShape 1140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317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1141</xdr:row>
      <xdr:rowOff>0</xdr:rowOff>
    </xdr:from>
    <xdr:to>
      <xdr:col>4</xdr:col>
      <xdr:colOff>304800</xdr:colOff>
      <xdr:row>1142</xdr:row>
      <xdr:rowOff>114300</xdr:rowOff>
    </xdr:to>
    <xdr:sp macro="" textlink="">
      <xdr:nvSpPr>
        <xdr:cNvPr id="4213" name="AutoShape 1141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375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1141</xdr:row>
      <xdr:rowOff>0</xdr:rowOff>
    </xdr:from>
    <xdr:to>
      <xdr:col>5</xdr:col>
      <xdr:colOff>304800</xdr:colOff>
      <xdr:row>1142</xdr:row>
      <xdr:rowOff>114300</xdr:rowOff>
    </xdr:to>
    <xdr:sp macro="" textlink="">
      <xdr:nvSpPr>
        <xdr:cNvPr id="4214" name="AutoShape 1142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375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1143</xdr:row>
      <xdr:rowOff>0</xdr:rowOff>
    </xdr:from>
    <xdr:to>
      <xdr:col>4</xdr:col>
      <xdr:colOff>304800</xdr:colOff>
      <xdr:row>1144</xdr:row>
      <xdr:rowOff>114300</xdr:rowOff>
    </xdr:to>
    <xdr:sp macro="" textlink="">
      <xdr:nvSpPr>
        <xdr:cNvPr id="4215" name="AutoShape 1143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433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1143</xdr:row>
      <xdr:rowOff>0</xdr:rowOff>
    </xdr:from>
    <xdr:to>
      <xdr:col>5</xdr:col>
      <xdr:colOff>304800</xdr:colOff>
      <xdr:row>1144</xdr:row>
      <xdr:rowOff>114300</xdr:rowOff>
    </xdr:to>
    <xdr:sp macro="" textlink="">
      <xdr:nvSpPr>
        <xdr:cNvPr id="4216" name="AutoShape 114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433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1145</xdr:row>
      <xdr:rowOff>0</xdr:rowOff>
    </xdr:from>
    <xdr:to>
      <xdr:col>4</xdr:col>
      <xdr:colOff>304800</xdr:colOff>
      <xdr:row>1146</xdr:row>
      <xdr:rowOff>114300</xdr:rowOff>
    </xdr:to>
    <xdr:sp macro="" textlink="">
      <xdr:nvSpPr>
        <xdr:cNvPr id="4217" name="AutoShape 1145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491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1145</xdr:row>
      <xdr:rowOff>0</xdr:rowOff>
    </xdr:from>
    <xdr:to>
      <xdr:col>5</xdr:col>
      <xdr:colOff>304800</xdr:colOff>
      <xdr:row>1146</xdr:row>
      <xdr:rowOff>114300</xdr:rowOff>
    </xdr:to>
    <xdr:sp macro="" textlink="">
      <xdr:nvSpPr>
        <xdr:cNvPr id="4218" name="AutoShape 1146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491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1147</xdr:row>
      <xdr:rowOff>0</xdr:rowOff>
    </xdr:from>
    <xdr:to>
      <xdr:col>4</xdr:col>
      <xdr:colOff>304800</xdr:colOff>
      <xdr:row>1148</xdr:row>
      <xdr:rowOff>114300</xdr:rowOff>
    </xdr:to>
    <xdr:sp macro="" textlink="">
      <xdr:nvSpPr>
        <xdr:cNvPr id="4219" name="AutoShape 1147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549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1147</xdr:row>
      <xdr:rowOff>0</xdr:rowOff>
    </xdr:from>
    <xdr:to>
      <xdr:col>5</xdr:col>
      <xdr:colOff>304800</xdr:colOff>
      <xdr:row>1148</xdr:row>
      <xdr:rowOff>114300</xdr:rowOff>
    </xdr:to>
    <xdr:sp macro="" textlink="">
      <xdr:nvSpPr>
        <xdr:cNvPr id="4220" name="AutoShape 1148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549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1149</xdr:row>
      <xdr:rowOff>0</xdr:rowOff>
    </xdr:from>
    <xdr:to>
      <xdr:col>4</xdr:col>
      <xdr:colOff>304800</xdr:colOff>
      <xdr:row>1150</xdr:row>
      <xdr:rowOff>114300</xdr:rowOff>
    </xdr:to>
    <xdr:sp macro="" textlink="">
      <xdr:nvSpPr>
        <xdr:cNvPr id="4221" name="AutoShape 1149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5890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1149</xdr:row>
      <xdr:rowOff>0</xdr:rowOff>
    </xdr:from>
    <xdr:to>
      <xdr:col>5</xdr:col>
      <xdr:colOff>304800</xdr:colOff>
      <xdr:row>1150</xdr:row>
      <xdr:rowOff>114300</xdr:rowOff>
    </xdr:to>
    <xdr:sp macro="" textlink="">
      <xdr:nvSpPr>
        <xdr:cNvPr id="4222" name="AutoShape 1150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5890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1151</xdr:row>
      <xdr:rowOff>0</xdr:rowOff>
    </xdr:from>
    <xdr:to>
      <xdr:col>4</xdr:col>
      <xdr:colOff>304800</xdr:colOff>
      <xdr:row>1152</xdr:row>
      <xdr:rowOff>76200</xdr:rowOff>
    </xdr:to>
    <xdr:sp macro="" textlink="">
      <xdr:nvSpPr>
        <xdr:cNvPr id="4223" name="AutoShape 115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647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1151</xdr:row>
      <xdr:rowOff>0</xdr:rowOff>
    </xdr:from>
    <xdr:to>
      <xdr:col>5</xdr:col>
      <xdr:colOff>304800</xdr:colOff>
      <xdr:row>1152</xdr:row>
      <xdr:rowOff>76200</xdr:rowOff>
    </xdr:to>
    <xdr:sp macro="" textlink="">
      <xdr:nvSpPr>
        <xdr:cNvPr id="4224" name="AutoShape 1152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647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1153</xdr:row>
      <xdr:rowOff>0</xdr:rowOff>
    </xdr:from>
    <xdr:to>
      <xdr:col>4</xdr:col>
      <xdr:colOff>304800</xdr:colOff>
      <xdr:row>1154</xdr:row>
      <xdr:rowOff>114300</xdr:rowOff>
    </xdr:to>
    <xdr:sp macro="" textlink="">
      <xdr:nvSpPr>
        <xdr:cNvPr id="4225" name="AutoShape 1153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690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1153</xdr:row>
      <xdr:rowOff>0</xdr:rowOff>
    </xdr:from>
    <xdr:to>
      <xdr:col>5</xdr:col>
      <xdr:colOff>304800</xdr:colOff>
      <xdr:row>1154</xdr:row>
      <xdr:rowOff>114300</xdr:rowOff>
    </xdr:to>
    <xdr:sp macro="" textlink="">
      <xdr:nvSpPr>
        <xdr:cNvPr id="4226" name="AutoShape 1154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690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1155</xdr:row>
      <xdr:rowOff>0</xdr:rowOff>
    </xdr:from>
    <xdr:to>
      <xdr:col>4</xdr:col>
      <xdr:colOff>304800</xdr:colOff>
      <xdr:row>1156</xdr:row>
      <xdr:rowOff>114300</xdr:rowOff>
    </xdr:to>
    <xdr:sp macro="" textlink="">
      <xdr:nvSpPr>
        <xdr:cNvPr id="4227" name="AutoShape 115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748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1155</xdr:row>
      <xdr:rowOff>0</xdr:rowOff>
    </xdr:from>
    <xdr:to>
      <xdr:col>5</xdr:col>
      <xdr:colOff>304800</xdr:colOff>
      <xdr:row>1156</xdr:row>
      <xdr:rowOff>114300</xdr:rowOff>
    </xdr:to>
    <xdr:sp macro="" textlink="">
      <xdr:nvSpPr>
        <xdr:cNvPr id="4228" name="AutoShape 1156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748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1157</xdr:row>
      <xdr:rowOff>0</xdr:rowOff>
    </xdr:from>
    <xdr:to>
      <xdr:col>4</xdr:col>
      <xdr:colOff>304800</xdr:colOff>
      <xdr:row>1158</xdr:row>
      <xdr:rowOff>114300</xdr:rowOff>
    </xdr:to>
    <xdr:sp macro="" textlink="">
      <xdr:nvSpPr>
        <xdr:cNvPr id="4229" name="AutoShape 1157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806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1157</xdr:row>
      <xdr:rowOff>0</xdr:rowOff>
    </xdr:from>
    <xdr:to>
      <xdr:col>5</xdr:col>
      <xdr:colOff>304800</xdr:colOff>
      <xdr:row>1158</xdr:row>
      <xdr:rowOff>114300</xdr:rowOff>
    </xdr:to>
    <xdr:sp macro="" textlink="">
      <xdr:nvSpPr>
        <xdr:cNvPr id="4230" name="AutoShape 115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806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1159</xdr:row>
      <xdr:rowOff>0</xdr:rowOff>
    </xdr:from>
    <xdr:to>
      <xdr:col>4</xdr:col>
      <xdr:colOff>304800</xdr:colOff>
      <xdr:row>1160</xdr:row>
      <xdr:rowOff>76200</xdr:rowOff>
    </xdr:to>
    <xdr:sp macro="" textlink="">
      <xdr:nvSpPr>
        <xdr:cNvPr id="4231" name="AutoShape 1159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86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1159</xdr:row>
      <xdr:rowOff>0</xdr:rowOff>
    </xdr:from>
    <xdr:to>
      <xdr:col>5</xdr:col>
      <xdr:colOff>304800</xdr:colOff>
      <xdr:row>1160</xdr:row>
      <xdr:rowOff>76200</xdr:rowOff>
    </xdr:to>
    <xdr:sp macro="" textlink="">
      <xdr:nvSpPr>
        <xdr:cNvPr id="4232" name="AutoShape 1160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86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1161</xdr:row>
      <xdr:rowOff>0</xdr:rowOff>
    </xdr:from>
    <xdr:to>
      <xdr:col>4</xdr:col>
      <xdr:colOff>304800</xdr:colOff>
      <xdr:row>1162</xdr:row>
      <xdr:rowOff>114300</xdr:rowOff>
    </xdr:to>
    <xdr:sp macro="" textlink="">
      <xdr:nvSpPr>
        <xdr:cNvPr id="4233" name="AutoShape 1161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9071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1161</xdr:row>
      <xdr:rowOff>0</xdr:rowOff>
    </xdr:from>
    <xdr:to>
      <xdr:col>5</xdr:col>
      <xdr:colOff>304800</xdr:colOff>
      <xdr:row>1162</xdr:row>
      <xdr:rowOff>114300</xdr:rowOff>
    </xdr:to>
    <xdr:sp macro="" textlink="">
      <xdr:nvSpPr>
        <xdr:cNvPr id="4234" name="AutoShape 1162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9071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1163</xdr:row>
      <xdr:rowOff>0</xdr:rowOff>
    </xdr:from>
    <xdr:to>
      <xdr:col>4</xdr:col>
      <xdr:colOff>304800</xdr:colOff>
      <xdr:row>1164</xdr:row>
      <xdr:rowOff>76200</xdr:rowOff>
    </xdr:to>
    <xdr:sp macro="" textlink="">
      <xdr:nvSpPr>
        <xdr:cNvPr id="4235" name="AutoShape 1163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9652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1163</xdr:row>
      <xdr:rowOff>0</xdr:rowOff>
    </xdr:from>
    <xdr:to>
      <xdr:col>5</xdr:col>
      <xdr:colOff>304800</xdr:colOff>
      <xdr:row>1164</xdr:row>
      <xdr:rowOff>76200</xdr:rowOff>
    </xdr:to>
    <xdr:sp macro="" textlink="">
      <xdr:nvSpPr>
        <xdr:cNvPr id="4236" name="AutoShape 1164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9652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1165</xdr:row>
      <xdr:rowOff>0</xdr:rowOff>
    </xdr:from>
    <xdr:to>
      <xdr:col>4</xdr:col>
      <xdr:colOff>304800</xdr:colOff>
      <xdr:row>1166</xdr:row>
      <xdr:rowOff>114300</xdr:rowOff>
    </xdr:to>
    <xdr:sp macro="" textlink="">
      <xdr:nvSpPr>
        <xdr:cNvPr id="4237" name="AutoShape 1165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008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1165</xdr:row>
      <xdr:rowOff>0</xdr:rowOff>
    </xdr:from>
    <xdr:to>
      <xdr:col>5</xdr:col>
      <xdr:colOff>304800</xdr:colOff>
      <xdr:row>1166</xdr:row>
      <xdr:rowOff>114300</xdr:rowOff>
    </xdr:to>
    <xdr:sp macro="" textlink="">
      <xdr:nvSpPr>
        <xdr:cNvPr id="4238" name="AutoShape 1166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008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1167</xdr:row>
      <xdr:rowOff>0</xdr:rowOff>
    </xdr:from>
    <xdr:to>
      <xdr:col>4</xdr:col>
      <xdr:colOff>304800</xdr:colOff>
      <xdr:row>1168</xdr:row>
      <xdr:rowOff>114300</xdr:rowOff>
    </xdr:to>
    <xdr:sp macro="" textlink="">
      <xdr:nvSpPr>
        <xdr:cNvPr id="4239" name="AutoShape 1167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066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1167</xdr:row>
      <xdr:rowOff>0</xdr:rowOff>
    </xdr:from>
    <xdr:to>
      <xdr:col>5</xdr:col>
      <xdr:colOff>304800</xdr:colOff>
      <xdr:row>1168</xdr:row>
      <xdr:rowOff>114300</xdr:rowOff>
    </xdr:to>
    <xdr:sp macro="" textlink="">
      <xdr:nvSpPr>
        <xdr:cNvPr id="4240" name="AutoShape 1168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066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1169</xdr:row>
      <xdr:rowOff>0</xdr:rowOff>
    </xdr:from>
    <xdr:to>
      <xdr:col>4</xdr:col>
      <xdr:colOff>304800</xdr:colOff>
      <xdr:row>1170</xdr:row>
      <xdr:rowOff>114300</xdr:rowOff>
    </xdr:to>
    <xdr:sp macro="" textlink="">
      <xdr:nvSpPr>
        <xdr:cNvPr id="4241" name="AutoShape 1169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1243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1169</xdr:row>
      <xdr:rowOff>0</xdr:rowOff>
    </xdr:from>
    <xdr:to>
      <xdr:col>5</xdr:col>
      <xdr:colOff>304800</xdr:colOff>
      <xdr:row>1170</xdr:row>
      <xdr:rowOff>114300</xdr:rowOff>
    </xdr:to>
    <xdr:sp macro="" textlink="">
      <xdr:nvSpPr>
        <xdr:cNvPr id="4242" name="AutoShape 1170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1243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1171</xdr:row>
      <xdr:rowOff>0</xdr:rowOff>
    </xdr:from>
    <xdr:to>
      <xdr:col>4</xdr:col>
      <xdr:colOff>304800</xdr:colOff>
      <xdr:row>1172</xdr:row>
      <xdr:rowOff>114300</xdr:rowOff>
    </xdr:to>
    <xdr:sp macro="" textlink="">
      <xdr:nvSpPr>
        <xdr:cNvPr id="4243" name="AutoShape 1171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1824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1171</xdr:row>
      <xdr:rowOff>0</xdr:rowOff>
    </xdr:from>
    <xdr:to>
      <xdr:col>5</xdr:col>
      <xdr:colOff>304800</xdr:colOff>
      <xdr:row>1172</xdr:row>
      <xdr:rowOff>114300</xdr:rowOff>
    </xdr:to>
    <xdr:sp macro="" textlink="">
      <xdr:nvSpPr>
        <xdr:cNvPr id="4244" name="AutoShape 1172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1824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1173</xdr:row>
      <xdr:rowOff>0</xdr:rowOff>
    </xdr:from>
    <xdr:to>
      <xdr:col>4</xdr:col>
      <xdr:colOff>304800</xdr:colOff>
      <xdr:row>1174</xdr:row>
      <xdr:rowOff>114300</xdr:rowOff>
    </xdr:to>
    <xdr:sp macro="" textlink="">
      <xdr:nvSpPr>
        <xdr:cNvPr id="4245" name="AutoShape 1173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240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1173</xdr:row>
      <xdr:rowOff>0</xdr:rowOff>
    </xdr:from>
    <xdr:to>
      <xdr:col>5</xdr:col>
      <xdr:colOff>304800</xdr:colOff>
      <xdr:row>1174</xdr:row>
      <xdr:rowOff>114300</xdr:rowOff>
    </xdr:to>
    <xdr:sp macro="" textlink="">
      <xdr:nvSpPr>
        <xdr:cNvPr id="4246" name="AutoShape 1174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240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1175</xdr:row>
      <xdr:rowOff>0</xdr:rowOff>
    </xdr:from>
    <xdr:to>
      <xdr:col>4</xdr:col>
      <xdr:colOff>304800</xdr:colOff>
      <xdr:row>1176</xdr:row>
      <xdr:rowOff>114300</xdr:rowOff>
    </xdr:to>
    <xdr:sp macro="" textlink="">
      <xdr:nvSpPr>
        <xdr:cNvPr id="4247" name="AutoShape 1175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298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1175</xdr:row>
      <xdr:rowOff>0</xdr:rowOff>
    </xdr:from>
    <xdr:to>
      <xdr:col>5</xdr:col>
      <xdr:colOff>304800</xdr:colOff>
      <xdr:row>1176</xdr:row>
      <xdr:rowOff>114300</xdr:rowOff>
    </xdr:to>
    <xdr:sp macro="" textlink="">
      <xdr:nvSpPr>
        <xdr:cNvPr id="4248" name="AutoShape 117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298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1177</xdr:row>
      <xdr:rowOff>0</xdr:rowOff>
    </xdr:from>
    <xdr:to>
      <xdr:col>4</xdr:col>
      <xdr:colOff>304800</xdr:colOff>
      <xdr:row>1178</xdr:row>
      <xdr:rowOff>114300</xdr:rowOff>
    </xdr:to>
    <xdr:sp macro="" textlink="">
      <xdr:nvSpPr>
        <xdr:cNvPr id="4249" name="AutoShape 1177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356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1177</xdr:row>
      <xdr:rowOff>0</xdr:rowOff>
    </xdr:from>
    <xdr:to>
      <xdr:col>5</xdr:col>
      <xdr:colOff>304800</xdr:colOff>
      <xdr:row>1178</xdr:row>
      <xdr:rowOff>114300</xdr:rowOff>
    </xdr:to>
    <xdr:sp macro="" textlink="">
      <xdr:nvSpPr>
        <xdr:cNvPr id="4250" name="AutoShape 1178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356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1179</xdr:row>
      <xdr:rowOff>0</xdr:rowOff>
    </xdr:from>
    <xdr:to>
      <xdr:col>4</xdr:col>
      <xdr:colOff>304800</xdr:colOff>
      <xdr:row>1180</xdr:row>
      <xdr:rowOff>114300</xdr:rowOff>
    </xdr:to>
    <xdr:sp macro="" textlink="">
      <xdr:nvSpPr>
        <xdr:cNvPr id="4251" name="AutoShape 1179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41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1179</xdr:row>
      <xdr:rowOff>0</xdr:rowOff>
    </xdr:from>
    <xdr:to>
      <xdr:col>5</xdr:col>
      <xdr:colOff>304800</xdr:colOff>
      <xdr:row>1180</xdr:row>
      <xdr:rowOff>114300</xdr:rowOff>
    </xdr:to>
    <xdr:sp macro="" textlink="">
      <xdr:nvSpPr>
        <xdr:cNvPr id="4252" name="AutoShape 1180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41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1181</xdr:row>
      <xdr:rowOff>0</xdr:rowOff>
    </xdr:from>
    <xdr:to>
      <xdr:col>4</xdr:col>
      <xdr:colOff>304800</xdr:colOff>
      <xdr:row>1182</xdr:row>
      <xdr:rowOff>76200</xdr:rowOff>
    </xdr:to>
    <xdr:sp macro="" textlink="">
      <xdr:nvSpPr>
        <xdr:cNvPr id="4253" name="AutoShape 1181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4729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1181</xdr:row>
      <xdr:rowOff>0</xdr:rowOff>
    </xdr:from>
    <xdr:to>
      <xdr:col>5</xdr:col>
      <xdr:colOff>304800</xdr:colOff>
      <xdr:row>1182</xdr:row>
      <xdr:rowOff>76200</xdr:rowOff>
    </xdr:to>
    <xdr:sp macro="" textlink="">
      <xdr:nvSpPr>
        <xdr:cNvPr id="4254" name="AutoShape 1182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4729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1183</xdr:row>
      <xdr:rowOff>0</xdr:rowOff>
    </xdr:from>
    <xdr:to>
      <xdr:col>4</xdr:col>
      <xdr:colOff>304800</xdr:colOff>
      <xdr:row>1184</xdr:row>
      <xdr:rowOff>114300</xdr:rowOff>
    </xdr:to>
    <xdr:sp macro="" textlink="">
      <xdr:nvSpPr>
        <xdr:cNvPr id="4255" name="AutoShape 1183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515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1183</xdr:row>
      <xdr:rowOff>0</xdr:rowOff>
    </xdr:from>
    <xdr:to>
      <xdr:col>5</xdr:col>
      <xdr:colOff>304800</xdr:colOff>
      <xdr:row>1184</xdr:row>
      <xdr:rowOff>114300</xdr:rowOff>
    </xdr:to>
    <xdr:sp macro="" textlink="">
      <xdr:nvSpPr>
        <xdr:cNvPr id="4256" name="AutoShape 1184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515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1185</xdr:row>
      <xdr:rowOff>0</xdr:rowOff>
    </xdr:from>
    <xdr:to>
      <xdr:col>4</xdr:col>
      <xdr:colOff>304800</xdr:colOff>
      <xdr:row>1186</xdr:row>
      <xdr:rowOff>114300</xdr:rowOff>
    </xdr:to>
    <xdr:sp macro="" textlink="">
      <xdr:nvSpPr>
        <xdr:cNvPr id="4257" name="AutoShape 118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554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1185</xdr:row>
      <xdr:rowOff>0</xdr:rowOff>
    </xdr:from>
    <xdr:to>
      <xdr:col>5</xdr:col>
      <xdr:colOff>304800</xdr:colOff>
      <xdr:row>1186</xdr:row>
      <xdr:rowOff>114300</xdr:rowOff>
    </xdr:to>
    <xdr:sp macro="" textlink="">
      <xdr:nvSpPr>
        <xdr:cNvPr id="4258" name="AutoShape 1186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554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1187</xdr:row>
      <xdr:rowOff>0</xdr:rowOff>
    </xdr:from>
    <xdr:to>
      <xdr:col>4</xdr:col>
      <xdr:colOff>304800</xdr:colOff>
      <xdr:row>1188</xdr:row>
      <xdr:rowOff>114300</xdr:rowOff>
    </xdr:to>
    <xdr:sp macro="" textlink="">
      <xdr:nvSpPr>
        <xdr:cNvPr id="4259" name="AutoShape 1187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612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1187</xdr:row>
      <xdr:rowOff>0</xdr:rowOff>
    </xdr:from>
    <xdr:to>
      <xdr:col>5</xdr:col>
      <xdr:colOff>304800</xdr:colOff>
      <xdr:row>1188</xdr:row>
      <xdr:rowOff>114300</xdr:rowOff>
    </xdr:to>
    <xdr:sp macro="" textlink="">
      <xdr:nvSpPr>
        <xdr:cNvPr id="4260" name="AutoShape 1188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612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1189</xdr:row>
      <xdr:rowOff>0</xdr:rowOff>
    </xdr:from>
    <xdr:to>
      <xdr:col>4</xdr:col>
      <xdr:colOff>304800</xdr:colOff>
      <xdr:row>1190</xdr:row>
      <xdr:rowOff>114300</xdr:rowOff>
    </xdr:to>
    <xdr:sp macro="" textlink="">
      <xdr:nvSpPr>
        <xdr:cNvPr id="4261" name="AutoShape 1189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671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1189</xdr:row>
      <xdr:rowOff>0</xdr:rowOff>
    </xdr:from>
    <xdr:to>
      <xdr:col>5</xdr:col>
      <xdr:colOff>304800</xdr:colOff>
      <xdr:row>1190</xdr:row>
      <xdr:rowOff>114300</xdr:rowOff>
    </xdr:to>
    <xdr:sp macro="" textlink="">
      <xdr:nvSpPr>
        <xdr:cNvPr id="4262" name="AutoShape 1190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671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1191</xdr:row>
      <xdr:rowOff>0</xdr:rowOff>
    </xdr:from>
    <xdr:to>
      <xdr:col>4</xdr:col>
      <xdr:colOff>304800</xdr:colOff>
      <xdr:row>1192</xdr:row>
      <xdr:rowOff>114300</xdr:rowOff>
    </xdr:to>
    <xdr:sp macro="" textlink="">
      <xdr:nvSpPr>
        <xdr:cNvPr id="4263" name="AutoShape 1191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729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1191</xdr:row>
      <xdr:rowOff>0</xdr:rowOff>
    </xdr:from>
    <xdr:to>
      <xdr:col>5</xdr:col>
      <xdr:colOff>304800</xdr:colOff>
      <xdr:row>1192</xdr:row>
      <xdr:rowOff>114300</xdr:rowOff>
    </xdr:to>
    <xdr:sp macro="" textlink="">
      <xdr:nvSpPr>
        <xdr:cNvPr id="4264" name="AutoShape 1192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729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1193</xdr:row>
      <xdr:rowOff>0</xdr:rowOff>
    </xdr:from>
    <xdr:to>
      <xdr:col>4</xdr:col>
      <xdr:colOff>304800</xdr:colOff>
      <xdr:row>1194</xdr:row>
      <xdr:rowOff>76200</xdr:rowOff>
    </xdr:to>
    <xdr:sp macro="" textlink="">
      <xdr:nvSpPr>
        <xdr:cNvPr id="4265" name="AutoShape 1193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78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1193</xdr:row>
      <xdr:rowOff>0</xdr:rowOff>
    </xdr:from>
    <xdr:to>
      <xdr:col>5</xdr:col>
      <xdr:colOff>304800</xdr:colOff>
      <xdr:row>1194</xdr:row>
      <xdr:rowOff>76200</xdr:rowOff>
    </xdr:to>
    <xdr:sp macro="" textlink="">
      <xdr:nvSpPr>
        <xdr:cNvPr id="4266" name="AutoShape 1194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78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1195</xdr:row>
      <xdr:rowOff>0</xdr:rowOff>
    </xdr:from>
    <xdr:to>
      <xdr:col>4</xdr:col>
      <xdr:colOff>304800</xdr:colOff>
      <xdr:row>1196</xdr:row>
      <xdr:rowOff>114300</xdr:rowOff>
    </xdr:to>
    <xdr:sp macro="" textlink="">
      <xdr:nvSpPr>
        <xdr:cNvPr id="4267" name="AutoShape 1195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830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1195</xdr:row>
      <xdr:rowOff>0</xdr:rowOff>
    </xdr:from>
    <xdr:to>
      <xdr:col>5</xdr:col>
      <xdr:colOff>304800</xdr:colOff>
      <xdr:row>1196</xdr:row>
      <xdr:rowOff>114300</xdr:rowOff>
    </xdr:to>
    <xdr:sp macro="" textlink="">
      <xdr:nvSpPr>
        <xdr:cNvPr id="4268" name="AutoShape 1196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830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1197</xdr:row>
      <xdr:rowOff>0</xdr:rowOff>
    </xdr:from>
    <xdr:to>
      <xdr:col>4</xdr:col>
      <xdr:colOff>304800</xdr:colOff>
      <xdr:row>1198</xdr:row>
      <xdr:rowOff>114300</xdr:rowOff>
    </xdr:to>
    <xdr:sp macro="" textlink="">
      <xdr:nvSpPr>
        <xdr:cNvPr id="4269" name="AutoShape 1197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8882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1197</xdr:row>
      <xdr:rowOff>0</xdr:rowOff>
    </xdr:from>
    <xdr:to>
      <xdr:col>5</xdr:col>
      <xdr:colOff>304800</xdr:colOff>
      <xdr:row>1198</xdr:row>
      <xdr:rowOff>114300</xdr:rowOff>
    </xdr:to>
    <xdr:sp macro="" textlink="">
      <xdr:nvSpPr>
        <xdr:cNvPr id="4270" name="AutoShape 1198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8882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1199</xdr:row>
      <xdr:rowOff>0</xdr:rowOff>
    </xdr:from>
    <xdr:to>
      <xdr:col>4</xdr:col>
      <xdr:colOff>304800</xdr:colOff>
      <xdr:row>1200</xdr:row>
      <xdr:rowOff>114300</xdr:rowOff>
    </xdr:to>
    <xdr:sp macro="" textlink="">
      <xdr:nvSpPr>
        <xdr:cNvPr id="4271" name="AutoShape 1199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946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1199</xdr:row>
      <xdr:rowOff>0</xdr:rowOff>
    </xdr:from>
    <xdr:to>
      <xdr:col>5</xdr:col>
      <xdr:colOff>304800</xdr:colOff>
      <xdr:row>1200</xdr:row>
      <xdr:rowOff>114300</xdr:rowOff>
    </xdr:to>
    <xdr:sp macro="" textlink="">
      <xdr:nvSpPr>
        <xdr:cNvPr id="4272" name="AutoShape 1200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946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1201</xdr:row>
      <xdr:rowOff>0</xdr:rowOff>
    </xdr:from>
    <xdr:to>
      <xdr:col>4</xdr:col>
      <xdr:colOff>304800</xdr:colOff>
      <xdr:row>1202</xdr:row>
      <xdr:rowOff>114300</xdr:rowOff>
    </xdr:to>
    <xdr:sp macro="" textlink="">
      <xdr:nvSpPr>
        <xdr:cNvPr id="4273" name="AutoShape 120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004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1201</xdr:row>
      <xdr:rowOff>0</xdr:rowOff>
    </xdr:from>
    <xdr:to>
      <xdr:col>5</xdr:col>
      <xdr:colOff>304800</xdr:colOff>
      <xdr:row>1202</xdr:row>
      <xdr:rowOff>114300</xdr:rowOff>
    </xdr:to>
    <xdr:sp macro="" textlink="">
      <xdr:nvSpPr>
        <xdr:cNvPr id="4274" name="AutoShape 1202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004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1203</xdr:row>
      <xdr:rowOff>0</xdr:rowOff>
    </xdr:from>
    <xdr:to>
      <xdr:col>4</xdr:col>
      <xdr:colOff>304800</xdr:colOff>
      <xdr:row>1204</xdr:row>
      <xdr:rowOff>76200</xdr:rowOff>
    </xdr:to>
    <xdr:sp macro="" textlink="">
      <xdr:nvSpPr>
        <xdr:cNvPr id="4275" name="AutoShape 1203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06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1203</xdr:row>
      <xdr:rowOff>0</xdr:rowOff>
    </xdr:from>
    <xdr:to>
      <xdr:col>5</xdr:col>
      <xdr:colOff>304800</xdr:colOff>
      <xdr:row>1204</xdr:row>
      <xdr:rowOff>76200</xdr:rowOff>
    </xdr:to>
    <xdr:sp macro="" textlink="">
      <xdr:nvSpPr>
        <xdr:cNvPr id="4276" name="AutoShape 1204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06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1205</xdr:row>
      <xdr:rowOff>0</xdr:rowOff>
    </xdr:from>
    <xdr:to>
      <xdr:col>4</xdr:col>
      <xdr:colOff>304800</xdr:colOff>
      <xdr:row>1206</xdr:row>
      <xdr:rowOff>114300</xdr:rowOff>
    </xdr:to>
    <xdr:sp macro="" textlink="">
      <xdr:nvSpPr>
        <xdr:cNvPr id="4277" name="AutoShape 1205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1054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1205</xdr:row>
      <xdr:rowOff>0</xdr:rowOff>
    </xdr:from>
    <xdr:to>
      <xdr:col>5</xdr:col>
      <xdr:colOff>304800</xdr:colOff>
      <xdr:row>1206</xdr:row>
      <xdr:rowOff>114300</xdr:rowOff>
    </xdr:to>
    <xdr:sp macro="" textlink="">
      <xdr:nvSpPr>
        <xdr:cNvPr id="4278" name="AutoShape 120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1054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1207</xdr:row>
      <xdr:rowOff>0</xdr:rowOff>
    </xdr:from>
    <xdr:to>
      <xdr:col>4</xdr:col>
      <xdr:colOff>304800</xdr:colOff>
      <xdr:row>1208</xdr:row>
      <xdr:rowOff>114300</xdr:rowOff>
    </xdr:to>
    <xdr:sp macro="" textlink="">
      <xdr:nvSpPr>
        <xdr:cNvPr id="4279" name="AutoShape 1207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16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1207</xdr:row>
      <xdr:rowOff>0</xdr:rowOff>
    </xdr:from>
    <xdr:to>
      <xdr:col>5</xdr:col>
      <xdr:colOff>304800</xdr:colOff>
      <xdr:row>1208</xdr:row>
      <xdr:rowOff>114300</xdr:rowOff>
    </xdr:to>
    <xdr:sp macro="" textlink="">
      <xdr:nvSpPr>
        <xdr:cNvPr id="4280" name="AutoShape 1208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16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1209</xdr:row>
      <xdr:rowOff>0</xdr:rowOff>
    </xdr:from>
    <xdr:to>
      <xdr:col>4</xdr:col>
      <xdr:colOff>304800</xdr:colOff>
      <xdr:row>1210</xdr:row>
      <xdr:rowOff>114300</xdr:rowOff>
    </xdr:to>
    <xdr:sp macro="" textlink="">
      <xdr:nvSpPr>
        <xdr:cNvPr id="4281" name="AutoShape 1209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2216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1209</xdr:row>
      <xdr:rowOff>0</xdr:rowOff>
    </xdr:from>
    <xdr:to>
      <xdr:col>5</xdr:col>
      <xdr:colOff>304800</xdr:colOff>
      <xdr:row>1210</xdr:row>
      <xdr:rowOff>114300</xdr:rowOff>
    </xdr:to>
    <xdr:sp macro="" textlink="">
      <xdr:nvSpPr>
        <xdr:cNvPr id="4282" name="AutoShape 1210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2216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1211</xdr:row>
      <xdr:rowOff>0</xdr:rowOff>
    </xdr:from>
    <xdr:to>
      <xdr:col>4</xdr:col>
      <xdr:colOff>304800</xdr:colOff>
      <xdr:row>1212</xdr:row>
      <xdr:rowOff>76200</xdr:rowOff>
    </xdr:to>
    <xdr:sp macro="" textlink="">
      <xdr:nvSpPr>
        <xdr:cNvPr id="4283" name="AutoShape 1211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279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1211</xdr:row>
      <xdr:rowOff>0</xdr:rowOff>
    </xdr:from>
    <xdr:to>
      <xdr:col>5</xdr:col>
      <xdr:colOff>304800</xdr:colOff>
      <xdr:row>1212</xdr:row>
      <xdr:rowOff>76200</xdr:rowOff>
    </xdr:to>
    <xdr:sp macro="" textlink="">
      <xdr:nvSpPr>
        <xdr:cNvPr id="4284" name="AutoShape 1212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279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1213</xdr:row>
      <xdr:rowOff>0</xdr:rowOff>
    </xdr:from>
    <xdr:to>
      <xdr:col>4</xdr:col>
      <xdr:colOff>304800</xdr:colOff>
      <xdr:row>1214</xdr:row>
      <xdr:rowOff>114300</xdr:rowOff>
    </xdr:to>
    <xdr:sp macro="" textlink="">
      <xdr:nvSpPr>
        <xdr:cNvPr id="4285" name="AutoShape 1213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322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1213</xdr:row>
      <xdr:rowOff>0</xdr:rowOff>
    </xdr:from>
    <xdr:to>
      <xdr:col>5</xdr:col>
      <xdr:colOff>304800</xdr:colOff>
      <xdr:row>1214</xdr:row>
      <xdr:rowOff>114300</xdr:rowOff>
    </xdr:to>
    <xdr:sp macro="" textlink="">
      <xdr:nvSpPr>
        <xdr:cNvPr id="4286" name="AutoShape 1214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322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1215</xdr:row>
      <xdr:rowOff>0</xdr:rowOff>
    </xdr:from>
    <xdr:to>
      <xdr:col>4</xdr:col>
      <xdr:colOff>304800</xdr:colOff>
      <xdr:row>1216</xdr:row>
      <xdr:rowOff>114300</xdr:rowOff>
    </xdr:to>
    <xdr:sp macro="" textlink="">
      <xdr:nvSpPr>
        <xdr:cNvPr id="4287" name="AutoShape 1215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380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1215</xdr:row>
      <xdr:rowOff>0</xdr:rowOff>
    </xdr:from>
    <xdr:to>
      <xdr:col>5</xdr:col>
      <xdr:colOff>304800</xdr:colOff>
      <xdr:row>1216</xdr:row>
      <xdr:rowOff>114300</xdr:rowOff>
    </xdr:to>
    <xdr:sp macro="" textlink="">
      <xdr:nvSpPr>
        <xdr:cNvPr id="4288" name="AutoShape 1216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380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1217</xdr:row>
      <xdr:rowOff>0</xdr:rowOff>
    </xdr:from>
    <xdr:to>
      <xdr:col>4</xdr:col>
      <xdr:colOff>304800</xdr:colOff>
      <xdr:row>1218</xdr:row>
      <xdr:rowOff>114300</xdr:rowOff>
    </xdr:to>
    <xdr:sp macro="" textlink="">
      <xdr:nvSpPr>
        <xdr:cNvPr id="4289" name="AutoShape 1217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4387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1217</xdr:row>
      <xdr:rowOff>0</xdr:rowOff>
    </xdr:from>
    <xdr:to>
      <xdr:col>5</xdr:col>
      <xdr:colOff>304800</xdr:colOff>
      <xdr:row>1218</xdr:row>
      <xdr:rowOff>114300</xdr:rowOff>
    </xdr:to>
    <xdr:sp macro="" textlink="">
      <xdr:nvSpPr>
        <xdr:cNvPr id="4290" name="AutoShape 1218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4387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1219</xdr:row>
      <xdr:rowOff>0</xdr:rowOff>
    </xdr:from>
    <xdr:to>
      <xdr:col>4</xdr:col>
      <xdr:colOff>304800</xdr:colOff>
      <xdr:row>1220</xdr:row>
      <xdr:rowOff>76200</xdr:rowOff>
    </xdr:to>
    <xdr:sp macro="" textlink="">
      <xdr:nvSpPr>
        <xdr:cNvPr id="4291" name="AutoShape 1219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496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1219</xdr:row>
      <xdr:rowOff>0</xdr:rowOff>
    </xdr:from>
    <xdr:to>
      <xdr:col>5</xdr:col>
      <xdr:colOff>304800</xdr:colOff>
      <xdr:row>1220</xdr:row>
      <xdr:rowOff>76200</xdr:rowOff>
    </xdr:to>
    <xdr:sp macro="" textlink="">
      <xdr:nvSpPr>
        <xdr:cNvPr id="4292" name="AutoShape 1220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496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1221</xdr:row>
      <xdr:rowOff>0</xdr:rowOff>
    </xdr:from>
    <xdr:to>
      <xdr:col>4</xdr:col>
      <xdr:colOff>304800</xdr:colOff>
      <xdr:row>1222</xdr:row>
      <xdr:rowOff>114300</xdr:rowOff>
    </xdr:to>
    <xdr:sp macro="" textlink="">
      <xdr:nvSpPr>
        <xdr:cNvPr id="4293" name="AutoShape 122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539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1221</xdr:row>
      <xdr:rowOff>0</xdr:rowOff>
    </xdr:from>
    <xdr:to>
      <xdr:col>5</xdr:col>
      <xdr:colOff>304800</xdr:colOff>
      <xdr:row>1222</xdr:row>
      <xdr:rowOff>114300</xdr:rowOff>
    </xdr:to>
    <xdr:sp macro="" textlink="">
      <xdr:nvSpPr>
        <xdr:cNvPr id="4294" name="AutoShape 1222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539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1223</xdr:row>
      <xdr:rowOff>0</xdr:rowOff>
    </xdr:from>
    <xdr:to>
      <xdr:col>4</xdr:col>
      <xdr:colOff>304800</xdr:colOff>
      <xdr:row>1224</xdr:row>
      <xdr:rowOff>76200</xdr:rowOff>
    </xdr:to>
    <xdr:sp macro="" textlink="">
      <xdr:nvSpPr>
        <xdr:cNvPr id="4295" name="AutoShape 1223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597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1223</xdr:row>
      <xdr:rowOff>0</xdr:rowOff>
    </xdr:from>
    <xdr:to>
      <xdr:col>5</xdr:col>
      <xdr:colOff>304800</xdr:colOff>
      <xdr:row>1224</xdr:row>
      <xdr:rowOff>76200</xdr:rowOff>
    </xdr:to>
    <xdr:sp macro="" textlink="">
      <xdr:nvSpPr>
        <xdr:cNvPr id="4296" name="AutoShape 1224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597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1225</xdr:row>
      <xdr:rowOff>0</xdr:rowOff>
    </xdr:from>
    <xdr:to>
      <xdr:col>4</xdr:col>
      <xdr:colOff>304800</xdr:colOff>
      <xdr:row>1226</xdr:row>
      <xdr:rowOff>114300</xdr:rowOff>
    </xdr:to>
    <xdr:sp macro="" textlink="">
      <xdr:nvSpPr>
        <xdr:cNvPr id="4297" name="AutoShape 1225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64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1225</xdr:row>
      <xdr:rowOff>0</xdr:rowOff>
    </xdr:from>
    <xdr:to>
      <xdr:col>5</xdr:col>
      <xdr:colOff>304800</xdr:colOff>
      <xdr:row>1226</xdr:row>
      <xdr:rowOff>114300</xdr:rowOff>
    </xdr:to>
    <xdr:sp macro="" textlink="">
      <xdr:nvSpPr>
        <xdr:cNvPr id="4298" name="AutoShape 1226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64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1227</xdr:row>
      <xdr:rowOff>0</xdr:rowOff>
    </xdr:from>
    <xdr:to>
      <xdr:col>4</xdr:col>
      <xdr:colOff>304800</xdr:colOff>
      <xdr:row>1228</xdr:row>
      <xdr:rowOff>114300</xdr:rowOff>
    </xdr:to>
    <xdr:sp macro="" textlink="">
      <xdr:nvSpPr>
        <xdr:cNvPr id="4299" name="AutoShape 1227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698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1227</xdr:row>
      <xdr:rowOff>0</xdr:rowOff>
    </xdr:from>
    <xdr:to>
      <xdr:col>5</xdr:col>
      <xdr:colOff>304800</xdr:colOff>
      <xdr:row>1228</xdr:row>
      <xdr:rowOff>114300</xdr:rowOff>
    </xdr:to>
    <xdr:sp macro="" textlink="">
      <xdr:nvSpPr>
        <xdr:cNvPr id="4300" name="AutoShape 1228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698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1229</xdr:row>
      <xdr:rowOff>0</xdr:rowOff>
    </xdr:from>
    <xdr:to>
      <xdr:col>4</xdr:col>
      <xdr:colOff>304800</xdr:colOff>
      <xdr:row>1230</xdr:row>
      <xdr:rowOff>114300</xdr:rowOff>
    </xdr:to>
    <xdr:sp macro="" textlink="">
      <xdr:nvSpPr>
        <xdr:cNvPr id="4301" name="AutoShape 1229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7569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1229</xdr:row>
      <xdr:rowOff>0</xdr:rowOff>
    </xdr:from>
    <xdr:to>
      <xdr:col>5</xdr:col>
      <xdr:colOff>304800</xdr:colOff>
      <xdr:row>1230</xdr:row>
      <xdr:rowOff>114300</xdr:rowOff>
    </xdr:to>
    <xdr:sp macro="" textlink="">
      <xdr:nvSpPr>
        <xdr:cNvPr id="4302" name="AutoShape 1230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7569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03" name="AutoShape 1231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815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04" name="AutoShape 1232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815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1233</xdr:row>
      <xdr:rowOff>0</xdr:rowOff>
    </xdr:from>
    <xdr:to>
      <xdr:col>4</xdr:col>
      <xdr:colOff>304800</xdr:colOff>
      <xdr:row>1234</xdr:row>
      <xdr:rowOff>114300</xdr:rowOff>
    </xdr:to>
    <xdr:sp macro="" textlink="">
      <xdr:nvSpPr>
        <xdr:cNvPr id="4305" name="AutoShape 1233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873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1233</xdr:row>
      <xdr:rowOff>0</xdr:rowOff>
    </xdr:from>
    <xdr:to>
      <xdr:col>5</xdr:col>
      <xdr:colOff>304800</xdr:colOff>
      <xdr:row>1234</xdr:row>
      <xdr:rowOff>114300</xdr:rowOff>
    </xdr:to>
    <xdr:sp macro="" textlink="">
      <xdr:nvSpPr>
        <xdr:cNvPr id="4306" name="AutoShape 1234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873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1235</xdr:row>
      <xdr:rowOff>0</xdr:rowOff>
    </xdr:from>
    <xdr:to>
      <xdr:col>4</xdr:col>
      <xdr:colOff>304800</xdr:colOff>
      <xdr:row>1236</xdr:row>
      <xdr:rowOff>114300</xdr:rowOff>
    </xdr:to>
    <xdr:sp macro="" textlink="">
      <xdr:nvSpPr>
        <xdr:cNvPr id="4307" name="AutoShape 123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931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1235</xdr:row>
      <xdr:rowOff>0</xdr:rowOff>
    </xdr:from>
    <xdr:to>
      <xdr:col>5</xdr:col>
      <xdr:colOff>304800</xdr:colOff>
      <xdr:row>1236</xdr:row>
      <xdr:rowOff>114300</xdr:rowOff>
    </xdr:to>
    <xdr:sp macro="" textlink="">
      <xdr:nvSpPr>
        <xdr:cNvPr id="4308" name="AutoShape 1236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931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1237</xdr:row>
      <xdr:rowOff>0</xdr:rowOff>
    </xdr:from>
    <xdr:to>
      <xdr:col>4</xdr:col>
      <xdr:colOff>304800</xdr:colOff>
      <xdr:row>1238</xdr:row>
      <xdr:rowOff>114300</xdr:rowOff>
    </xdr:to>
    <xdr:sp macro="" textlink="">
      <xdr:nvSpPr>
        <xdr:cNvPr id="4309" name="AutoShape 1237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9893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1237</xdr:row>
      <xdr:rowOff>0</xdr:rowOff>
    </xdr:from>
    <xdr:to>
      <xdr:col>5</xdr:col>
      <xdr:colOff>304800</xdr:colOff>
      <xdr:row>1238</xdr:row>
      <xdr:rowOff>114300</xdr:rowOff>
    </xdr:to>
    <xdr:sp macro="" textlink="">
      <xdr:nvSpPr>
        <xdr:cNvPr id="4310" name="AutoShape 1238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9893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1239</xdr:row>
      <xdr:rowOff>0</xdr:rowOff>
    </xdr:from>
    <xdr:to>
      <xdr:col>4</xdr:col>
      <xdr:colOff>304800</xdr:colOff>
      <xdr:row>1240</xdr:row>
      <xdr:rowOff>114300</xdr:rowOff>
    </xdr:to>
    <xdr:sp macro="" textlink="">
      <xdr:nvSpPr>
        <xdr:cNvPr id="4311" name="AutoShape 1239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047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1239</xdr:row>
      <xdr:rowOff>0</xdr:rowOff>
    </xdr:from>
    <xdr:to>
      <xdr:col>5</xdr:col>
      <xdr:colOff>304800</xdr:colOff>
      <xdr:row>1240</xdr:row>
      <xdr:rowOff>114300</xdr:rowOff>
    </xdr:to>
    <xdr:sp macro="" textlink="">
      <xdr:nvSpPr>
        <xdr:cNvPr id="4312" name="AutoShape 1240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047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1241</xdr:row>
      <xdr:rowOff>0</xdr:rowOff>
    </xdr:from>
    <xdr:to>
      <xdr:col>4</xdr:col>
      <xdr:colOff>304800</xdr:colOff>
      <xdr:row>1242</xdr:row>
      <xdr:rowOff>76200</xdr:rowOff>
    </xdr:to>
    <xdr:sp macro="" textlink="">
      <xdr:nvSpPr>
        <xdr:cNvPr id="4313" name="AutoShape 1241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086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1241</xdr:row>
      <xdr:rowOff>0</xdr:rowOff>
    </xdr:from>
    <xdr:to>
      <xdr:col>5</xdr:col>
      <xdr:colOff>304800</xdr:colOff>
      <xdr:row>1242</xdr:row>
      <xdr:rowOff>76200</xdr:rowOff>
    </xdr:to>
    <xdr:sp macro="" textlink="">
      <xdr:nvSpPr>
        <xdr:cNvPr id="4314" name="AutoShape 124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086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1243</xdr:row>
      <xdr:rowOff>0</xdr:rowOff>
    </xdr:from>
    <xdr:to>
      <xdr:col>4</xdr:col>
      <xdr:colOff>304800</xdr:colOff>
      <xdr:row>1244</xdr:row>
      <xdr:rowOff>114300</xdr:rowOff>
    </xdr:to>
    <xdr:sp macro="" textlink="">
      <xdr:nvSpPr>
        <xdr:cNvPr id="4315" name="AutoShape 1243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129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1243</xdr:row>
      <xdr:rowOff>0</xdr:rowOff>
    </xdr:from>
    <xdr:to>
      <xdr:col>5</xdr:col>
      <xdr:colOff>304800</xdr:colOff>
      <xdr:row>1244</xdr:row>
      <xdr:rowOff>114300</xdr:rowOff>
    </xdr:to>
    <xdr:sp macro="" textlink="">
      <xdr:nvSpPr>
        <xdr:cNvPr id="4316" name="AutoShape 1244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129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1245</xdr:row>
      <xdr:rowOff>0</xdr:rowOff>
    </xdr:from>
    <xdr:to>
      <xdr:col>4</xdr:col>
      <xdr:colOff>304800</xdr:colOff>
      <xdr:row>1246</xdr:row>
      <xdr:rowOff>114300</xdr:rowOff>
    </xdr:to>
    <xdr:sp macro="" textlink="">
      <xdr:nvSpPr>
        <xdr:cNvPr id="4317" name="AutoShape 1245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1874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1245</xdr:row>
      <xdr:rowOff>0</xdr:rowOff>
    </xdr:from>
    <xdr:to>
      <xdr:col>5</xdr:col>
      <xdr:colOff>304800</xdr:colOff>
      <xdr:row>1246</xdr:row>
      <xdr:rowOff>114300</xdr:rowOff>
    </xdr:to>
    <xdr:sp macro="" textlink="">
      <xdr:nvSpPr>
        <xdr:cNvPr id="4318" name="AutoShape 1246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1874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1247</xdr:row>
      <xdr:rowOff>0</xdr:rowOff>
    </xdr:from>
    <xdr:to>
      <xdr:col>4</xdr:col>
      <xdr:colOff>304800</xdr:colOff>
      <xdr:row>1248</xdr:row>
      <xdr:rowOff>114300</xdr:rowOff>
    </xdr:to>
    <xdr:sp macro="" textlink="">
      <xdr:nvSpPr>
        <xdr:cNvPr id="4319" name="AutoShape 1247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245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1247</xdr:row>
      <xdr:rowOff>0</xdr:rowOff>
    </xdr:from>
    <xdr:to>
      <xdr:col>5</xdr:col>
      <xdr:colOff>304800</xdr:colOff>
      <xdr:row>1248</xdr:row>
      <xdr:rowOff>114300</xdr:rowOff>
    </xdr:to>
    <xdr:sp macro="" textlink="">
      <xdr:nvSpPr>
        <xdr:cNvPr id="4320" name="AutoShape 1248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245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1249</xdr:row>
      <xdr:rowOff>0</xdr:rowOff>
    </xdr:from>
    <xdr:to>
      <xdr:col>4</xdr:col>
      <xdr:colOff>304800</xdr:colOff>
      <xdr:row>1250</xdr:row>
      <xdr:rowOff>114300</xdr:rowOff>
    </xdr:to>
    <xdr:sp macro="" textlink="">
      <xdr:nvSpPr>
        <xdr:cNvPr id="4321" name="AutoShape 1249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303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1249</xdr:row>
      <xdr:rowOff>0</xdr:rowOff>
    </xdr:from>
    <xdr:to>
      <xdr:col>5</xdr:col>
      <xdr:colOff>304800</xdr:colOff>
      <xdr:row>1250</xdr:row>
      <xdr:rowOff>114300</xdr:rowOff>
    </xdr:to>
    <xdr:sp macro="" textlink="">
      <xdr:nvSpPr>
        <xdr:cNvPr id="4322" name="AutoShape 1250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303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1251</xdr:row>
      <xdr:rowOff>0</xdr:rowOff>
    </xdr:from>
    <xdr:to>
      <xdr:col>4</xdr:col>
      <xdr:colOff>304800</xdr:colOff>
      <xdr:row>1252</xdr:row>
      <xdr:rowOff>114300</xdr:rowOff>
    </xdr:to>
    <xdr:sp macro="" textlink="">
      <xdr:nvSpPr>
        <xdr:cNvPr id="4323" name="AutoShape 1251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361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1251</xdr:row>
      <xdr:rowOff>0</xdr:rowOff>
    </xdr:from>
    <xdr:to>
      <xdr:col>5</xdr:col>
      <xdr:colOff>304800</xdr:colOff>
      <xdr:row>1252</xdr:row>
      <xdr:rowOff>114300</xdr:rowOff>
    </xdr:to>
    <xdr:sp macro="" textlink="">
      <xdr:nvSpPr>
        <xdr:cNvPr id="4324" name="AutoShape 1252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361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1253</xdr:row>
      <xdr:rowOff>0</xdr:rowOff>
    </xdr:from>
    <xdr:to>
      <xdr:col>4</xdr:col>
      <xdr:colOff>304800</xdr:colOff>
      <xdr:row>1254</xdr:row>
      <xdr:rowOff>76200</xdr:rowOff>
    </xdr:to>
    <xdr:sp macro="" textlink="">
      <xdr:nvSpPr>
        <xdr:cNvPr id="4325" name="AutoShape 1253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4198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1253</xdr:row>
      <xdr:rowOff>0</xdr:rowOff>
    </xdr:from>
    <xdr:to>
      <xdr:col>5</xdr:col>
      <xdr:colOff>304800</xdr:colOff>
      <xdr:row>1254</xdr:row>
      <xdr:rowOff>76200</xdr:rowOff>
    </xdr:to>
    <xdr:sp macro="" textlink="">
      <xdr:nvSpPr>
        <xdr:cNvPr id="4326" name="AutoShape 1254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4198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1255</xdr:row>
      <xdr:rowOff>0</xdr:rowOff>
    </xdr:from>
    <xdr:to>
      <xdr:col>4</xdr:col>
      <xdr:colOff>304800</xdr:colOff>
      <xdr:row>1256</xdr:row>
      <xdr:rowOff>114300</xdr:rowOff>
    </xdr:to>
    <xdr:sp macro="" textlink="">
      <xdr:nvSpPr>
        <xdr:cNvPr id="4327" name="AutoShape 1255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462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1255</xdr:row>
      <xdr:rowOff>0</xdr:rowOff>
    </xdr:from>
    <xdr:to>
      <xdr:col>5</xdr:col>
      <xdr:colOff>304800</xdr:colOff>
      <xdr:row>1256</xdr:row>
      <xdr:rowOff>114300</xdr:rowOff>
    </xdr:to>
    <xdr:sp macro="" textlink="">
      <xdr:nvSpPr>
        <xdr:cNvPr id="4328" name="AutoShape 1256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462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1257</xdr:row>
      <xdr:rowOff>0</xdr:rowOff>
    </xdr:from>
    <xdr:to>
      <xdr:col>4</xdr:col>
      <xdr:colOff>304800</xdr:colOff>
      <xdr:row>1258</xdr:row>
      <xdr:rowOff>114300</xdr:rowOff>
    </xdr:to>
    <xdr:sp macro="" textlink="">
      <xdr:nvSpPr>
        <xdr:cNvPr id="4329" name="AutoShape 1257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520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1257</xdr:row>
      <xdr:rowOff>0</xdr:rowOff>
    </xdr:from>
    <xdr:to>
      <xdr:col>5</xdr:col>
      <xdr:colOff>304800</xdr:colOff>
      <xdr:row>1258</xdr:row>
      <xdr:rowOff>114300</xdr:rowOff>
    </xdr:to>
    <xdr:sp macro="" textlink="">
      <xdr:nvSpPr>
        <xdr:cNvPr id="4330" name="AutoShape 1258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520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1259</xdr:row>
      <xdr:rowOff>0</xdr:rowOff>
    </xdr:from>
    <xdr:to>
      <xdr:col>4</xdr:col>
      <xdr:colOff>304800</xdr:colOff>
      <xdr:row>1260</xdr:row>
      <xdr:rowOff>114300</xdr:rowOff>
    </xdr:to>
    <xdr:sp macro="" textlink="">
      <xdr:nvSpPr>
        <xdr:cNvPr id="4331" name="AutoShape 1259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578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1259</xdr:row>
      <xdr:rowOff>0</xdr:rowOff>
    </xdr:from>
    <xdr:to>
      <xdr:col>5</xdr:col>
      <xdr:colOff>304800</xdr:colOff>
      <xdr:row>1260</xdr:row>
      <xdr:rowOff>114300</xdr:rowOff>
    </xdr:to>
    <xdr:sp macro="" textlink="">
      <xdr:nvSpPr>
        <xdr:cNvPr id="4332" name="AutoShape 1260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578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1261</xdr:row>
      <xdr:rowOff>0</xdr:rowOff>
    </xdr:from>
    <xdr:to>
      <xdr:col>4</xdr:col>
      <xdr:colOff>304800</xdr:colOff>
      <xdr:row>1262</xdr:row>
      <xdr:rowOff>114300</xdr:rowOff>
    </xdr:to>
    <xdr:sp macro="" textlink="">
      <xdr:nvSpPr>
        <xdr:cNvPr id="4333" name="AutoShape 1261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6370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1261</xdr:row>
      <xdr:rowOff>0</xdr:rowOff>
    </xdr:from>
    <xdr:to>
      <xdr:col>5</xdr:col>
      <xdr:colOff>304800</xdr:colOff>
      <xdr:row>1262</xdr:row>
      <xdr:rowOff>114300</xdr:rowOff>
    </xdr:to>
    <xdr:sp macro="" textlink="">
      <xdr:nvSpPr>
        <xdr:cNvPr id="4334" name="AutoShape 1262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6370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1263</xdr:row>
      <xdr:rowOff>0</xdr:rowOff>
    </xdr:from>
    <xdr:to>
      <xdr:col>4</xdr:col>
      <xdr:colOff>304800</xdr:colOff>
      <xdr:row>1264</xdr:row>
      <xdr:rowOff>76200</xdr:rowOff>
    </xdr:to>
    <xdr:sp macro="" textlink="">
      <xdr:nvSpPr>
        <xdr:cNvPr id="4335" name="AutoShape 1263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695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1263</xdr:row>
      <xdr:rowOff>0</xdr:rowOff>
    </xdr:from>
    <xdr:to>
      <xdr:col>5</xdr:col>
      <xdr:colOff>304800</xdr:colOff>
      <xdr:row>1264</xdr:row>
      <xdr:rowOff>76200</xdr:rowOff>
    </xdr:to>
    <xdr:sp macro="" textlink="">
      <xdr:nvSpPr>
        <xdr:cNvPr id="4336" name="AutoShape 1264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695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1265</xdr:row>
      <xdr:rowOff>0</xdr:rowOff>
    </xdr:from>
    <xdr:to>
      <xdr:col>4</xdr:col>
      <xdr:colOff>304800</xdr:colOff>
      <xdr:row>1266</xdr:row>
      <xdr:rowOff>114300</xdr:rowOff>
    </xdr:to>
    <xdr:sp macro="" textlink="">
      <xdr:nvSpPr>
        <xdr:cNvPr id="4337" name="AutoShape 1265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738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1265</xdr:row>
      <xdr:rowOff>0</xdr:rowOff>
    </xdr:from>
    <xdr:to>
      <xdr:col>5</xdr:col>
      <xdr:colOff>304800</xdr:colOff>
      <xdr:row>1266</xdr:row>
      <xdr:rowOff>114300</xdr:rowOff>
    </xdr:to>
    <xdr:sp macro="" textlink="">
      <xdr:nvSpPr>
        <xdr:cNvPr id="4338" name="AutoShape 1266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738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1267</xdr:row>
      <xdr:rowOff>0</xdr:rowOff>
    </xdr:from>
    <xdr:to>
      <xdr:col>4</xdr:col>
      <xdr:colOff>304800</xdr:colOff>
      <xdr:row>1268</xdr:row>
      <xdr:rowOff>114300</xdr:rowOff>
    </xdr:to>
    <xdr:sp macro="" textlink="">
      <xdr:nvSpPr>
        <xdr:cNvPr id="4339" name="AutoShape 1267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796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1267</xdr:row>
      <xdr:rowOff>0</xdr:rowOff>
    </xdr:from>
    <xdr:to>
      <xdr:col>5</xdr:col>
      <xdr:colOff>304800</xdr:colOff>
      <xdr:row>1268</xdr:row>
      <xdr:rowOff>114300</xdr:rowOff>
    </xdr:to>
    <xdr:sp macro="" textlink="">
      <xdr:nvSpPr>
        <xdr:cNvPr id="4340" name="AutoShape 1268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796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1269</xdr:row>
      <xdr:rowOff>0</xdr:rowOff>
    </xdr:from>
    <xdr:to>
      <xdr:col>4</xdr:col>
      <xdr:colOff>304800</xdr:colOff>
      <xdr:row>1270</xdr:row>
      <xdr:rowOff>114300</xdr:rowOff>
    </xdr:to>
    <xdr:sp macro="" textlink="">
      <xdr:nvSpPr>
        <xdr:cNvPr id="4341" name="AutoShape 1269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854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1269</xdr:row>
      <xdr:rowOff>0</xdr:rowOff>
    </xdr:from>
    <xdr:to>
      <xdr:col>5</xdr:col>
      <xdr:colOff>304800</xdr:colOff>
      <xdr:row>1270</xdr:row>
      <xdr:rowOff>114300</xdr:rowOff>
    </xdr:to>
    <xdr:sp macro="" textlink="">
      <xdr:nvSpPr>
        <xdr:cNvPr id="4342" name="AutoShape 1270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854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1271</xdr:row>
      <xdr:rowOff>0</xdr:rowOff>
    </xdr:from>
    <xdr:to>
      <xdr:col>4</xdr:col>
      <xdr:colOff>304800</xdr:colOff>
      <xdr:row>1272</xdr:row>
      <xdr:rowOff>114300</xdr:rowOff>
    </xdr:to>
    <xdr:sp macro="" textlink="">
      <xdr:nvSpPr>
        <xdr:cNvPr id="4343" name="AutoShape 1271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912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1271</xdr:row>
      <xdr:rowOff>0</xdr:rowOff>
    </xdr:from>
    <xdr:to>
      <xdr:col>5</xdr:col>
      <xdr:colOff>304800</xdr:colOff>
      <xdr:row>1272</xdr:row>
      <xdr:rowOff>114300</xdr:rowOff>
    </xdr:to>
    <xdr:sp macro="" textlink="">
      <xdr:nvSpPr>
        <xdr:cNvPr id="4344" name="AutoShape 127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912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1273</xdr:row>
      <xdr:rowOff>0</xdr:rowOff>
    </xdr:from>
    <xdr:to>
      <xdr:col>4</xdr:col>
      <xdr:colOff>304800</xdr:colOff>
      <xdr:row>1274</xdr:row>
      <xdr:rowOff>114300</xdr:rowOff>
    </xdr:to>
    <xdr:sp macro="" textlink="">
      <xdr:nvSpPr>
        <xdr:cNvPr id="4345" name="AutoShape 1273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9704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1273</xdr:row>
      <xdr:rowOff>0</xdr:rowOff>
    </xdr:from>
    <xdr:to>
      <xdr:col>5</xdr:col>
      <xdr:colOff>304800</xdr:colOff>
      <xdr:row>1274</xdr:row>
      <xdr:rowOff>114300</xdr:rowOff>
    </xdr:to>
    <xdr:sp macro="" textlink="">
      <xdr:nvSpPr>
        <xdr:cNvPr id="4346" name="AutoShape 1274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9704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1275</xdr:row>
      <xdr:rowOff>0</xdr:rowOff>
    </xdr:from>
    <xdr:to>
      <xdr:col>4</xdr:col>
      <xdr:colOff>304800</xdr:colOff>
      <xdr:row>1276</xdr:row>
      <xdr:rowOff>114300</xdr:rowOff>
    </xdr:to>
    <xdr:sp macro="" textlink="">
      <xdr:nvSpPr>
        <xdr:cNvPr id="4347" name="AutoShape 127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0285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1275</xdr:row>
      <xdr:rowOff>0</xdr:rowOff>
    </xdr:from>
    <xdr:to>
      <xdr:col>5</xdr:col>
      <xdr:colOff>304800</xdr:colOff>
      <xdr:row>1276</xdr:row>
      <xdr:rowOff>114300</xdr:rowOff>
    </xdr:to>
    <xdr:sp macro="" textlink="">
      <xdr:nvSpPr>
        <xdr:cNvPr id="4348" name="AutoShape 1276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0285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1277</xdr:row>
      <xdr:rowOff>0</xdr:rowOff>
    </xdr:from>
    <xdr:to>
      <xdr:col>4</xdr:col>
      <xdr:colOff>304800</xdr:colOff>
      <xdr:row>1278</xdr:row>
      <xdr:rowOff>76200</xdr:rowOff>
    </xdr:to>
    <xdr:sp macro="" textlink="">
      <xdr:nvSpPr>
        <xdr:cNvPr id="4349" name="AutoShape 1277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0866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1277</xdr:row>
      <xdr:rowOff>0</xdr:rowOff>
    </xdr:from>
    <xdr:to>
      <xdr:col>5</xdr:col>
      <xdr:colOff>304800</xdr:colOff>
      <xdr:row>1278</xdr:row>
      <xdr:rowOff>76200</xdr:rowOff>
    </xdr:to>
    <xdr:sp macro="" textlink="">
      <xdr:nvSpPr>
        <xdr:cNvPr id="4350" name="AutoShape 1278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0866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1279</xdr:row>
      <xdr:rowOff>0</xdr:rowOff>
    </xdr:from>
    <xdr:to>
      <xdr:col>4</xdr:col>
      <xdr:colOff>304800</xdr:colOff>
      <xdr:row>1280</xdr:row>
      <xdr:rowOff>114300</xdr:rowOff>
    </xdr:to>
    <xdr:sp macro="" textlink="">
      <xdr:nvSpPr>
        <xdr:cNvPr id="4351" name="AutoShape 1279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129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1279</xdr:row>
      <xdr:rowOff>0</xdr:rowOff>
    </xdr:from>
    <xdr:to>
      <xdr:col>5</xdr:col>
      <xdr:colOff>304800</xdr:colOff>
      <xdr:row>1280</xdr:row>
      <xdr:rowOff>114300</xdr:rowOff>
    </xdr:to>
    <xdr:sp macro="" textlink="">
      <xdr:nvSpPr>
        <xdr:cNvPr id="4352" name="AutoShape 1280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129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1281</xdr:row>
      <xdr:rowOff>0</xdr:rowOff>
    </xdr:from>
    <xdr:to>
      <xdr:col>4</xdr:col>
      <xdr:colOff>304800</xdr:colOff>
      <xdr:row>1282</xdr:row>
      <xdr:rowOff>114300</xdr:rowOff>
    </xdr:to>
    <xdr:sp macro="" textlink="">
      <xdr:nvSpPr>
        <xdr:cNvPr id="4353" name="AutoShape 1281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168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1281</xdr:row>
      <xdr:rowOff>0</xdr:rowOff>
    </xdr:from>
    <xdr:to>
      <xdr:col>5</xdr:col>
      <xdr:colOff>304800</xdr:colOff>
      <xdr:row>1282</xdr:row>
      <xdr:rowOff>114300</xdr:rowOff>
    </xdr:to>
    <xdr:sp macro="" textlink="">
      <xdr:nvSpPr>
        <xdr:cNvPr id="4354" name="AutoShape 1282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168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1283</xdr:row>
      <xdr:rowOff>0</xdr:rowOff>
    </xdr:from>
    <xdr:to>
      <xdr:col>4</xdr:col>
      <xdr:colOff>304800</xdr:colOff>
      <xdr:row>1284</xdr:row>
      <xdr:rowOff>114300</xdr:rowOff>
    </xdr:to>
    <xdr:sp macro="" textlink="">
      <xdr:nvSpPr>
        <xdr:cNvPr id="4355" name="AutoShape 1283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226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1283</xdr:row>
      <xdr:rowOff>0</xdr:rowOff>
    </xdr:from>
    <xdr:to>
      <xdr:col>5</xdr:col>
      <xdr:colOff>304800</xdr:colOff>
      <xdr:row>1284</xdr:row>
      <xdr:rowOff>114300</xdr:rowOff>
    </xdr:to>
    <xdr:sp macro="" textlink="">
      <xdr:nvSpPr>
        <xdr:cNvPr id="4356" name="AutoShape 1284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226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1285</xdr:row>
      <xdr:rowOff>0</xdr:rowOff>
    </xdr:from>
    <xdr:to>
      <xdr:col>4</xdr:col>
      <xdr:colOff>304800</xdr:colOff>
      <xdr:row>1286</xdr:row>
      <xdr:rowOff>76200</xdr:rowOff>
    </xdr:to>
    <xdr:sp macro="" textlink="">
      <xdr:nvSpPr>
        <xdr:cNvPr id="4357" name="AutoShape 1285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284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1285</xdr:row>
      <xdr:rowOff>0</xdr:rowOff>
    </xdr:from>
    <xdr:to>
      <xdr:col>5</xdr:col>
      <xdr:colOff>304800</xdr:colOff>
      <xdr:row>1286</xdr:row>
      <xdr:rowOff>76200</xdr:rowOff>
    </xdr:to>
    <xdr:sp macro="" textlink="">
      <xdr:nvSpPr>
        <xdr:cNvPr id="4358" name="AutoShape 1286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284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1287</xdr:row>
      <xdr:rowOff>0</xdr:rowOff>
    </xdr:from>
    <xdr:to>
      <xdr:col>4</xdr:col>
      <xdr:colOff>304800</xdr:colOff>
      <xdr:row>1288</xdr:row>
      <xdr:rowOff>114300</xdr:rowOff>
    </xdr:to>
    <xdr:sp macro="" textlink="">
      <xdr:nvSpPr>
        <xdr:cNvPr id="4359" name="AutoShape 1287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32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1287</xdr:row>
      <xdr:rowOff>0</xdr:rowOff>
    </xdr:from>
    <xdr:to>
      <xdr:col>5</xdr:col>
      <xdr:colOff>304800</xdr:colOff>
      <xdr:row>1288</xdr:row>
      <xdr:rowOff>114300</xdr:rowOff>
    </xdr:to>
    <xdr:sp macro="" textlink="">
      <xdr:nvSpPr>
        <xdr:cNvPr id="4360" name="AutoShape 1288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32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1289</xdr:row>
      <xdr:rowOff>0</xdr:rowOff>
    </xdr:from>
    <xdr:to>
      <xdr:col>4</xdr:col>
      <xdr:colOff>304800</xdr:colOff>
      <xdr:row>1290</xdr:row>
      <xdr:rowOff>114300</xdr:rowOff>
    </xdr:to>
    <xdr:sp macro="" textlink="">
      <xdr:nvSpPr>
        <xdr:cNvPr id="4361" name="AutoShape 1289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385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1289</xdr:row>
      <xdr:rowOff>0</xdr:rowOff>
    </xdr:from>
    <xdr:to>
      <xdr:col>5</xdr:col>
      <xdr:colOff>304800</xdr:colOff>
      <xdr:row>1290</xdr:row>
      <xdr:rowOff>114300</xdr:rowOff>
    </xdr:to>
    <xdr:sp macro="" textlink="">
      <xdr:nvSpPr>
        <xdr:cNvPr id="4362" name="AutoShape 1290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385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1291</xdr:row>
      <xdr:rowOff>0</xdr:rowOff>
    </xdr:from>
    <xdr:to>
      <xdr:col>4</xdr:col>
      <xdr:colOff>304800</xdr:colOff>
      <xdr:row>1292</xdr:row>
      <xdr:rowOff>114300</xdr:rowOff>
    </xdr:to>
    <xdr:sp macro="" textlink="">
      <xdr:nvSpPr>
        <xdr:cNvPr id="4363" name="AutoShape 1291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4438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1291</xdr:row>
      <xdr:rowOff>0</xdr:rowOff>
    </xdr:from>
    <xdr:to>
      <xdr:col>5</xdr:col>
      <xdr:colOff>304800</xdr:colOff>
      <xdr:row>1292</xdr:row>
      <xdr:rowOff>114300</xdr:rowOff>
    </xdr:to>
    <xdr:sp macro="" textlink="">
      <xdr:nvSpPr>
        <xdr:cNvPr id="4364" name="AutoShape 1292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4438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1293</xdr:row>
      <xdr:rowOff>0</xdr:rowOff>
    </xdr:from>
    <xdr:to>
      <xdr:col>4</xdr:col>
      <xdr:colOff>304800</xdr:colOff>
      <xdr:row>1294</xdr:row>
      <xdr:rowOff>114300</xdr:rowOff>
    </xdr:to>
    <xdr:sp macro="" textlink="">
      <xdr:nvSpPr>
        <xdr:cNvPr id="4365" name="AutoShape 1293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5019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1293</xdr:row>
      <xdr:rowOff>0</xdr:rowOff>
    </xdr:from>
    <xdr:to>
      <xdr:col>5</xdr:col>
      <xdr:colOff>304800</xdr:colOff>
      <xdr:row>1294</xdr:row>
      <xdr:rowOff>114300</xdr:rowOff>
    </xdr:to>
    <xdr:sp macro="" textlink="">
      <xdr:nvSpPr>
        <xdr:cNvPr id="4366" name="AutoShape 1294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5019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1295</xdr:row>
      <xdr:rowOff>0</xdr:rowOff>
    </xdr:from>
    <xdr:to>
      <xdr:col>4</xdr:col>
      <xdr:colOff>304800</xdr:colOff>
      <xdr:row>1296</xdr:row>
      <xdr:rowOff>76200</xdr:rowOff>
    </xdr:to>
    <xdr:sp macro="" textlink="">
      <xdr:nvSpPr>
        <xdr:cNvPr id="4367" name="AutoShape 1295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560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1295</xdr:row>
      <xdr:rowOff>0</xdr:rowOff>
    </xdr:from>
    <xdr:to>
      <xdr:col>5</xdr:col>
      <xdr:colOff>304800</xdr:colOff>
      <xdr:row>1296</xdr:row>
      <xdr:rowOff>76200</xdr:rowOff>
    </xdr:to>
    <xdr:sp macro="" textlink="">
      <xdr:nvSpPr>
        <xdr:cNvPr id="4368" name="AutoShape 1296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560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1297</xdr:row>
      <xdr:rowOff>0</xdr:rowOff>
    </xdr:from>
    <xdr:to>
      <xdr:col>4</xdr:col>
      <xdr:colOff>304800</xdr:colOff>
      <xdr:row>1298</xdr:row>
      <xdr:rowOff>114300</xdr:rowOff>
    </xdr:to>
    <xdr:sp macro="" textlink="">
      <xdr:nvSpPr>
        <xdr:cNvPr id="4369" name="AutoShape 1297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602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1297</xdr:row>
      <xdr:rowOff>0</xdr:rowOff>
    </xdr:from>
    <xdr:to>
      <xdr:col>5</xdr:col>
      <xdr:colOff>304800</xdr:colOff>
      <xdr:row>1298</xdr:row>
      <xdr:rowOff>114300</xdr:rowOff>
    </xdr:to>
    <xdr:sp macro="" textlink="">
      <xdr:nvSpPr>
        <xdr:cNvPr id="4370" name="AutoShape 1298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602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1299</xdr:row>
      <xdr:rowOff>0</xdr:rowOff>
    </xdr:from>
    <xdr:to>
      <xdr:col>4</xdr:col>
      <xdr:colOff>304800</xdr:colOff>
      <xdr:row>1300</xdr:row>
      <xdr:rowOff>114300</xdr:rowOff>
    </xdr:to>
    <xdr:sp macro="" textlink="">
      <xdr:nvSpPr>
        <xdr:cNvPr id="4371" name="AutoShape 1299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660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1299</xdr:row>
      <xdr:rowOff>0</xdr:rowOff>
    </xdr:from>
    <xdr:to>
      <xdr:col>5</xdr:col>
      <xdr:colOff>304800</xdr:colOff>
      <xdr:row>1300</xdr:row>
      <xdr:rowOff>114300</xdr:rowOff>
    </xdr:to>
    <xdr:sp macro="" textlink="">
      <xdr:nvSpPr>
        <xdr:cNvPr id="4372" name="AutoShape 1300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660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1301</xdr:row>
      <xdr:rowOff>0</xdr:rowOff>
    </xdr:from>
    <xdr:to>
      <xdr:col>4</xdr:col>
      <xdr:colOff>304800</xdr:colOff>
      <xdr:row>1302</xdr:row>
      <xdr:rowOff>76200</xdr:rowOff>
    </xdr:to>
    <xdr:sp macro="" textlink="">
      <xdr:nvSpPr>
        <xdr:cNvPr id="4373" name="AutoShape 1301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719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1301</xdr:row>
      <xdr:rowOff>0</xdr:rowOff>
    </xdr:from>
    <xdr:to>
      <xdr:col>5</xdr:col>
      <xdr:colOff>304800</xdr:colOff>
      <xdr:row>1302</xdr:row>
      <xdr:rowOff>76200</xdr:rowOff>
    </xdr:to>
    <xdr:sp macro="" textlink="">
      <xdr:nvSpPr>
        <xdr:cNvPr id="4374" name="AutoShape 130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719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1303</xdr:row>
      <xdr:rowOff>0</xdr:rowOff>
    </xdr:from>
    <xdr:to>
      <xdr:col>4</xdr:col>
      <xdr:colOff>304800</xdr:colOff>
      <xdr:row>1304</xdr:row>
      <xdr:rowOff>76200</xdr:rowOff>
    </xdr:to>
    <xdr:sp macro="" textlink="">
      <xdr:nvSpPr>
        <xdr:cNvPr id="4375" name="AutoShape 1303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761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1303</xdr:row>
      <xdr:rowOff>0</xdr:rowOff>
    </xdr:from>
    <xdr:to>
      <xdr:col>5</xdr:col>
      <xdr:colOff>304800</xdr:colOff>
      <xdr:row>1304</xdr:row>
      <xdr:rowOff>76200</xdr:rowOff>
    </xdr:to>
    <xdr:sp macro="" textlink="">
      <xdr:nvSpPr>
        <xdr:cNvPr id="4376" name="AutoShape 1304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761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1305</xdr:row>
      <xdr:rowOff>0</xdr:rowOff>
    </xdr:from>
    <xdr:to>
      <xdr:col>4</xdr:col>
      <xdr:colOff>304800</xdr:colOff>
      <xdr:row>1306</xdr:row>
      <xdr:rowOff>76200</xdr:rowOff>
    </xdr:to>
    <xdr:sp macro="" textlink="">
      <xdr:nvSpPr>
        <xdr:cNvPr id="4377" name="AutoShape 1305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8048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1305</xdr:row>
      <xdr:rowOff>0</xdr:rowOff>
    </xdr:from>
    <xdr:to>
      <xdr:col>5</xdr:col>
      <xdr:colOff>304800</xdr:colOff>
      <xdr:row>1306</xdr:row>
      <xdr:rowOff>76200</xdr:rowOff>
    </xdr:to>
    <xdr:sp macro="" textlink="">
      <xdr:nvSpPr>
        <xdr:cNvPr id="4378" name="AutoShape 1306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8048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1307</xdr:row>
      <xdr:rowOff>0</xdr:rowOff>
    </xdr:from>
    <xdr:to>
      <xdr:col>4</xdr:col>
      <xdr:colOff>304800</xdr:colOff>
      <xdr:row>1308</xdr:row>
      <xdr:rowOff>76200</xdr:rowOff>
    </xdr:to>
    <xdr:sp macro="" textlink="">
      <xdr:nvSpPr>
        <xdr:cNvPr id="4379" name="AutoShape 1307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8476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1307</xdr:row>
      <xdr:rowOff>0</xdr:rowOff>
    </xdr:from>
    <xdr:to>
      <xdr:col>5</xdr:col>
      <xdr:colOff>304800</xdr:colOff>
      <xdr:row>1308</xdr:row>
      <xdr:rowOff>76200</xdr:rowOff>
    </xdr:to>
    <xdr:sp macro="" textlink="">
      <xdr:nvSpPr>
        <xdr:cNvPr id="4380" name="AutoShape 1308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8476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1309</xdr:row>
      <xdr:rowOff>0</xdr:rowOff>
    </xdr:from>
    <xdr:to>
      <xdr:col>4</xdr:col>
      <xdr:colOff>304800</xdr:colOff>
      <xdr:row>1310</xdr:row>
      <xdr:rowOff>114300</xdr:rowOff>
    </xdr:to>
    <xdr:sp macro="" textlink="">
      <xdr:nvSpPr>
        <xdr:cNvPr id="4381" name="AutoShape 1309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890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1309</xdr:row>
      <xdr:rowOff>0</xdr:rowOff>
    </xdr:from>
    <xdr:to>
      <xdr:col>5</xdr:col>
      <xdr:colOff>304800</xdr:colOff>
      <xdr:row>1310</xdr:row>
      <xdr:rowOff>114300</xdr:rowOff>
    </xdr:to>
    <xdr:sp macro="" textlink="">
      <xdr:nvSpPr>
        <xdr:cNvPr id="4382" name="AutoShape 1310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890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1311</xdr:row>
      <xdr:rowOff>0</xdr:rowOff>
    </xdr:from>
    <xdr:to>
      <xdr:col>4</xdr:col>
      <xdr:colOff>304800</xdr:colOff>
      <xdr:row>1312</xdr:row>
      <xdr:rowOff>114300</xdr:rowOff>
    </xdr:to>
    <xdr:sp macro="" textlink="">
      <xdr:nvSpPr>
        <xdr:cNvPr id="4383" name="AutoShape 1311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967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1311</xdr:row>
      <xdr:rowOff>0</xdr:rowOff>
    </xdr:from>
    <xdr:to>
      <xdr:col>5</xdr:col>
      <xdr:colOff>304800</xdr:colOff>
      <xdr:row>1312</xdr:row>
      <xdr:rowOff>114300</xdr:rowOff>
    </xdr:to>
    <xdr:sp macro="" textlink="">
      <xdr:nvSpPr>
        <xdr:cNvPr id="4384" name="AutoShape 1312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967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1313</xdr:row>
      <xdr:rowOff>0</xdr:rowOff>
    </xdr:from>
    <xdr:to>
      <xdr:col>4</xdr:col>
      <xdr:colOff>304800</xdr:colOff>
      <xdr:row>1314</xdr:row>
      <xdr:rowOff>114300</xdr:rowOff>
    </xdr:to>
    <xdr:sp macro="" textlink="">
      <xdr:nvSpPr>
        <xdr:cNvPr id="4385" name="AutoShape 1313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0257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1313</xdr:row>
      <xdr:rowOff>0</xdr:rowOff>
    </xdr:from>
    <xdr:to>
      <xdr:col>5</xdr:col>
      <xdr:colOff>304800</xdr:colOff>
      <xdr:row>1314</xdr:row>
      <xdr:rowOff>114300</xdr:rowOff>
    </xdr:to>
    <xdr:sp macro="" textlink="">
      <xdr:nvSpPr>
        <xdr:cNvPr id="4386" name="AutoShape 1314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0257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1315</xdr:row>
      <xdr:rowOff>0</xdr:rowOff>
    </xdr:from>
    <xdr:to>
      <xdr:col>4</xdr:col>
      <xdr:colOff>304800</xdr:colOff>
      <xdr:row>1316</xdr:row>
      <xdr:rowOff>114300</xdr:rowOff>
    </xdr:to>
    <xdr:sp macro="" textlink="">
      <xdr:nvSpPr>
        <xdr:cNvPr id="4387" name="AutoShape 1315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0838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1315</xdr:row>
      <xdr:rowOff>0</xdr:rowOff>
    </xdr:from>
    <xdr:to>
      <xdr:col>5</xdr:col>
      <xdr:colOff>304800</xdr:colOff>
      <xdr:row>1316</xdr:row>
      <xdr:rowOff>114300</xdr:rowOff>
    </xdr:to>
    <xdr:sp macro="" textlink="">
      <xdr:nvSpPr>
        <xdr:cNvPr id="4388" name="AutoShape 131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0838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1317</xdr:row>
      <xdr:rowOff>0</xdr:rowOff>
    </xdr:from>
    <xdr:to>
      <xdr:col>4</xdr:col>
      <xdr:colOff>304800</xdr:colOff>
      <xdr:row>1318</xdr:row>
      <xdr:rowOff>76200</xdr:rowOff>
    </xdr:to>
    <xdr:sp macro="" textlink="">
      <xdr:nvSpPr>
        <xdr:cNvPr id="4389" name="AutoShape 1317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141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1317</xdr:row>
      <xdr:rowOff>0</xdr:rowOff>
    </xdr:from>
    <xdr:to>
      <xdr:col>5</xdr:col>
      <xdr:colOff>304800</xdr:colOff>
      <xdr:row>1318</xdr:row>
      <xdr:rowOff>76200</xdr:rowOff>
    </xdr:to>
    <xdr:sp macro="" textlink="">
      <xdr:nvSpPr>
        <xdr:cNvPr id="4390" name="AutoShape 131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141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1319</xdr:row>
      <xdr:rowOff>0</xdr:rowOff>
    </xdr:from>
    <xdr:to>
      <xdr:col>4</xdr:col>
      <xdr:colOff>304800</xdr:colOff>
      <xdr:row>1320</xdr:row>
      <xdr:rowOff>114300</xdr:rowOff>
    </xdr:to>
    <xdr:sp macro="" textlink="">
      <xdr:nvSpPr>
        <xdr:cNvPr id="4391" name="AutoShape 1319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184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1319</xdr:row>
      <xdr:rowOff>0</xdr:rowOff>
    </xdr:from>
    <xdr:to>
      <xdr:col>5</xdr:col>
      <xdr:colOff>304800</xdr:colOff>
      <xdr:row>1320</xdr:row>
      <xdr:rowOff>114300</xdr:rowOff>
    </xdr:to>
    <xdr:sp macro="" textlink="">
      <xdr:nvSpPr>
        <xdr:cNvPr id="4392" name="AutoShape 1320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184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1321</xdr:row>
      <xdr:rowOff>0</xdr:rowOff>
    </xdr:from>
    <xdr:to>
      <xdr:col>4</xdr:col>
      <xdr:colOff>304800</xdr:colOff>
      <xdr:row>1322</xdr:row>
      <xdr:rowOff>76200</xdr:rowOff>
    </xdr:to>
    <xdr:sp macro="" textlink="">
      <xdr:nvSpPr>
        <xdr:cNvPr id="4393" name="AutoShape 1321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242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1321</xdr:row>
      <xdr:rowOff>0</xdr:rowOff>
    </xdr:from>
    <xdr:to>
      <xdr:col>5</xdr:col>
      <xdr:colOff>304800</xdr:colOff>
      <xdr:row>1322</xdr:row>
      <xdr:rowOff>76200</xdr:rowOff>
    </xdr:to>
    <xdr:sp macro="" textlink="">
      <xdr:nvSpPr>
        <xdr:cNvPr id="4394" name="AutoShape 1322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242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1323</xdr:row>
      <xdr:rowOff>0</xdr:rowOff>
    </xdr:from>
    <xdr:to>
      <xdr:col>4</xdr:col>
      <xdr:colOff>304800</xdr:colOff>
      <xdr:row>1324</xdr:row>
      <xdr:rowOff>114300</xdr:rowOff>
    </xdr:to>
    <xdr:sp macro="" textlink="">
      <xdr:nvSpPr>
        <xdr:cNvPr id="4395" name="AutoShape 1323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285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1323</xdr:row>
      <xdr:rowOff>0</xdr:rowOff>
    </xdr:from>
    <xdr:to>
      <xdr:col>5</xdr:col>
      <xdr:colOff>304800</xdr:colOff>
      <xdr:row>1324</xdr:row>
      <xdr:rowOff>114300</xdr:rowOff>
    </xdr:to>
    <xdr:sp macro="" textlink="">
      <xdr:nvSpPr>
        <xdr:cNvPr id="4396" name="AutoShape 1324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285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1325</xdr:row>
      <xdr:rowOff>0</xdr:rowOff>
    </xdr:from>
    <xdr:to>
      <xdr:col>4</xdr:col>
      <xdr:colOff>304800</xdr:colOff>
      <xdr:row>1326</xdr:row>
      <xdr:rowOff>114300</xdr:rowOff>
    </xdr:to>
    <xdr:sp macro="" textlink="">
      <xdr:nvSpPr>
        <xdr:cNvPr id="4397" name="AutoShape 1325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343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1325</xdr:row>
      <xdr:rowOff>0</xdr:rowOff>
    </xdr:from>
    <xdr:to>
      <xdr:col>5</xdr:col>
      <xdr:colOff>304800</xdr:colOff>
      <xdr:row>1326</xdr:row>
      <xdr:rowOff>114300</xdr:rowOff>
    </xdr:to>
    <xdr:sp macro="" textlink="">
      <xdr:nvSpPr>
        <xdr:cNvPr id="4398" name="AutoShape 132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343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1327</xdr:row>
      <xdr:rowOff>0</xdr:rowOff>
    </xdr:from>
    <xdr:to>
      <xdr:col>4</xdr:col>
      <xdr:colOff>304800</xdr:colOff>
      <xdr:row>1328</xdr:row>
      <xdr:rowOff>76200</xdr:rowOff>
    </xdr:to>
    <xdr:sp macro="" textlink="">
      <xdr:nvSpPr>
        <xdr:cNvPr id="4399" name="AutoShape 1327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402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1327</xdr:row>
      <xdr:rowOff>0</xdr:rowOff>
    </xdr:from>
    <xdr:to>
      <xdr:col>5</xdr:col>
      <xdr:colOff>304800</xdr:colOff>
      <xdr:row>1328</xdr:row>
      <xdr:rowOff>76200</xdr:rowOff>
    </xdr:to>
    <xdr:sp macro="" textlink="">
      <xdr:nvSpPr>
        <xdr:cNvPr id="4400" name="AutoShape 132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402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1329</xdr:row>
      <xdr:rowOff>0</xdr:rowOff>
    </xdr:from>
    <xdr:to>
      <xdr:col>4</xdr:col>
      <xdr:colOff>304800</xdr:colOff>
      <xdr:row>1330</xdr:row>
      <xdr:rowOff>76200</xdr:rowOff>
    </xdr:to>
    <xdr:sp macro="" textlink="">
      <xdr:nvSpPr>
        <xdr:cNvPr id="4401" name="AutoShape 1329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444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1329</xdr:row>
      <xdr:rowOff>0</xdr:rowOff>
    </xdr:from>
    <xdr:to>
      <xdr:col>5</xdr:col>
      <xdr:colOff>304800</xdr:colOff>
      <xdr:row>1330</xdr:row>
      <xdr:rowOff>76200</xdr:rowOff>
    </xdr:to>
    <xdr:sp macro="" textlink="">
      <xdr:nvSpPr>
        <xdr:cNvPr id="4402" name="AutoShape 1330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444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1331</xdr:row>
      <xdr:rowOff>0</xdr:rowOff>
    </xdr:from>
    <xdr:to>
      <xdr:col>4</xdr:col>
      <xdr:colOff>304800</xdr:colOff>
      <xdr:row>1332</xdr:row>
      <xdr:rowOff>114300</xdr:rowOff>
    </xdr:to>
    <xdr:sp macro="" textlink="">
      <xdr:nvSpPr>
        <xdr:cNvPr id="4403" name="AutoShape 1331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4877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1331</xdr:row>
      <xdr:rowOff>0</xdr:rowOff>
    </xdr:from>
    <xdr:to>
      <xdr:col>5</xdr:col>
      <xdr:colOff>304800</xdr:colOff>
      <xdr:row>1332</xdr:row>
      <xdr:rowOff>114300</xdr:rowOff>
    </xdr:to>
    <xdr:sp macro="" textlink="">
      <xdr:nvSpPr>
        <xdr:cNvPr id="4404" name="AutoShape 1332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4877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1333</xdr:row>
      <xdr:rowOff>0</xdr:rowOff>
    </xdr:from>
    <xdr:to>
      <xdr:col>4</xdr:col>
      <xdr:colOff>304800</xdr:colOff>
      <xdr:row>1334</xdr:row>
      <xdr:rowOff>114300</xdr:rowOff>
    </xdr:to>
    <xdr:sp macro="" textlink="">
      <xdr:nvSpPr>
        <xdr:cNvPr id="4405" name="AutoShape 1333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5458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1333</xdr:row>
      <xdr:rowOff>0</xdr:rowOff>
    </xdr:from>
    <xdr:to>
      <xdr:col>5</xdr:col>
      <xdr:colOff>304800</xdr:colOff>
      <xdr:row>1334</xdr:row>
      <xdr:rowOff>114300</xdr:rowOff>
    </xdr:to>
    <xdr:sp macro="" textlink="">
      <xdr:nvSpPr>
        <xdr:cNvPr id="4406" name="AutoShape 1334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5458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1335</xdr:row>
      <xdr:rowOff>0</xdr:rowOff>
    </xdr:from>
    <xdr:to>
      <xdr:col>4</xdr:col>
      <xdr:colOff>304800</xdr:colOff>
      <xdr:row>1336</xdr:row>
      <xdr:rowOff>76200</xdr:rowOff>
    </xdr:to>
    <xdr:sp macro="" textlink="">
      <xdr:nvSpPr>
        <xdr:cNvPr id="4407" name="AutoShape 1335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60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1335</xdr:row>
      <xdr:rowOff>0</xdr:rowOff>
    </xdr:from>
    <xdr:to>
      <xdr:col>5</xdr:col>
      <xdr:colOff>304800</xdr:colOff>
      <xdr:row>1336</xdr:row>
      <xdr:rowOff>76200</xdr:rowOff>
    </xdr:to>
    <xdr:sp macro="" textlink="">
      <xdr:nvSpPr>
        <xdr:cNvPr id="4408" name="AutoShape 1336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60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1337</xdr:row>
      <xdr:rowOff>0</xdr:rowOff>
    </xdr:from>
    <xdr:to>
      <xdr:col>4</xdr:col>
      <xdr:colOff>304800</xdr:colOff>
      <xdr:row>1338</xdr:row>
      <xdr:rowOff>114300</xdr:rowOff>
    </xdr:to>
    <xdr:sp macro="" textlink="">
      <xdr:nvSpPr>
        <xdr:cNvPr id="4409" name="AutoShape 1337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646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1337</xdr:row>
      <xdr:rowOff>0</xdr:rowOff>
    </xdr:from>
    <xdr:to>
      <xdr:col>5</xdr:col>
      <xdr:colOff>304800</xdr:colOff>
      <xdr:row>1338</xdr:row>
      <xdr:rowOff>114300</xdr:rowOff>
    </xdr:to>
    <xdr:sp macro="" textlink="">
      <xdr:nvSpPr>
        <xdr:cNvPr id="4410" name="AutoShape 1338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646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1339</xdr:row>
      <xdr:rowOff>0</xdr:rowOff>
    </xdr:from>
    <xdr:to>
      <xdr:col>4</xdr:col>
      <xdr:colOff>304800</xdr:colOff>
      <xdr:row>1340</xdr:row>
      <xdr:rowOff>114300</xdr:rowOff>
    </xdr:to>
    <xdr:sp macro="" textlink="">
      <xdr:nvSpPr>
        <xdr:cNvPr id="4411" name="AutoShape 133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7049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1339</xdr:row>
      <xdr:rowOff>0</xdr:rowOff>
    </xdr:from>
    <xdr:to>
      <xdr:col>5</xdr:col>
      <xdr:colOff>304800</xdr:colOff>
      <xdr:row>1340</xdr:row>
      <xdr:rowOff>114300</xdr:rowOff>
    </xdr:to>
    <xdr:sp macro="" textlink="">
      <xdr:nvSpPr>
        <xdr:cNvPr id="4412" name="AutoShape 1340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7049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1341</xdr:row>
      <xdr:rowOff>0</xdr:rowOff>
    </xdr:from>
    <xdr:to>
      <xdr:col>4</xdr:col>
      <xdr:colOff>304800</xdr:colOff>
      <xdr:row>1342</xdr:row>
      <xdr:rowOff>114300</xdr:rowOff>
    </xdr:to>
    <xdr:sp macro="" textlink="">
      <xdr:nvSpPr>
        <xdr:cNvPr id="4413" name="AutoShape 1341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7630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1341</xdr:row>
      <xdr:rowOff>0</xdr:rowOff>
    </xdr:from>
    <xdr:to>
      <xdr:col>5</xdr:col>
      <xdr:colOff>304800</xdr:colOff>
      <xdr:row>1342</xdr:row>
      <xdr:rowOff>114300</xdr:rowOff>
    </xdr:to>
    <xdr:sp macro="" textlink="">
      <xdr:nvSpPr>
        <xdr:cNvPr id="4414" name="AutoShape 1342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7630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1343</xdr:row>
      <xdr:rowOff>0</xdr:rowOff>
    </xdr:from>
    <xdr:to>
      <xdr:col>4</xdr:col>
      <xdr:colOff>304800</xdr:colOff>
      <xdr:row>1344</xdr:row>
      <xdr:rowOff>76200</xdr:rowOff>
    </xdr:to>
    <xdr:sp macro="" textlink="">
      <xdr:nvSpPr>
        <xdr:cNvPr id="4415" name="AutoShape 1343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821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1343</xdr:row>
      <xdr:rowOff>0</xdr:rowOff>
    </xdr:from>
    <xdr:to>
      <xdr:col>5</xdr:col>
      <xdr:colOff>304800</xdr:colOff>
      <xdr:row>1344</xdr:row>
      <xdr:rowOff>76200</xdr:rowOff>
    </xdr:to>
    <xdr:sp macro="" textlink="">
      <xdr:nvSpPr>
        <xdr:cNvPr id="4416" name="AutoShape 1344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821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1345</xdr:row>
      <xdr:rowOff>0</xdr:rowOff>
    </xdr:from>
    <xdr:to>
      <xdr:col>4</xdr:col>
      <xdr:colOff>304800</xdr:colOff>
      <xdr:row>1346</xdr:row>
      <xdr:rowOff>114300</xdr:rowOff>
    </xdr:to>
    <xdr:sp macro="" textlink="">
      <xdr:nvSpPr>
        <xdr:cNvPr id="4417" name="AutoShape 1345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863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1345</xdr:row>
      <xdr:rowOff>0</xdr:rowOff>
    </xdr:from>
    <xdr:to>
      <xdr:col>5</xdr:col>
      <xdr:colOff>304800</xdr:colOff>
      <xdr:row>1346</xdr:row>
      <xdr:rowOff>114300</xdr:rowOff>
    </xdr:to>
    <xdr:sp macro="" textlink="">
      <xdr:nvSpPr>
        <xdr:cNvPr id="4418" name="AutoShape 1346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863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1347</xdr:row>
      <xdr:rowOff>0</xdr:rowOff>
    </xdr:from>
    <xdr:to>
      <xdr:col>4</xdr:col>
      <xdr:colOff>304800</xdr:colOff>
      <xdr:row>1348</xdr:row>
      <xdr:rowOff>114300</xdr:rowOff>
    </xdr:to>
    <xdr:sp macro="" textlink="">
      <xdr:nvSpPr>
        <xdr:cNvPr id="4419" name="AutoShape 1347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922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1347</xdr:row>
      <xdr:rowOff>0</xdr:rowOff>
    </xdr:from>
    <xdr:to>
      <xdr:col>5</xdr:col>
      <xdr:colOff>304800</xdr:colOff>
      <xdr:row>1348</xdr:row>
      <xdr:rowOff>114300</xdr:rowOff>
    </xdr:to>
    <xdr:sp macro="" textlink="">
      <xdr:nvSpPr>
        <xdr:cNvPr id="4420" name="AutoShape 134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922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1349</xdr:row>
      <xdr:rowOff>0</xdr:rowOff>
    </xdr:from>
    <xdr:to>
      <xdr:col>4</xdr:col>
      <xdr:colOff>304800</xdr:colOff>
      <xdr:row>1350</xdr:row>
      <xdr:rowOff>114300</xdr:rowOff>
    </xdr:to>
    <xdr:sp macro="" textlink="">
      <xdr:nvSpPr>
        <xdr:cNvPr id="4421" name="AutoShape 134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961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1349</xdr:row>
      <xdr:rowOff>0</xdr:rowOff>
    </xdr:from>
    <xdr:to>
      <xdr:col>5</xdr:col>
      <xdr:colOff>304800</xdr:colOff>
      <xdr:row>1350</xdr:row>
      <xdr:rowOff>114300</xdr:rowOff>
    </xdr:to>
    <xdr:sp macro="" textlink="">
      <xdr:nvSpPr>
        <xdr:cNvPr id="4422" name="AutoShape 1350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961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1351</xdr:row>
      <xdr:rowOff>0</xdr:rowOff>
    </xdr:from>
    <xdr:to>
      <xdr:col>4</xdr:col>
      <xdr:colOff>304800</xdr:colOff>
      <xdr:row>1352</xdr:row>
      <xdr:rowOff>76200</xdr:rowOff>
    </xdr:to>
    <xdr:sp macro="" textlink="">
      <xdr:nvSpPr>
        <xdr:cNvPr id="4423" name="AutoShape 135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019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1351</xdr:row>
      <xdr:rowOff>0</xdr:rowOff>
    </xdr:from>
    <xdr:to>
      <xdr:col>5</xdr:col>
      <xdr:colOff>304800</xdr:colOff>
      <xdr:row>1352</xdr:row>
      <xdr:rowOff>76200</xdr:rowOff>
    </xdr:to>
    <xdr:sp macro="" textlink="">
      <xdr:nvSpPr>
        <xdr:cNvPr id="4424" name="AutoShape 1352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019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1353</xdr:row>
      <xdr:rowOff>0</xdr:rowOff>
    </xdr:from>
    <xdr:to>
      <xdr:col>4</xdr:col>
      <xdr:colOff>304800</xdr:colOff>
      <xdr:row>1354</xdr:row>
      <xdr:rowOff>114300</xdr:rowOff>
    </xdr:to>
    <xdr:sp macro="" textlink="">
      <xdr:nvSpPr>
        <xdr:cNvPr id="4425" name="AutoShape 1353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062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1353</xdr:row>
      <xdr:rowOff>0</xdr:rowOff>
    </xdr:from>
    <xdr:to>
      <xdr:col>5</xdr:col>
      <xdr:colOff>304800</xdr:colOff>
      <xdr:row>1354</xdr:row>
      <xdr:rowOff>114300</xdr:rowOff>
    </xdr:to>
    <xdr:sp macro="" textlink="">
      <xdr:nvSpPr>
        <xdr:cNvPr id="4426" name="AutoShape 1354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062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1355</xdr:row>
      <xdr:rowOff>0</xdr:rowOff>
    </xdr:from>
    <xdr:to>
      <xdr:col>4</xdr:col>
      <xdr:colOff>304800</xdr:colOff>
      <xdr:row>1356</xdr:row>
      <xdr:rowOff>76200</xdr:rowOff>
    </xdr:to>
    <xdr:sp macro="" textlink="">
      <xdr:nvSpPr>
        <xdr:cNvPr id="4427" name="AutoShape 1355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1392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1355</xdr:row>
      <xdr:rowOff>0</xdr:rowOff>
    </xdr:from>
    <xdr:to>
      <xdr:col>5</xdr:col>
      <xdr:colOff>304800</xdr:colOff>
      <xdr:row>1356</xdr:row>
      <xdr:rowOff>76200</xdr:rowOff>
    </xdr:to>
    <xdr:sp macro="" textlink="">
      <xdr:nvSpPr>
        <xdr:cNvPr id="4428" name="AutoShape 1356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1392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1357</xdr:row>
      <xdr:rowOff>0</xdr:rowOff>
    </xdr:from>
    <xdr:to>
      <xdr:col>4</xdr:col>
      <xdr:colOff>304800</xdr:colOff>
      <xdr:row>1358</xdr:row>
      <xdr:rowOff>114300</xdr:rowOff>
    </xdr:to>
    <xdr:sp macro="" textlink="">
      <xdr:nvSpPr>
        <xdr:cNvPr id="4429" name="AutoShape 1357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182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1357</xdr:row>
      <xdr:rowOff>0</xdr:rowOff>
    </xdr:from>
    <xdr:to>
      <xdr:col>5</xdr:col>
      <xdr:colOff>304800</xdr:colOff>
      <xdr:row>1358</xdr:row>
      <xdr:rowOff>114300</xdr:rowOff>
    </xdr:to>
    <xdr:sp macro="" textlink="">
      <xdr:nvSpPr>
        <xdr:cNvPr id="4430" name="AutoShape 1358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182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1359</xdr:row>
      <xdr:rowOff>0</xdr:rowOff>
    </xdr:from>
    <xdr:to>
      <xdr:col>4</xdr:col>
      <xdr:colOff>304800</xdr:colOff>
      <xdr:row>1360</xdr:row>
      <xdr:rowOff>114300</xdr:rowOff>
    </xdr:to>
    <xdr:sp macro="" textlink="">
      <xdr:nvSpPr>
        <xdr:cNvPr id="4431" name="AutoShape 1359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2402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1359</xdr:row>
      <xdr:rowOff>0</xdr:rowOff>
    </xdr:from>
    <xdr:to>
      <xdr:col>5</xdr:col>
      <xdr:colOff>304800</xdr:colOff>
      <xdr:row>1360</xdr:row>
      <xdr:rowOff>114300</xdr:rowOff>
    </xdr:to>
    <xdr:sp macro="" textlink="">
      <xdr:nvSpPr>
        <xdr:cNvPr id="4432" name="AutoShape 1360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2402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1361</xdr:row>
      <xdr:rowOff>0</xdr:rowOff>
    </xdr:from>
    <xdr:to>
      <xdr:col>4</xdr:col>
      <xdr:colOff>304800</xdr:colOff>
      <xdr:row>1362</xdr:row>
      <xdr:rowOff>114300</xdr:rowOff>
    </xdr:to>
    <xdr:sp macro="" textlink="">
      <xdr:nvSpPr>
        <xdr:cNvPr id="4433" name="AutoShape 1361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2983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1361</xdr:row>
      <xdr:rowOff>0</xdr:rowOff>
    </xdr:from>
    <xdr:to>
      <xdr:col>5</xdr:col>
      <xdr:colOff>304800</xdr:colOff>
      <xdr:row>1362</xdr:row>
      <xdr:rowOff>114300</xdr:rowOff>
    </xdr:to>
    <xdr:sp macro="" textlink="">
      <xdr:nvSpPr>
        <xdr:cNvPr id="4434" name="AutoShape 1362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2983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1363</xdr:row>
      <xdr:rowOff>0</xdr:rowOff>
    </xdr:from>
    <xdr:to>
      <xdr:col>4</xdr:col>
      <xdr:colOff>304800</xdr:colOff>
      <xdr:row>1364</xdr:row>
      <xdr:rowOff>114300</xdr:rowOff>
    </xdr:to>
    <xdr:sp macro="" textlink="">
      <xdr:nvSpPr>
        <xdr:cNvPr id="4435" name="AutoShape 1363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3564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1363</xdr:row>
      <xdr:rowOff>0</xdr:rowOff>
    </xdr:from>
    <xdr:to>
      <xdr:col>5</xdr:col>
      <xdr:colOff>304800</xdr:colOff>
      <xdr:row>1364</xdr:row>
      <xdr:rowOff>114300</xdr:rowOff>
    </xdr:to>
    <xdr:sp macro="" textlink="">
      <xdr:nvSpPr>
        <xdr:cNvPr id="4436" name="AutoShape 1364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3564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1365</xdr:row>
      <xdr:rowOff>0</xdr:rowOff>
    </xdr:from>
    <xdr:to>
      <xdr:col>4</xdr:col>
      <xdr:colOff>304800</xdr:colOff>
      <xdr:row>1366</xdr:row>
      <xdr:rowOff>114300</xdr:rowOff>
    </xdr:to>
    <xdr:sp macro="" textlink="">
      <xdr:nvSpPr>
        <xdr:cNvPr id="4437" name="AutoShape 1365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414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1365</xdr:row>
      <xdr:rowOff>0</xdr:rowOff>
    </xdr:from>
    <xdr:to>
      <xdr:col>5</xdr:col>
      <xdr:colOff>304800</xdr:colOff>
      <xdr:row>1366</xdr:row>
      <xdr:rowOff>114300</xdr:rowOff>
    </xdr:to>
    <xdr:sp macro="" textlink="">
      <xdr:nvSpPr>
        <xdr:cNvPr id="4438" name="AutoShape 1366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414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1367</xdr:row>
      <xdr:rowOff>0</xdr:rowOff>
    </xdr:from>
    <xdr:to>
      <xdr:col>4</xdr:col>
      <xdr:colOff>304800</xdr:colOff>
      <xdr:row>1368</xdr:row>
      <xdr:rowOff>114300</xdr:rowOff>
    </xdr:to>
    <xdr:sp macro="" textlink="">
      <xdr:nvSpPr>
        <xdr:cNvPr id="4439" name="AutoShape 1367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472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1367</xdr:row>
      <xdr:rowOff>0</xdr:rowOff>
    </xdr:from>
    <xdr:to>
      <xdr:col>5</xdr:col>
      <xdr:colOff>304800</xdr:colOff>
      <xdr:row>1368</xdr:row>
      <xdr:rowOff>114300</xdr:rowOff>
    </xdr:to>
    <xdr:sp macro="" textlink="">
      <xdr:nvSpPr>
        <xdr:cNvPr id="4440" name="AutoShape 1368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472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1369</xdr:row>
      <xdr:rowOff>0</xdr:rowOff>
    </xdr:from>
    <xdr:to>
      <xdr:col>4</xdr:col>
      <xdr:colOff>304800</xdr:colOff>
      <xdr:row>1370</xdr:row>
      <xdr:rowOff>114300</xdr:rowOff>
    </xdr:to>
    <xdr:sp macro="" textlink="">
      <xdr:nvSpPr>
        <xdr:cNvPr id="4441" name="AutoShape 1369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530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1369</xdr:row>
      <xdr:rowOff>0</xdr:rowOff>
    </xdr:from>
    <xdr:to>
      <xdr:col>5</xdr:col>
      <xdr:colOff>304800</xdr:colOff>
      <xdr:row>1370</xdr:row>
      <xdr:rowOff>114300</xdr:rowOff>
    </xdr:to>
    <xdr:sp macro="" textlink="">
      <xdr:nvSpPr>
        <xdr:cNvPr id="4442" name="AutoShape 1370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530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1371</xdr:row>
      <xdr:rowOff>0</xdr:rowOff>
    </xdr:from>
    <xdr:to>
      <xdr:col>4</xdr:col>
      <xdr:colOff>304800</xdr:colOff>
      <xdr:row>1372</xdr:row>
      <xdr:rowOff>114300</xdr:rowOff>
    </xdr:to>
    <xdr:sp macro="" textlink="">
      <xdr:nvSpPr>
        <xdr:cNvPr id="4443" name="AutoShape 1371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5888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1371</xdr:row>
      <xdr:rowOff>0</xdr:rowOff>
    </xdr:from>
    <xdr:to>
      <xdr:col>5</xdr:col>
      <xdr:colOff>304800</xdr:colOff>
      <xdr:row>1372</xdr:row>
      <xdr:rowOff>114300</xdr:rowOff>
    </xdr:to>
    <xdr:sp macro="" textlink="">
      <xdr:nvSpPr>
        <xdr:cNvPr id="4444" name="AutoShape 1372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5888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1373</xdr:row>
      <xdr:rowOff>0</xdr:rowOff>
    </xdr:from>
    <xdr:to>
      <xdr:col>4</xdr:col>
      <xdr:colOff>304800</xdr:colOff>
      <xdr:row>1374</xdr:row>
      <xdr:rowOff>114300</xdr:rowOff>
    </xdr:to>
    <xdr:sp macro="" textlink="">
      <xdr:nvSpPr>
        <xdr:cNvPr id="4445" name="AutoShape 1373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6469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1373</xdr:row>
      <xdr:rowOff>0</xdr:rowOff>
    </xdr:from>
    <xdr:to>
      <xdr:col>5</xdr:col>
      <xdr:colOff>304800</xdr:colOff>
      <xdr:row>1374</xdr:row>
      <xdr:rowOff>114300</xdr:rowOff>
    </xdr:to>
    <xdr:sp macro="" textlink="">
      <xdr:nvSpPr>
        <xdr:cNvPr id="4446" name="AutoShape 1374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6469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1375</xdr:row>
      <xdr:rowOff>0</xdr:rowOff>
    </xdr:from>
    <xdr:to>
      <xdr:col>4</xdr:col>
      <xdr:colOff>304800</xdr:colOff>
      <xdr:row>1376</xdr:row>
      <xdr:rowOff>114300</xdr:rowOff>
    </xdr:to>
    <xdr:sp macro="" textlink="">
      <xdr:nvSpPr>
        <xdr:cNvPr id="4447" name="AutoShape 1375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70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1375</xdr:row>
      <xdr:rowOff>0</xdr:rowOff>
    </xdr:from>
    <xdr:to>
      <xdr:col>5</xdr:col>
      <xdr:colOff>304800</xdr:colOff>
      <xdr:row>1376</xdr:row>
      <xdr:rowOff>114300</xdr:rowOff>
    </xdr:to>
    <xdr:sp macro="" textlink="">
      <xdr:nvSpPr>
        <xdr:cNvPr id="4448" name="AutoShape 1376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70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1377</xdr:row>
      <xdr:rowOff>0</xdr:rowOff>
    </xdr:from>
    <xdr:to>
      <xdr:col>4</xdr:col>
      <xdr:colOff>304800</xdr:colOff>
      <xdr:row>1378</xdr:row>
      <xdr:rowOff>114300</xdr:rowOff>
    </xdr:to>
    <xdr:sp macro="" textlink="">
      <xdr:nvSpPr>
        <xdr:cNvPr id="4449" name="AutoShape 1377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7631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1377</xdr:row>
      <xdr:rowOff>0</xdr:rowOff>
    </xdr:from>
    <xdr:to>
      <xdr:col>5</xdr:col>
      <xdr:colOff>304800</xdr:colOff>
      <xdr:row>1378</xdr:row>
      <xdr:rowOff>114300</xdr:rowOff>
    </xdr:to>
    <xdr:sp macro="" textlink="">
      <xdr:nvSpPr>
        <xdr:cNvPr id="4450" name="AutoShape 1378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7631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1379</xdr:row>
      <xdr:rowOff>0</xdr:rowOff>
    </xdr:from>
    <xdr:to>
      <xdr:col>4</xdr:col>
      <xdr:colOff>304800</xdr:colOff>
      <xdr:row>1380</xdr:row>
      <xdr:rowOff>114300</xdr:rowOff>
    </xdr:to>
    <xdr:sp macro="" textlink="">
      <xdr:nvSpPr>
        <xdr:cNvPr id="4451" name="AutoShape 137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821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1379</xdr:row>
      <xdr:rowOff>0</xdr:rowOff>
    </xdr:from>
    <xdr:to>
      <xdr:col>5</xdr:col>
      <xdr:colOff>304800</xdr:colOff>
      <xdr:row>1380</xdr:row>
      <xdr:rowOff>114300</xdr:rowOff>
    </xdr:to>
    <xdr:sp macro="" textlink="">
      <xdr:nvSpPr>
        <xdr:cNvPr id="4452" name="AutoShape 1380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821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1381</xdr:row>
      <xdr:rowOff>0</xdr:rowOff>
    </xdr:from>
    <xdr:to>
      <xdr:col>4</xdr:col>
      <xdr:colOff>304800</xdr:colOff>
      <xdr:row>1382</xdr:row>
      <xdr:rowOff>76200</xdr:rowOff>
    </xdr:to>
    <xdr:sp macro="" textlink="">
      <xdr:nvSpPr>
        <xdr:cNvPr id="4453" name="AutoShape 1381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860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1381</xdr:row>
      <xdr:rowOff>0</xdr:rowOff>
    </xdr:from>
    <xdr:to>
      <xdr:col>5</xdr:col>
      <xdr:colOff>304800</xdr:colOff>
      <xdr:row>1382</xdr:row>
      <xdr:rowOff>76200</xdr:rowOff>
    </xdr:to>
    <xdr:sp macro="" textlink="">
      <xdr:nvSpPr>
        <xdr:cNvPr id="4454" name="AutoShape 1382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860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1383</xdr:row>
      <xdr:rowOff>0</xdr:rowOff>
    </xdr:from>
    <xdr:to>
      <xdr:col>4</xdr:col>
      <xdr:colOff>304800</xdr:colOff>
      <xdr:row>1384</xdr:row>
      <xdr:rowOff>76200</xdr:rowOff>
    </xdr:to>
    <xdr:sp macro="" textlink="">
      <xdr:nvSpPr>
        <xdr:cNvPr id="4455" name="AutoShape 1383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903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1383</xdr:row>
      <xdr:rowOff>0</xdr:rowOff>
    </xdr:from>
    <xdr:to>
      <xdr:col>5</xdr:col>
      <xdr:colOff>304800</xdr:colOff>
      <xdr:row>1384</xdr:row>
      <xdr:rowOff>76200</xdr:rowOff>
    </xdr:to>
    <xdr:sp macro="" textlink="">
      <xdr:nvSpPr>
        <xdr:cNvPr id="4456" name="AutoShape 1384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903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1385</xdr:row>
      <xdr:rowOff>0</xdr:rowOff>
    </xdr:from>
    <xdr:to>
      <xdr:col>4</xdr:col>
      <xdr:colOff>304800</xdr:colOff>
      <xdr:row>1386</xdr:row>
      <xdr:rowOff>114300</xdr:rowOff>
    </xdr:to>
    <xdr:sp macro="" textlink="">
      <xdr:nvSpPr>
        <xdr:cNvPr id="4457" name="AutoShape 1385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9460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1385</xdr:row>
      <xdr:rowOff>0</xdr:rowOff>
    </xdr:from>
    <xdr:to>
      <xdr:col>5</xdr:col>
      <xdr:colOff>304800</xdr:colOff>
      <xdr:row>1386</xdr:row>
      <xdr:rowOff>114300</xdr:rowOff>
    </xdr:to>
    <xdr:sp macro="" textlink="">
      <xdr:nvSpPr>
        <xdr:cNvPr id="4458" name="AutoShape 1386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9460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1387</xdr:row>
      <xdr:rowOff>0</xdr:rowOff>
    </xdr:from>
    <xdr:to>
      <xdr:col>4</xdr:col>
      <xdr:colOff>304800</xdr:colOff>
      <xdr:row>1388</xdr:row>
      <xdr:rowOff>114300</xdr:rowOff>
    </xdr:to>
    <xdr:sp macro="" textlink="">
      <xdr:nvSpPr>
        <xdr:cNvPr id="4459" name="AutoShape 1387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004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1387</xdr:row>
      <xdr:rowOff>0</xdr:rowOff>
    </xdr:from>
    <xdr:to>
      <xdr:col>5</xdr:col>
      <xdr:colOff>304800</xdr:colOff>
      <xdr:row>1388</xdr:row>
      <xdr:rowOff>114300</xdr:rowOff>
    </xdr:to>
    <xdr:sp macro="" textlink="">
      <xdr:nvSpPr>
        <xdr:cNvPr id="4460" name="AutoShape 1388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004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1389</xdr:row>
      <xdr:rowOff>0</xdr:rowOff>
    </xdr:from>
    <xdr:to>
      <xdr:col>4</xdr:col>
      <xdr:colOff>304800</xdr:colOff>
      <xdr:row>1390</xdr:row>
      <xdr:rowOff>114300</xdr:rowOff>
    </xdr:to>
    <xdr:sp macro="" textlink="">
      <xdr:nvSpPr>
        <xdr:cNvPr id="4461" name="AutoShape 1389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062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1389</xdr:row>
      <xdr:rowOff>0</xdr:rowOff>
    </xdr:from>
    <xdr:to>
      <xdr:col>5</xdr:col>
      <xdr:colOff>304800</xdr:colOff>
      <xdr:row>1390</xdr:row>
      <xdr:rowOff>114300</xdr:rowOff>
    </xdr:to>
    <xdr:sp macro="" textlink="">
      <xdr:nvSpPr>
        <xdr:cNvPr id="4462" name="AutoShape 1390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062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1391</xdr:row>
      <xdr:rowOff>0</xdr:rowOff>
    </xdr:from>
    <xdr:to>
      <xdr:col>4</xdr:col>
      <xdr:colOff>304800</xdr:colOff>
      <xdr:row>1392</xdr:row>
      <xdr:rowOff>76200</xdr:rowOff>
    </xdr:to>
    <xdr:sp macro="" textlink="">
      <xdr:nvSpPr>
        <xdr:cNvPr id="4463" name="AutoShape 1391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120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1391</xdr:row>
      <xdr:rowOff>0</xdr:rowOff>
    </xdr:from>
    <xdr:to>
      <xdr:col>5</xdr:col>
      <xdr:colOff>304800</xdr:colOff>
      <xdr:row>1392</xdr:row>
      <xdr:rowOff>76200</xdr:rowOff>
    </xdr:to>
    <xdr:sp macro="" textlink="">
      <xdr:nvSpPr>
        <xdr:cNvPr id="4464" name="AutoShape 1392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120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1393</xdr:row>
      <xdr:rowOff>0</xdr:rowOff>
    </xdr:from>
    <xdr:to>
      <xdr:col>4</xdr:col>
      <xdr:colOff>304800</xdr:colOff>
      <xdr:row>1394</xdr:row>
      <xdr:rowOff>114300</xdr:rowOff>
    </xdr:to>
    <xdr:sp macro="" textlink="">
      <xdr:nvSpPr>
        <xdr:cNvPr id="4465" name="AutoShape 1393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163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1393</xdr:row>
      <xdr:rowOff>0</xdr:rowOff>
    </xdr:from>
    <xdr:to>
      <xdr:col>5</xdr:col>
      <xdr:colOff>304800</xdr:colOff>
      <xdr:row>1394</xdr:row>
      <xdr:rowOff>114300</xdr:rowOff>
    </xdr:to>
    <xdr:sp macro="" textlink="">
      <xdr:nvSpPr>
        <xdr:cNvPr id="4466" name="AutoShape 1394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163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1395</xdr:row>
      <xdr:rowOff>0</xdr:rowOff>
    </xdr:from>
    <xdr:to>
      <xdr:col>4</xdr:col>
      <xdr:colOff>304800</xdr:colOff>
      <xdr:row>1396</xdr:row>
      <xdr:rowOff>114300</xdr:rowOff>
    </xdr:to>
    <xdr:sp macro="" textlink="">
      <xdr:nvSpPr>
        <xdr:cNvPr id="4467" name="AutoShape 1395" descr="Team Toews"/>
        <xdr:cNvSpPr>
          <a:spLocks noChangeAspect="1" noChangeArrowheads="1"/>
        </xdr:cNvSpPr>
      </xdr:nvSpPr>
      <xdr:spPr bwMode="auto">
        <a:xfrm>
          <a:off x="990600" y="33304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1395</xdr:row>
      <xdr:rowOff>0</xdr:rowOff>
    </xdr:from>
    <xdr:to>
      <xdr:col>5</xdr:col>
      <xdr:colOff>304800</xdr:colOff>
      <xdr:row>1396</xdr:row>
      <xdr:rowOff>114300</xdr:rowOff>
    </xdr:to>
    <xdr:sp macro="" textlink="">
      <xdr:nvSpPr>
        <xdr:cNvPr id="4468" name="AutoShape 1396" descr="Team Foligno"/>
        <xdr:cNvSpPr>
          <a:spLocks noChangeAspect="1" noChangeArrowheads="1"/>
        </xdr:cNvSpPr>
      </xdr:nvSpPr>
      <xdr:spPr bwMode="auto">
        <a:xfrm>
          <a:off x="1714500" y="33304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1395</xdr:row>
      <xdr:rowOff>0</xdr:rowOff>
    </xdr:from>
    <xdr:to>
      <xdr:col>4</xdr:col>
      <xdr:colOff>304800</xdr:colOff>
      <xdr:row>1396</xdr:row>
      <xdr:rowOff>114300</xdr:rowOff>
    </xdr:to>
    <xdr:sp macro="" textlink="">
      <xdr:nvSpPr>
        <xdr:cNvPr id="4469" name="AutoShape 1397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410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1395</xdr:row>
      <xdr:rowOff>0</xdr:rowOff>
    </xdr:from>
    <xdr:to>
      <xdr:col>5</xdr:col>
      <xdr:colOff>304800</xdr:colOff>
      <xdr:row>1396</xdr:row>
      <xdr:rowOff>114300</xdr:rowOff>
    </xdr:to>
    <xdr:sp macro="" textlink="">
      <xdr:nvSpPr>
        <xdr:cNvPr id="4470" name="AutoShape 1398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410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1397</xdr:row>
      <xdr:rowOff>0</xdr:rowOff>
    </xdr:from>
    <xdr:to>
      <xdr:col>4</xdr:col>
      <xdr:colOff>304800</xdr:colOff>
      <xdr:row>1398</xdr:row>
      <xdr:rowOff>114300</xdr:rowOff>
    </xdr:to>
    <xdr:sp macro="" textlink="">
      <xdr:nvSpPr>
        <xdr:cNvPr id="4471" name="AutoShape 139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4879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1397</xdr:row>
      <xdr:rowOff>0</xdr:rowOff>
    </xdr:from>
    <xdr:to>
      <xdr:col>5</xdr:col>
      <xdr:colOff>304800</xdr:colOff>
      <xdr:row>1398</xdr:row>
      <xdr:rowOff>114300</xdr:rowOff>
    </xdr:to>
    <xdr:sp macro="" textlink="">
      <xdr:nvSpPr>
        <xdr:cNvPr id="4472" name="AutoShape 1400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4879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1399</xdr:row>
      <xdr:rowOff>0</xdr:rowOff>
    </xdr:from>
    <xdr:to>
      <xdr:col>4</xdr:col>
      <xdr:colOff>304800</xdr:colOff>
      <xdr:row>1400</xdr:row>
      <xdr:rowOff>114300</xdr:rowOff>
    </xdr:to>
    <xdr:sp macro="" textlink="">
      <xdr:nvSpPr>
        <xdr:cNvPr id="4473" name="AutoShape 1401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546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1399</xdr:row>
      <xdr:rowOff>0</xdr:rowOff>
    </xdr:from>
    <xdr:to>
      <xdr:col>5</xdr:col>
      <xdr:colOff>304800</xdr:colOff>
      <xdr:row>1400</xdr:row>
      <xdr:rowOff>114300</xdr:rowOff>
    </xdr:to>
    <xdr:sp macro="" textlink="">
      <xdr:nvSpPr>
        <xdr:cNvPr id="4474" name="AutoShape 1402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546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1401</xdr:row>
      <xdr:rowOff>0</xdr:rowOff>
    </xdr:from>
    <xdr:to>
      <xdr:col>4</xdr:col>
      <xdr:colOff>304800</xdr:colOff>
      <xdr:row>1402</xdr:row>
      <xdr:rowOff>114300</xdr:rowOff>
    </xdr:to>
    <xdr:sp macro="" textlink="">
      <xdr:nvSpPr>
        <xdr:cNvPr id="4475" name="AutoShape 1403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604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1401</xdr:row>
      <xdr:rowOff>0</xdr:rowOff>
    </xdr:from>
    <xdr:to>
      <xdr:col>5</xdr:col>
      <xdr:colOff>304800</xdr:colOff>
      <xdr:row>1402</xdr:row>
      <xdr:rowOff>114300</xdr:rowOff>
    </xdr:to>
    <xdr:sp macro="" textlink="">
      <xdr:nvSpPr>
        <xdr:cNvPr id="4476" name="AutoShape 1404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604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1403</xdr:row>
      <xdr:rowOff>0</xdr:rowOff>
    </xdr:from>
    <xdr:to>
      <xdr:col>4</xdr:col>
      <xdr:colOff>304800</xdr:colOff>
      <xdr:row>1404</xdr:row>
      <xdr:rowOff>114300</xdr:rowOff>
    </xdr:to>
    <xdr:sp macro="" textlink="">
      <xdr:nvSpPr>
        <xdr:cNvPr id="4477" name="AutoShape 1405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662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1403</xdr:row>
      <xdr:rowOff>0</xdr:rowOff>
    </xdr:from>
    <xdr:to>
      <xdr:col>5</xdr:col>
      <xdr:colOff>304800</xdr:colOff>
      <xdr:row>1404</xdr:row>
      <xdr:rowOff>114300</xdr:rowOff>
    </xdr:to>
    <xdr:sp macro="" textlink="">
      <xdr:nvSpPr>
        <xdr:cNvPr id="4478" name="AutoShape 1406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662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1405</xdr:row>
      <xdr:rowOff>0</xdr:rowOff>
    </xdr:from>
    <xdr:to>
      <xdr:col>4</xdr:col>
      <xdr:colOff>304800</xdr:colOff>
      <xdr:row>1406</xdr:row>
      <xdr:rowOff>114300</xdr:rowOff>
    </xdr:to>
    <xdr:sp macro="" textlink="">
      <xdr:nvSpPr>
        <xdr:cNvPr id="4479" name="AutoShape 1407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720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1405</xdr:row>
      <xdr:rowOff>0</xdr:rowOff>
    </xdr:from>
    <xdr:to>
      <xdr:col>5</xdr:col>
      <xdr:colOff>304800</xdr:colOff>
      <xdr:row>1406</xdr:row>
      <xdr:rowOff>114300</xdr:rowOff>
    </xdr:to>
    <xdr:sp macro="" textlink="">
      <xdr:nvSpPr>
        <xdr:cNvPr id="4480" name="AutoShape 1408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720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1407</xdr:row>
      <xdr:rowOff>0</xdr:rowOff>
    </xdr:from>
    <xdr:to>
      <xdr:col>4</xdr:col>
      <xdr:colOff>304800</xdr:colOff>
      <xdr:row>1408</xdr:row>
      <xdr:rowOff>76200</xdr:rowOff>
    </xdr:to>
    <xdr:sp macro="" textlink="">
      <xdr:nvSpPr>
        <xdr:cNvPr id="4481" name="AutoShape 1409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778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1407</xdr:row>
      <xdr:rowOff>0</xdr:rowOff>
    </xdr:from>
    <xdr:to>
      <xdr:col>5</xdr:col>
      <xdr:colOff>304800</xdr:colOff>
      <xdr:row>1408</xdr:row>
      <xdr:rowOff>76200</xdr:rowOff>
    </xdr:to>
    <xdr:sp macro="" textlink="">
      <xdr:nvSpPr>
        <xdr:cNvPr id="4482" name="AutoShape 1410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778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1409</xdr:row>
      <xdr:rowOff>0</xdr:rowOff>
    </xdr:from>
    <xdr:to>
      <xdr:col>4</xdr:col>
      <xdr:colOff>304800</xdr:colOff>
      <xdr:row>1410</xdr:row>
      <xdr:rowOff>114300</xdr:rowOff>
    </xdr:to>
    <xdr:sp macro="" textlink="">
      <xdr:nvSpPr>
        <xdr:cNvPr id="4483" name="AutoShape 1411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821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1409</xdr:row>
      <xdr:rowOff>0</xdr:rowOff>
    </xdr:from>
    <xdr:to>
      <xdr:col>5</xdr:col>
      <xdr:colOff>304800</xdr:colOff>
      <xdr:row>1410</xdr:row>
      <xdr:rowOff>114300</xdr:rowOff>
    </xdr:to>
    <xdr:sp macro="" textlink="">
      <xdr:nvSpPr>
        <xdr:cNvPr id="4484" name="AutoShape 1412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821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1411</xdr:row>
      <xdr:rowOff>0</xdr:rowOff>
    </xdr:from>
    <xdr:to>
      <xdr:col>4</xdr:col>
      <xdr:colOff>304800</xdr:colOff>
      <xdr:row>1412</xdr:row>
      <xdr:rowOff>76200</xdr:rowOff>
    </xdr:to>
    <xdr:sp macro="" textlink="">
      <xdr:nvSpPr>
        <xdr:cNvPr id="4485" name="AutoShape 1413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879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1411</xdr:row>
      <xdr:rowOff>0</xdr:rowOff>
    </xdr:from>
    <xdr:to>
      <xdr:col>5</xdr:col>
      <xdr:colOff>304800</xdr:colOff>
      <xdr:row>1412</xdr:row>
      <xdr:rowOff>76200</xdr:rowOff>
    </xdr:to>
    <xdr:sp macro="" textlink="">
      <xdr:nvSpPr>
        <xdr:cNvPr id="4486" name="AutoShape 1414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879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1413</xdr:row>
      <xdr:rowOff>0</xdr:rowOff>
    </xdr:from>
    <xdr:to>
      <xdr:col>4</xdr:col>
      <xdr:colOff>304800</xdr:colOff>
      <xdr:row>1414</xdr:row>
      <xdr:rowOff>114300</xdr:rowOff>
    </xdr:to>
    <xdr:sp macro="" textlink="">
      <xdr:nvSpPr>
        <xdr:cNvPr id="4487" name="AutoShape 1415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9223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1413</xdr:row>
      <xdr:rowOff>0</xdr:rowOff>
    </xdr:from>
    <xdr:to>
      <xdr:col>5</xdr:col>
      <xdr:colOff>304800</xdr:colOff>
      <xdr:row>1414</xdr:row>
      <xdr:rowOff>114300</xdr:rowOff>
    </xdr:to>
    <xdr:sp macro="" textlink="">
      <xdr:nvSpPr>
        <xdr:cNvPr id="4488" name="AutoShape 1416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9223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1415</xdr:row>
      <xdr:rowOff>0</xdr:rowOff>
    </xdr:from>
    <xdr:to>
      <xdr:col>4</xdr:col>
      <xdr:colOff>304800</xdr:colOff>
      <xdr:row>1416</xdr:row>
      <xdr:rowOff>114300</xdr:rowOff>
    </xdr:to>
    <xdr:sp macro="" textlink="">
      <xdr:nvSpPr>
        <xdr:cNvPr id="4489" name="AutoShape 1417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980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1415</xdr:row>
      <xdr:rowOff>0</xdr:rowOff>
    </xdr:from>
    <xdr:to>
      <xdr:col>5</xdr:col>
      <xdr:colOff>304800</xdr:colOff>
      <xdr:row>1416</xdr:row>
      <xdr:rowOff>114300</xdr:rowOff>
    </xdr:to>
    <xdr:sp macro="" textlink="">
      <xdr:nvSpPr>
        <xdr:cNvPr id="4490" name="AutoShape 1418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980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1417</xdr:row>
      <xdr:rowOff>0</xdr:rowOff>
    </xdr:from>
    <xdr:to>
      <xdr:col>4</xdr:col>
      <xdr:colOff>304800</xdr:colOff>
      <xdr:row>1418</xdr:row>
      <xdr:rowOff>114300</xdr:rowOff>
    </xdr:to>
    <xdr:sp macro="" textlink="">
      <xdr:nvSpPr>
        <xdr:cNvPr id="4491" name="AutoShape 1419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038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1417</xdr:row>
      <xdr:rowOff>0</xdr:rowOff>
    </xdr:from>
    <xdr:to>
      <xdr:col>5</xdr:col>
      <xdr:colOff>304800</xdr:colOff>
      <xdr:row>1418</xdr:row>
      <xdr:rowOff>114300</xdr:rowOff>
    </xdr:to>
    <xdr:sp macro="" textlink="">
      <xdr:nvSpPr>
        <xdr:cNvPr id="4492" name="AutoShape 1420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038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1419</xdr:row>
      <xdr:rowOff>0</xdr:rowOff>
    </xdr:from>
    <xdr:to>
      <xdr:col>4</xdr:col>
      <xdr:colOff>304800</xdr:colOff>
      <xdr:row>1420</xdr:row>
      <xdr:rowOff>114300</xdr:rowOff>
    </xdr:to>
    <xdr:sp macro="" textlink="">
      <xdr:nvSpPr>
        <xdr:cNvPr id="4493" name="AutoShape 1421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0966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1419</xdr:row>
      <xdr:rowOff>0</xdr:rowOff>
    </xdr:from>
    <xdr:to>
      <xdr:col>5</xdr:col>
      <xdr:colOff>304800</xdr:colOff>
      <xdr:row>1420</xdr:row>
      <xdr:rowOff>114300</xdr:rowOff>
    </xdr:to>
    <xdr:sp macro="" textlink="">
      <xdr:nvSpPr>
        <xdr:cNvPr id="4494" name="AutoShape 1422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0966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1421</xdr:row>
      <xdr:rowOff>0</xdr:rowOff>
    </xdr:from>
    <xdr:to>
      <xdr:col>4</xdr:col>
      <xdr:colOff>304800</xdr:colOff>
      <xdr:row>1422</xdr:row>
      <xdr:rowOff>114300</xdr:rowOff>
    </xdr:to>
    <xdr:sp macro="" textlink="">
      <xdr:nvSpPr>
        <xdr:cNvPr id="4495" name="AutoShape 1423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1547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1421</xdr:row>
      <xdr:rowOff>0</xdr:rowOff>
    </xdr:from>
    <xdr:to>
      <xdr:col>5</xdr:col>
      <xdr:colOff>304800</xdr:colOff>
      <xdr:row>1422</xdr:row>
      <xdr:rowOff>114300</xdr:rowOff>
    </xdr:to>
    <xdr:sp macro="" textlink="">
      <xdr:nvSpPr>
        <xdr:cNvPr id="4496" name="AutoShape 1424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1547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1423</xdr:row>
      <xdr:rowOff>0</xdr:rowOff>
    </xdr:from>
    <xdr:to>
      <xdr:col>4</xdr:col>
      <xdr:colOff>304800</xdr:colOff>
      <xdr:row>1424</xdr:row>
      <xdr:rowOff>114300</xdr:rowOff>
    </xdr:to>
    <xdr:sp macro="" textlink="">
      <xdr:nvSpPr>
        <xdr:cNvPr id="4497" name="AutoShape 1425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2128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1423</xdr:row>
      <xdr:rowOff>0</xdr:rowOff>
    </xdr:from>
    <xdr:to>
      <xdr:col>5</xdr:col>
      <xdr:colOff>304800</xdr:colOff>
      <xdr:row>1424</xdr:row>
      <xdr:rowOff>114300</xdr:rowOff>
    </xdr:to>
    <xdr:sp macro="" textlink="">
      <xdr:nvSpPr>
        <xdr:cNvPr id="4498" name="AutoShape 1426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2128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1425</xdr:row>
      <xdr:rowOff>0</xdr:rowOff>
    </xdr:from>
    <xdr:to>
      <xdr:col>4</xdr:col>
      <xdr:colOff>304800</xdr:colOff>
      <xdr:row>1426</xdr:row>
      <xdr:rowOff>114300</xdr:rowOff>
    </xdr:to>
    <xdr:sp macro="" textlink="">
      <xdr:nvSpPr>
        <xdr:cNvPr id="4499" name="AutoShape 1427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29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1425</xdr:row>
      <xdr:rowOff>0</xdr:rowOff>
    </xdr:from>
    <xdr:to>
      <xdr:col>5</xdr:col>
      <xdr:colOff>304800</xdr:colOff>
      <xdr:row>1426</xdr:row>
      <xdr:rowOff>114300</xdr:rowOff>
    </xdr:to>
    <xdr:sp macro="" textlink="">
      <xdr:nvSpPr>
        <xdr:cNvPr id="4500" name="AutoShape 1428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29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1427</xdr:row>
      <xdr:rowOff>0</xdr:rowOff>
    </xdr:from>
    <xdr:to>
      <xdr:col>4</xdr:col>
      <xdr:colOff>304800</xdr:colOff>
      <xdr:row>1428</xdr:row>
      <xdr:rowOff>114300</xdr:rowOff>
    </xdr:to>
    <xdr:sp macro="" textlink="">
      <xdr:nvSpPr>
        <xdr:cNvPr id="4501" name="AutoShape 1429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348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1427</xdr:row>
      <xdr:rowOff>0</xdr:rowOff>
    </xdr:from>
    <xdr:to>
      <xdr:col>5</xdr:col>
      <xdr:colOff>304800</xdr:colOff>
      <xdr:row>1428</xdr:row>
      <xdr:rowOff>114300</xdr:rowOff>
    </xdr:to>
    <xdr:sp macro="" textlink="">
      <xdr:nvSpPr>
        <xdr:cNvPr id="4502" name="AutoShape 1430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348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1429</xdr:row>
      <xdr:rowOff>0</xdr:rowOff>
    </xdr:from>
    <xdr:to>
      <xdr:col>4</xdr:col>
      <xdr:colOff>304800</xdr:colOff>
      <xdr:row>1430</xdr:row>
      <xdr:rowOff>76200</xdr:rowOff>
    </xdr:to>
    <xdr:sp macro="" textlink="">
      <xdr:nvSpPr>
        <xdr:cNvPr id="4503" name="AutoShape 1431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406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1429</xdr:row>
      <xdr:rowOff>0</xdr:rowOff>
    </xdr:from>
    <xdr:to>
      <xdr:col>5</xdr:col>
      <xdr:colOff>304800</xdr:colOff>
      <xdr:row>1430</xdr:row>
      <xdr:rowOff>76200</xdr:rowOff>
    </xdr:to>
    <xdr:sp macro="" textlink="">
      <xdr:nvSpPr>
        <xdr:cNvPr id="4504" name="AutoShape 1432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406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1431</xdr:row>
      <xdr:rowOff>0</xdr:rowOff>
    </xdr:from>
    <xdr:to>
      <xdr:col>4</xdr:col>
      <xdr:colOff>304800</xdr:colOff>
      <xdr:row>1432</xdr:row>
      <xdr:rowOff>76200</xdr:rowOff>
    </xdr:to>
    <xdr:sp macro="" textlink="">
      <xdr:nvSpPr>
        <xdr:cNvPr id="4505" name="AutoShape 1433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449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1431</xdr:row>
      <xdr:rowOff>0</xdr:rowOff>
    </xdr:from>
    <xdr:to>
      <xdr:col>5</xdr:col>
      <xdr:colOff>304800</xdr:colOff>
      <xdr:row>1432</xdr:row>
      <xdr:rowOff>76200</xdr:rowOff>
    </xdr:to>
    <xdr:sp macro="" textlink="">
      <xdr:nvSpPr>
        <xdr:cNvPr id="4506" name="AutoShape 1434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449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1433</xdr:row>
      <xdr:rowOff>0</xdr:rowOff>
    </xdr:from>
    <xdr:to>
      <xdr:col>4</xdr:col>
      <xdr:colOff>304800</xdr:colOff>
      <xdr:row>1434</xdr:row>
      <xdr:rowOff>114300</xdr:rowOff>
    </xdr:to>
    <xdr:sp macro="" textlink="">
      <xdr:nvSpPr>
        <xdr:cNvPr id="4507" name="AutoShape 143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491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1433</xdr:row>
      <xdr:rowOff>0</xdr:rowOff>
    </xdr:from>
    <xdr:to>
      <xdr:col>5</xdr:col>
      <xdr:colOff>304800</xdr:colOff>
      <xdr:row>1434</xdr:row>
      <xdr:rowOff>114300</xdr:rowOff>
    </xdr:to>
    <xdr:sp macro="" textlink="">
      <xdr:nvSpPr>
        <xdr:cNvPr id="4508" name="AutoShape 1436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491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1435</xdr:row>
      <xdr:rowOff>0</xdr:rowOff>
    </xdr:from>
    <xdr:to>
      <xdr:col>4</xdr:col>
      <xdr:colOff>304800</xdr:colOff>
      <xdr:row>1436</xdr:row>
      <xdr:rowOff>76200</xdr:rowOff>
    </xdr:to>
    <xdr:sp macro="" textlink="">
      <xdr:nvSpPr>
        <xdr:cNvPr id="4509" name="AutoShape 1437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550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1435</xdr:row>
      <xdr:rowOff>0</xdr:rowOff>
    </xdr:from>
    <xdr:to>
      <xdr:col>5</xdr:col>
      <xdr:colOff>304800</xdr:colOff>
      <xdr:row>1436</xdr:row>
      <xdr:rowOff>76200</xdr:rowOff>
    </xdr:to>
    <xdr:sp macro="" textlink="">
      <xdr:nvSpPr>
        <xdr:cNvPr id="4510" name="AutoShape 1438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550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1437</xdr:row>
      <xdr:rowOff>0</xdr:rowOff>
    </xdr:from>
    <xdr:to>
      <xdr:col>4</xdr:col>
      <xdr:colOff>304800</xdr:colOff>
      <xdr:row>1438</xdr:row>
      <xdr:rowOff>76200</xdr:rowOff>
    </xdr:to>
    <xdr:sp macro="" textlink="">
      <xdr:nvSpPr>
        <xdr:cNvPr id="4511" name="AutoShape 1439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592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1437</xdr:row>
      <xdr:rowOff>0</xdr:rowOff>
    </xdr:from>
    <xdr:to>
      <xdr:col>5</xdr:col>
      <xdr:colOff>304800</xdr:colOff>
      <xdr:row>1438</xdr:row>
      <xdr:rowOff>76200</xdr:rowOff>
    </xdr:to>
    <xdr:sp macro="" textlink="">
      <xdr:nvSpPr>
        <xdr:cNvPr id="4512" name="AutoShape 1440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592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1439</xdr:row>
      <xdr:rowOff>0</xdr:rowOff>
    </xdr:from>
    <xdr:to>
      <xdr:col>4</xdr:col>
      <xdr:colOff>304800</xdr:colOff>
      <xdr:row>1440</xdr:row>
      <xdr:rowOff>114300</xdr:rowOff>
    </xdr:to>
    <xdr:sp macro="" textlink="">
      <xdr:nvSpPr>
        <xdr:cNvPr id="4513" name="AutoShape 1441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635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1439</xdr:row>
      <xdr:rowOff>0</xdr:rowOff>
    </xdr:from>
    <xdr:to>
      <xdr:col>5</xdr:col>
      <xdr:colOff>304800</xdr:colOff>
      <xdr:row>1440</xdr:row>
      <xdr:rowOff>114300</xdr:rowOff>
    </xdr:to>
    <xdr:sp macro="" textlink="">
      <xdr:nvSpPr>
        <xdr:cNvPr id="4514" name="AutoShape 1442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635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1441</xdr:row>
      <xdr:rowOff>0</xdr:rowOff>
    </xdr:from>
    <xdr:to>
      <xdr:col>4</xdr:col>
      <xdr:colOff>304800</xdr:colOff>
      <xdr:row>1442</xdr:row>
      <xdr:rowOff>114300</xdr:rowOff>
    </xdr:to>
    <xdr:sp macro="" textlink="">
      <xdr:nvSpPr>
        <xdr:cNvPr id="4515" name="AutoShape 1443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693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1441</xdr:row>
      <xdr:rowOff>0</xdr:rowOff>
    </xdr:from>
    <xdr:to>
      <xdr:col>5</xdr:col>
      <xdr:colOff>304800</xdr:colOff>
      <xdr:row>1442</xdr:row>
      <xdr:rowOff>114300</xdr:rowOff>
    </xdr:to>
    <xdr:sp macro="" textlink="">
      <xdr:nvSpPr>
        <xdr:cNvPr id="4516" name="AutoShape 1444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693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1443</xdr:row>
      <xdr:rowOff>0</xdr:rowOff>
    </xdr:from>
    <xdr:to>
      <xdr:col>4</xdr:col>
      <xdr:colOff>304800</xdr:colOff>
      <xdr:row>1444</xdr:row>
      <xdr:rowOff>76200</xdr:rowOff>
    </xdr:to>
    <xdr:sp macro="" textlink="">
      <xdr:nvSpPr>
        <xdr:cNvPr id="4517" name="AutoShape 1445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751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1443</xdr:row>
      <xdr:rowOff>0</xdr:rowOff>
    </xdr:from>
    <xdr:to>
      <xdr:col>5</xdr:col>
      <xdr:colOff>304800</xdr:colOff>
      <xdr:row>1444</xdr:row>
      <xdr:rowOff>76200</xdr:rowOff>
    </xdr:to>
    <xdr:sp macro="" textlink="">
      <xdr:nvSpPr>
        <xdr:cNvPr id="4518" name="AutoShape 1446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751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1445</xdr:row>
      <xdr:rowOff>0</xdr:rowOff>
    </xdr:from>
    <xdr:to>
      <xdr:col>4</xdr:col>
      <xdr:colOff>304800</xdr:colOff>
      <xdr:row>1446</xdr:row>
      <xdr:rowOff>114300</xdr:rowOff>
    </xdr:to>
    <xdr:sp macro="" textlink="">
      <xdr:nvSpPr>
        <xdr:cNvPr id="4519" name="AutoShape 1447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794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1445</xdr:row>
      <xdr:rowOff>0</xdr:rowOff>
    </xdr:from>
    <xdr:to>
      <xdr:col>5</xdr:col>
      <xdr:colOff>304800</xdr:colOff>
      <xdr:row>1446</xdr:row>
      <xdr:rowOff>114300</xdr:rowOff>
    </xdr:to>
    <xdr:sp macro="" textlink="">
      <xdr:nvSpPr>
        <xdr:cNvPr id="4520" name="AutoShape 1448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794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1447</xdr:row>
      <xdr:rowOff>0</xdr:rowOff>
    </xdr:from>
    <xdr:to>
      <xdr:col>4</xdr:col>
      <xdr:colOff>304800</xdr:colOff>
      <xdr:row>1448</xdr:row>
      <xdr:rowOff>114300</xdr:rowOff>
    </xdr:to>
    <xdr:sp macro="" textlink="">
      <xdr:nvSpPr>
        <xdr:cNvPr id="4521" name="AutoShape 1449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8529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1447</xdr:row>
      <xdr:rowOff>0</xdr:rowOff>
    </xdr:from>
    <xdr:to>
      <xdr:col>5</xdr:col>
      <xdr:colOff>304800</xdr:colOff>
      <xdr:row>1448</xdr:row>
      <xdr:rowOff>114300</xdr:rowOff>
    </xdr:to>
    <xdr:sp macro="" textlink="">
      <xdr:nvSpPr>
        <xdr:cNvPr id="4522" name="AutoShape 1450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8529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1449</xdr:row>
      <xdr:rowOff>0</xdr:rowOff>
    </xdr:from>
    <xdr:to>
      <xdr:col>4</xdr:col>
      <xdr:colOff>304800</xdr:colOff>
      <xdr:row>1450</xdr:row>
      <xdr:rowOff>114300</xdr:rowOff>
    </xdr:to>
    <xdr:sp macro="" textlink="">
      <xdr:nvSpPr>
        <xdr:cNvPr id="4523" name="AutoShape 1451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911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1449</xdr:row>
      <xdr:rowOff>0</xdr:rowOff>
    </xdr:from>
    <xdr:to>
      <xdr:col>5</xdr:col>
      <xdr:colOff>304800</xdr:colOff>
      <xdr:row>1450</xdr:row>
      <xdr:rowOff>114300</xdr:rowOff>
    </xdr:to>
    <xdr:sp macro="" textlink="">
      <xdr:nvSpPr>
        <xdr:cNvPr id="4524" name="AutoShape 1452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911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1451</xdr:row>
      <xdr:rowOff>0</xdr:rowOff>
    </xdr:from>
    <xdr:to>
      <xdr:col>4</xdr:col>
      <xdr:colOff>304800</xdr:colOff>
      <xdr:row>1452</xdr:row>
      <xdr:rowOff>114300</xdr:rowOff>
    </xdr:to>
    <xdr:sp macro="" textlink="">
      <xdr:nvSpPr>
        <xdr:cNvPr id="4525" name="AutoShape 1453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969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1451</xdr:row>
      <xdr:rowOff>0</xdr:rowOff>
    </xdr:from>
    <xdr:to>
      <xdr:col>5</xdr:col>
      <xdr:colOff>304800</xdr:colOff>
      <xdr:row>1452</xdr:row>
      <xdr:rowOff>114300</xdr:rowOff>
    </xdr:to>
    <xdr:sp macro="" textlink="">
      <xdr:nvSpPr>
        <xdr:cNvPr id="4526" name="AutoShape 1454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969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1453</xdr:row>
      <xdr:rowOff>0</xdr:rowOff>
    </xdr:from>
    <xdr:to>
      <xdr:col>4</xdr:col>
      <xdr:colOff>304800</xdr:colOff>
      <xdr:row>1454</xdr:row>
      <xdr:rowOff>76200</xdr:rowOff>
    </xdr:to>
    <xdr:sp macro="" textlink="">
      <xdr:nvSpPr>
        <xdr:cNvPr id="4527" name="AutoShape 1455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027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1453</xdr:row>
      <xdr:rowOff>0</xdr:rowOff>
    </xdr:from>
    <xdr:to>
      <xdr:col>5</xdr:col>
      <xdr:colOff>304800</xdr:colOff>
      <xdr:row>1454</xdr:row>
      <xdr:rowOff>76200</xdr:rowOff>
    </xdr:to>
    <xdr:sp macro="" textlink="">
      <xdr:nvSpPr>
        <xdr:cNvPr id="4528" name="AutoShape 1456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027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1455</xdr:row>
      <xdr:rowOff>0</xdr:rowOff>
    </xdr:from>
    <xdr:to>
      <xdr:col>4</xdr:col>
      <xdr:colOff>304800</xdr:colOff>
      <xdr:row>1456</xdr:row>
      <xdr:rowOff>114300</xdr:rowOff>
    </xdr:to>
    <xdr:sp macro="" textlink="">
      <xdr:nvSpPr>
        <xdr:cNvPr id="4529" name="AutoShape 1457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070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1455</xdr:row>
      <xdr:rowOff>0</xdr:rowOff>
    </xdr:from>
    <xdr:to>
      <xdr:col>5</xdr:col>
      <xdr:colOff>304800</xdr:colOff>
      <xdr:row>1456</xdr:row>
      <xdr:rowOff>114300</xdr:rowOff>
    </xdr:to>
    <xdr:sp macro="" textlink="">
      <xdr:nvSpPr>
        <xdr:cNvPr id="4530" name="AutoShape 1458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070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1457</xdr:row>
      <xdr:rowOff>0</xdr:rowOff>
    </xdr:from>
    <xdr:to>
      <xdr:col>4</xdr:col>
      <xdr:colOff>304800</xdr:colOff>
      <xdr:row>1458</xdr:row>
      <xdr:rowOff>114300</xdr:rowOff>
    </xdr:to>
    <xdr:sp macro="" textlink="">
      <xdr:nvSpPr>
        <xdr:cNvPr id="4531" name="AutoShape 1459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128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1457</xdr:row>
      <xdr:rowOff>0</xdr:rowOff>
    </xdr:from>
    <xdr:to>
      <xdr:col>5</xdr:col>
      <xdr:colOff>304800</xdr:colOff>
      <xdr:row>1458</xdr:row>
      <xdr:rowOff>114300</xdr:rowOff>
    </xdr:to>
    <xdr:sp macro="" textlink="">
      <xdr:nvSpPr>
        <xdr:cNvPr id="4532" name="AutoShape 1460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128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1459</xdr:row>
      <xdr:rowOff>0</xdr:rowOff>
    </xdr:from>
    <xdr:to>
      <xdr:col>4</xdr:col>
      <xdr:colOff>304800</xdr:colOff>
      <xdr:row>1460</xdr:row>
      <xdr:rowOff>76200</xdr:rowOff>
    </xdr:to>
    <xdr:sp macro="" textlink="">
      <xdr:nvSpPr>
        <xdr:cNvPr id="4533" name="AutoShape 1461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186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1459</xdr:row>
      <xdr:rowOff>0</xdr:rowOff>
    </xdr:from>
    <xdr:to>
      <xdr:col>5</xdr:col>
      <xdr:colOff>304800</xdr:colOff>
      <xdr:row>1460</xdr:row>
      <xdr:rowOff>76200</xdr:rowOff>
    </xdr:to>
    <xdr:sp macro="" textlink="">
      <xdr:nvSpPr>
        <xdr:cNvPr id="4534" name="AutoShape 1462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186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1461</xdr:row>
      <xdr:rowOff>0</xdr:rowOff>
    </xdr:from>
    <xdr:to>
      <xdr:col>4</xdr:col>
      <xdr:colOff>304800</xdr:colOff>
      <xdr:row>1462</xdr:row>
      <xdr:rowOff>114300</xdr:rowOff>
    </xdr:to>
    <xdr:sp macro="" textlink="">
      <xdr:nvSpPr>
        <xdr:cNvPr id="4535" name="AutoShape 1463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22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1461</xdr:row>
      <xdr:rowOff>0</xdr:rowOff>
    </xdr:from>
    <xdr:to>
      <xdr:col>5</xdr:col>
      <xdr:colOff>304800</xdr:colOff>
      <xdr:row>1462</xdr:row>
      <xdr:rowOff>114300</xdr:rowOff>
    </xdr:to>
    <xdr:sp macro="" textlink="">
      <xdr:nvSpPr>
        <xdr:cNvPr id="4536" name="AutoShape 1464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22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1463</xdr:row>
      <xdr:rowOff>0</xdr:rowOff>
    </xdr:from>
    <xdr:to>
      <xdr:col>4</xdr:col>
      <xdr:colOff>304800</xdr:colOff>
      <xdr:row>1464</xdr:row>
      <xdr:rowOff>114300</xdr:rowOff>
    </xdr:to>
    <xdr:sp macro="" textlink="">
      <xdr:nvSpPr>
        <xdr:cNvPr id="4537" name="AutoShape 146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2872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1463</xdr:row>
      <xdr:rowOff>0</xdr:rowOff>
    </xdr:from>
    <xdr:to>
      <xdr:col>5</xdr:col>
      <xdr:colOff>304800</xdr:colOff>
      <xdr:row>1464</xdr:row>
      <xdr:rowOff>114300</xdr:rowOff>
    </xdr:to>
    <xdr:sp macro="" textlink="">
      <xdr:nvSpPr>
        <xdr:cNvPr id="4538" name="AutoShape 1466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2872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1465</xdr:row>
      <xdr:rowOff>0</xdr:rowOff>
    </xdr:from>
    <xdr:to>
      <xdr:col>4</xdr:col>
      <xdr:colOff>304800</xdr:colOff>
      <xdr:row>1466</xdr:row>
      <xdr:rowOff>114300</xdr:rowOff>
    </xdr:to>
    <xdr:sp macro="" textlink="">
      <xdr:nvSpPr>
        <xdr:cNvPr id="4539" name="AutoShape 1467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345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1465</xdr:row>
      <xdr:rowOff>0</xdr:rowOff>
    </xdr:from>
    <xdr:to>
      <xdr:col>5</xdr:col>
      <xdr:colOff>304800</xdr:colOff>
      <xdr:row>1466</xdr:row>
      <xdr:rowOff>114300</xdr:rowOff>
    </xdr:to>
    <xdr:sp macro="" textlink="">
      <xdr:nvSpPr>
        <xdr:cNvPr id="4540" name="AutoShape 1468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345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1467</xdr:row>
      <xdr:rowOff>0</xdr:rowOff>
    </xdr:from>
    <xdr:to>
      <xdr:col>4</xdr:col>
      <xdr:colOff>304800</xdr:colOff>
      <xdr:row>1468</xdr:row>
      <xdr:rowOff>114300</xdr:rowOff>
    </xdr:to>
    <xdr:sp macro="" textlink="">
      <xdr:nvSpPr>
        <xdr:cNvPr id="4541" name="AutoShape 1469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403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1467</xdr:row>
      <xdr:rowOff>0</xdr:rowOff>
    </xdr:from>
    <xdr:to>
      <xdr:col>5</xdr:col>
      <xdr:colOff>304800</xdr:colOff>
      <xdr:row>1468</xdr:row>
      <xdr:rowOff>114300</xdr:rowOff>
    </xdr:to>
    <xdr:sp macro="" textlink="">
      <xdr:nvSpPr>
        <xdr:cNvPr id="4542" name="AutoShape 1470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403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1469</xdr:row>
      <xdr:rowOff>0</xdr:rowOff>
    </xdr:from>
    <xdr:to>
      <xdr:col>4</xdr:col>
      <xdr:colOff>304800</xdr:colOff>
      <xdr:row>1470</xdr:row>
      <xdr:rowOff>114300</xdr:rowOff>
    </xdr:to>
    <xdr:sp macro="" textlink="">
      <xdr:nvSpPr>
        <xdr:cNvPr id="4543" name="AutoShape 1471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461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1469</xdr:row>
      <xdr:rowOff>0</xdr:rowOff>
    </xdr:from>
    <xdr:to>
      <xdr:col>5</xdr:col>
      <xdr:colOff>304800</xdr:colOff>
      <xdr:row>1470</xdr:row>
      <xdr:rowOff>114300</xdr:rowOff>
    </xdr:to>
    <xdr:sp macro="" textlink="">
      <xdr:nvSpPr>
        <xdr:cNvPr id="4544" name="AutoShape 1472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461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1471</xdr:row>
      <xdr:rowOff>0</xdr:rowOff>
    </xdr:from>
    <xdr:to>
      <xdr:col>4</xdr:col>
      <xdr:colOff>304800</xdr:colOff>
      <xdr:row>1472</xdr:row>
      <xdr:rowOff>114300</xdr:rowOff>
    </xdr:to>
    <xdr:sp macro="" textlink="">
      <xdr:nvSpPr>
        <xdr:cNvPr id="4545" name="AutoShape 1473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519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1471</xdr:row>
      <xdr:rowOff>0</xdr:rowOff>
    </xdr:from>
    <xdr:to>
      <xdr:col>5</xdr:col>
      <xdr:colOff>304800</xdr:colOff>
      <xdr:row>1472</xdr:row>
      <xdr:rowOff>114300</xdr:rowOff>
    </xdr:to>
    <xdr:sp macro="" textlink="">
      <xdr:nvSpPr>
        <xdr:cNvPr id="4546" name="AutoShape 1474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519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1473</xdr:row>
      <xdr:rowOff>0</xdr:rowOff>
    </xdr:from>
    <xdr:to>
      <xdr:col>4</xdr:col>
      <xdr:colOff>304800</xdr:colOff>
      <xdr:row>1474</xdr:row>
      <xdr:rowOff>114300</xdr:rowOff>
    </xdr:to>
    <xdr:sp macro="" textlink="">
      <xdr:nvSpPr>
        <xdr:cNvPr id="4547" name="AutoShape 1475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577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1473</xdr:row>
      <xdr:rowOff>0</xdr:rowOff>
    </xdr:from>
    <xdr:to>
      <xdr:col>5</xdr:col>
      <xdr:colOff>304800</xdr:colOff>
      <xdr:row>1474</xdr:row>
      <xdr:rowOff>114300</xdr:rowOff>
    </xdr:to>
    <xdr:sp macro="" textlink="">
      <xdr:nvSpPr>
        <xdr:cNvPr id="4548" name="AutoShape 1476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577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1475</xdr:row>
      <xdr:rowOff>0</xdr:rowOff>
    </xdr:from>
    <xdr:to>
      <xdr:col>4</xdr:col>
      <xdr:colOff>304800</xdr:colOff>
      <xdr:row>1476</xdr:row>
      <xdr:rowOff>66675</xdr:rowOff>
    </xdr:to>
    <xdr:sp macro="" textlink="">
      <xdr:nvSpPr>
        <xdr:cNvPr id="4549" name="AutoShape 1477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635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1475</xdr:row>
      <xdr:rowOff>0</xdr:rowOff>
    </xdr:from>
    <xdr:to>
      <xdr:col>5</xdr:col>
      <xdr:colOff>304800</xdr:colOff>
      <xdr:row>1476</xdr:row>
      <xdr:rowOff>66675</xdr:rowOff>
    </xdr:to>
    <xdr:sp macro="" textlink="">
      <xdr:nvSpPr>
        <xdr:cNvPr id="4550" name="AutoShape 1478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635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1477</xdr:row>
      <xdr:rowOff>0</xdr:rowOff>
    </xdr:from>
    <xdr:to>
      <xdr:col>4</xdr:col>
      <xdr:colOff>304800</xdr:colOff>
      <xdr:row>1478</xdr:row>
      <xdr:rowOff>114300</xdr:rowOff>
    </xdr:to>
    <xdr:sp macro="" textlink="">
      <xdr:nvSpPr>
        <xdr:cNvPr id="4551" name="AutoShape 147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679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1477</xdr:row>
      <xdr:rowOff>0</xdr:rowOff>
    </xdr:from>
    <xdr:to>
      <xdr:col>5</xdr:col>
      <xdr:colOff>304800</xdr:colOff>
      <xdr:row>1478</xdr:row>
      <xdr:rowOff>114300</xdr:rowOff>
    </xdr:to>
    <xdr:sp macro="" textlink="">
      <xdr:nvSpPr>
        <xdr:cNvPr id="4552" name="AutoShape 1480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679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1479</xdr:row>
      <xdr:rowOff>0</xdr:rowOff>
    </xdr:from>
    <xdr:to>
      <xdr:col>4</xdr:col>
      <xdr:colOff>304800</xdr:colOff>
      <xdr:row>1480</xdr:row>
      <xdr:rowOff>114300</xdr:rowOff>
    </xdr:to>
    <xdr:sp macro="" textlink="">
      <xdr:nvSpPr>
        <xdr:cNvPr id="4553" name="AutoShape 148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737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1479</xdr:row>
      <xdr:rowOff>0</xdr:rowOff>
    </xdr:from>
    <xdr:to>
      <xdr:col>5</xdr:col>
      <xdr:colOff>304800</xdr:colOff>
      <xdr:row>1480</xdr:row>
      <xdr:rowOff>114300</xdr:rowOff>
    </xdr:to>
    <xdr:sp macro="" textlink="">
      <xdr:nvSpPr>
        <xdr:cNvPr id="4554" name="AutoShape 1482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737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1481</xdr:row>
      <xdr:rowOff>0</xdr:rowOff>
    </xdr:from>
    <xdr:to>
      <xdr:col>4</xdr:col>
      <xdr:colOff>304800</xdr:colOff>
      <xdr:row>1482</xdr:row>
      <xdr:rowOff>114300</xdr:rowOff>
    </xdr:to>
    <xdr:sp macro="" textlink="">
      <xdr:nvSpPr>
        <xdr:cNvPr id="4555" name="AutoShape 1483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795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1481</xdr:row>
      <xdr:rowOff>0</xdr:rowOff>
    </xdr:from>
    <xdr:to>
      <xdr:col>5</xdr:col>
      <xdr:colOff>304800</xdr:colOff>
      <xdr:row>1482</xdr:row>
      <xdr:rowOff>114300</xdr:rowOff>
    </xdr:to>
    <xdr:sp macro="" textlink="">
      <xdr:nvSpPr>
        <xdr:cNvPr id="4556" name="AutoShape 1484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795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1483</xdr:row>
      <xdr:rowOff>0</xdr:rowOff>
    </xdr:from>
    <xdr:to>
      <xdr:col>4</xdr:col>
      <xdr:colOff>304800</xdr:colOff>
      <xdr:row>1484</xdr:row>
      <xdr:rowOff>114300</xdr:rowOff>
    </xdr:to>
    <xdr:sp macro="" textlink="">
      <xdr:nvSpPr>
        <xdr:cNvPr id="4557" name="AutoShape 1485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854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1483</xdr:row>
      <xdr:rowOff>0</xdr:rowOff>
    </xdr:from>
    <xdr:to>
      <xdr:col>5</xdr:col>
      <xdr:colOff>304800</xdr:colOff>
      <xdr:row>1484</xdr:row>
      <xdr:rowOff>114300</xdr:rowOff>
    </xdr:to>
    <xdr:sp macro="" textlink="">
      <xdr:nvSpPr>
        <xdr:cNvPr id="4558" name="AutoShape 1486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854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1485</xdr:row>
      <xdr:rowOff>0</xdr:rowOff>
    </xdr:from>
    <xdr:to>
      <xdr:col>4</xdr:col>
      <xdr:colOff>304800</xdr:colOff>
      <xdr:row>1486</xdr:row>
      <xdr:rowOff>114300</xdr:rowOff>
    </xdr:to>
    <xdr:sp macro="" textlink="">
      <xdr:nvSpPr>
        <xdr:cNvPr id="4559" name="AutoShape 1487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912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1485</xdr:row>
      <xdr:rowOff>0</xdr:rowOff>
    </xdr:from>
    <xdr:to>
      <xdr:col>5</xdr:col>
      <xdr:colOff>304800</xdr:colOff>
      <xdr:row>1486</xdr:row>
      <xdr:rowOff>114300</xdr:rowOff>
    </xdr:to>
    <xdr:sp macro="" textlink="">
      <xdr:nvSpPr>
        <xdr:cNvPr id="4560" name="AutoShape 1488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912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1487</xdr:row>
      <xdr:rowOff>0</xdr:rowOff>
    </xdr:from>
    <xdr:to>
      <xdr:col>4</xdr:col>
      <xdr:colOff>304800</xdr:colOff>
      <xdr:row>1488</xdr:row>
      <xdr:rowOff>76200</xdr:rowOff>
    </xdr:to>
    <xdr:sp macro="" textlink="">
      <xdr:nvSpPr>
        <xdr:cNvPr id="4561" name="AutoShape 1489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970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1487</xdr:row>
      <xdr:rowOff>0</xdr:rowOff>
    </xdr:from>
    <xdr:to>
      <xdr:col>5</xdr:col>
      <xdr:colOff>304800</xdr:colOff>
      <xdr:row>1488</xdr:row>
      <xdr:rowOff>76200</xdr:rowOff>
    </xdr:to>
    <xdr:sp macro="" textlink="">
      <xdr:nvSpPr>
        <xdr:cNvPr id="4562" name="AutoShape 1490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970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1489</xdr:row>
      <xdr:rowOff>0</xdr:rowOff>
    </xdr:from>
    <xdr:to>
      <xdr:col>4</xdr:col>
      <xdr:colOff>304800</xdr:colOff>
      <xdr:row>1490</xdr:row>
      <xdr:rowOff>114300</xdr:rowOff>
    </xdr:to>
    <xdr:sp macro="" textlink="">
      <xdr:nvSpPr>
        <xdr:cNvPr id="4563" name="AutoShape 1491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0130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1489</xdr:row>
      <xdr:rowOff>0</xdr:rowOff>
    </xdr:from>
    <xdr:to>
      <xdr:col>5</xdr:col>
      <xdr:colOff>304800</xdr:colOff>
      <xdr:row>1490</xdr:row>
      <xdr:rowOff>114300</xdr:rowOff>
    </xdr:to>
    <xdr:sp macro="" textlink="">
      <xdr:nvSpPr>
        <xdr:cNvPr id="4564" name="AutoShape 1492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0130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1491</xdr:row>
      <xdr:rowOff>0</xdr:rowOff>
    </xdr:from>
    <xdr:to>
      <xdr:col>4</xdr:col>
      <xdr:colOff>304800</xdr:colOff>
      <xdr:row>1492</xdr:row>
      <xdr:rowOff>114300</xdr:rowOff>
    </xdr:to>
    <xdr:sp macro="" textlink="">
      <xdr:nvSpPr>
        <xdr:cNvPr id="4565" name="AutoShape 1493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0711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1491</xdr:row>
      <xdr:rowOff>0</xdr:rowOff>
    </xdr:from>
    <xdr:to>
      <xdr:col>5</xdr:col>
      <xdr:colOff>304800</xdr:colOff>
      <xdr:row>1492</xdr:row>
      <xdr:rowOff>114300</xdr:rowOff>
    </xdr:to>
    <xdr:sp macro="" textlink="">
      <xdr:nvSpPr>
        <xdr:cNvPr id="4566" name="AutoShape 1494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0711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1493</xdr:row>
      <xdr:rowOff>0</xdr:rowOff>
    </xdr:from>
    <xdr:to>
      <xdr:col>4</xdr:col>
      <xdr:colOff>304800</xdr:colOff>
      <xdr:row>1494</xdr:row>
      <xdr:rowOff>114300</xdr:rowOff>
    </xdr:to>
    <xdr:sp macro="" textlink="">
      <xdr:nvSpPr>
        <xdr:cNvPr id="4567" name="AutoShape 149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129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1493</xdr:row>
      <xdr:rowOff>0</xdr:rowOff>
    </xdr:from>
    <xdr:to>
      <xdr:col>5</xdr:col>
      <xdr:colOff>304800</xdr:colOff>
      <xdr:row>1494</xdr:row>
      <xdr:rowOff>114300</xdr:rowOff>
    </xdr:to>
    <xdr:sp macro="" textlink="">
      <xdr:nvSpPr>
        <xdr:cNvPr id="4568" name="AutoShape 1496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129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1495</xdr:row>
      <xdr:rowOff>0</xdr:rowOff>
    </xdr:from>
    <xdr:to>
      <xdr:col>4</xdr:col>
      <xdr:colOff>304800</xdr:colOff>
      <xdr:row>1496</xdr:row>
      <xdr:rowOff>114300</xdr:rowOff>
    </xdr:to>
    <xdr:sp macro="" textlink="">
      <xdr:nvSpPr>
        <xdr:cNvPr id="4569" name="AutoShape 1497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2064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1495</xdr:row>
      <xdr:rowOff>0</xdr:rowOff>
    </xdr:from>
    <xdr:to>
      <xdr:col>5</xdr:col>
      <xdr:colOff>304800</xdr:colOff>
      <xdr:row>1496</xdr:row>
      <xdr:rowOff>114300</xdr:rowOff>
    </xdr:to>
    <xdr:sp macro="" textlink="">
      <xdr:nvSpPr>
        <xdr:cNvPr id="4570" name="AutoShape 1498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2064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1497</xdr:row>
      <xdr:rowOff>0</xdr:rowOff>
    </xdr:from>
    <xdr:to>
      <xdr:col>4</xdr:col>
      <xdr:colOff>304800</xdr:colOff>
      <xdr:row>1498</xdr:row>
      <xdr:rowOff>114300</xdr:rowOff>
    </xdr:to>
    <xdr:sp macro="" textlink="">
      <xdr:nvSpPr>
        <xdr:cNvPr id="4571" name="AutoShape 149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264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1497</xdr:row>
      <xdr:rowOff>0</xdr:rowOff>
    </xdr:from>
    <xdr:to>
      <xdr:col>5</xdr:col>
      <xdr:colOff>304800</xdr:colOff>
      <xdr:row>1498</xdr:row>
      <xdr:rowOff>114300</xdr:rowOff>
    </xdr:to>
    <xdr:sp macro="" textlink="">
      <xdr:nvSpPr>
        <xdr:cNvPr id="4572" name="AutoShape 1500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264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1499</xdr:row>
      <xdr:rowOff>0</xdr:rowOff>
    </xdr:from>
    <xdr:to>
      <xdr:col>4</xdr:col>
      <xdr:colOff>304800</xdr:colOff>
      <xdr:row>1500</xdr:row>
      <xdr:rowOff>114300</xdr:rowOff>
    </xdr:to>
    <xdr:sp macro="" textlink="">
      <xdr:nvSpPr>
        <xdr:cNvPr id="4573" name="AutoShape 150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322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1499</xdr:row>
      <xdr:rowOff>0</xdr:rowOff>
    </xdr:from>
    <xdr:to>
      <xdr:col>5</xdr:col>
      <xdr:colOff>304800</xdr:colOff>
      <xdr:row>1500</xdr:row>
      <xdr:rowOff>114300</xdr:rowOff>
    </xdr:to>
    <xdr:sp macro="" textlink="">
      <xdr:nvSpPr>
        <xdr:cNvPr id="4574" name="AutoShape 1502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322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1501</xdr:row>
      <xdr:rowOff>0</xdr:rowOff>
    </xdr:from>
    <xdr:to>
      <xdr:col>4</xdr:col>
      <xdr:colOff>304800</xdr:colOff>
      <xdr:row>1502</xdr:row>
      <xdr:rowOff>114300</xdr:rowOff>
    </xdr:to>
    <xdr:sp macro="" textlink="">
      <xdr:nvSpPr>
        <xdr:cNvPr id="4575" name="AutoShape 1503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380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1501</xdr:row>
      <xdr:rowOff>0</xdr:rowOff>
    </xdr:from>
    <xdr:to>
      <xdr:col>5</xdr:col>
      <xdr:colOff>304800</xdr:colOff>
      <xdr:row>1502</xdr:row>
      <xdr:rowOff>114300</xdr:rowOff>
    </xdr:to>
    <xdr:sp macro="" textlink="">
      <xdr:nvSpPr>
        <xdr:cNvPr id="4576" name="AutoShape 1504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380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1503</xdr:row>
      <xdr:rowOff>0</xdr:rowOff>
    </xdr:from>
    <xdr:to>
      <xdr:col>4</xdr:col>
      <xdr:colOff>304800</xdr:colOff>
      <xdr:row>1504</xdr:row>
      <xdr:rowOff>114300</xdr:rowOff>
    </xdr:to>
    <xdr:sp macro="" textlink="">
      <xdr:nvSpPr>
        <xdr:cNvPr id="4577" name="AutoShape 1505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438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1503</xdr:row>
      <xdr:rowOff>0</xdr:rowOff>
    </xdr:from>
    <xdr:to>
      <xdr:col>5</xdr:col>
      <xdr:colOff>304800</xdr:colOff>
      <xdr:row>1504</xdr:row>
      <xdr:rowOff>114300</xdr:rowOff>
    </xdr:to>
    <xdr:sp macro="" textlink="">
      <xdr:nvSpPr>
        <xdr:cNvPr id="4578" name="AutoShape 150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438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1505</xdr:row>
      <xdr:rowOff>0</xdr:rowOff>
    </xdr:from>
    <xdr:to>
      <xdr:col>4</xdr:col>
      <xdr:colOff>304800</xdr:colOff>
      <xdr:row>1506</xdr:row>
      <xdr:rowOff>114300</xdr:rowOff>
    </xdr:to>
    <xdr:sp macro="" textlink="">
      <xdr:nvSpPr>
        <xdr:cNvPr id="4579" name="AutoShape 1507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4969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1505</xdr:row>
      <xdr:rowOff>0</xdr:rowOff>
    </xdr:from>
    <xdr:to>
      <xdr:col>5</xdr:col>
      <xdr:colOff>304800</xdr:colOff>
      <xdr:row>1506</xdr:row>
      <xdr:rowOff>114300</xdr:rowOff>
    </xdr:to>
    <xdr:sp macro="" textlink="">
      <xdr:nvSpPr>
        <xdr:cNvPr id="4580" name="AutoShape 1508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4969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1507</xdr:row>
      <xdr:rowOff>0</xdr:rowOff>
    </xdr:from>
    <xdr:to>
      <xdr:col>4</xdr:col>
      <xdr:colOff>304800</xdr:colOff>
      <xdr:row>1508</xdr:row>
      <xdr:rowOff>114300</xdr:rowOff>
    </xdr:to>
    <xdr:sp macro="" textlink="">
      <xdr:nvSpPr>
        <xdr:cNvPr id="4581" name="AutoShape 1509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5550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1507</xdr:row>
      <xdr:rowOff>0</xdr:rowOff>
    </xdr:from>
    <xdr:to>
      <xdr:col>5</xdr:col>
      <xdr:colOff>304800</xdr:colOff>
      <xdr:row>1508</xdr:row>
      <xdr:rowOff>114300</xdr:rowOff>
    </xdr:to>
    <xdr:sp macro="" textlink="">
      <xdr:nvSpPr>
        <xdr:cNvPr id="4582" name="AutoShape 1510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5550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1509</xdr:row>
      <xdr:rowOff>0</xdr:rowOff>
    </xdr:from>
    <xdr:to>
      <xdr:col>4</xdr:col>
      <xdr:colOff>304800</xdr:colOff>
      <xdr:row>1510</xdr:row>
      <xdr:rowOff>114300</xdr:rowOff>
    </xdr:to>
    <xdr:sp macro="" textlink="">
      <xdr:nvSpPr>
        <xdr:cNvPr id="4583" name="AutoShape 1511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6131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1509</xdr:row>
      <xdr:rowOff>0</xdr:rowOff>
    </xdr:from>
    <xdr:to>
      <xdr:col>5</xdr:col>
      <xdr:colOff>304800</xdr:colOff>
      <xdr:row>1510</xdr:row>
      <xdr:rowOff>114300</xdr:rowOff>
    </xdr:to>
    <xdr:sp macro="" textlink="">
      <xdr:nvSpPr>
        <xdr:cNvPr id="4584" name="AutoShape 1512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6131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1511</xdr:row>
      <xdr:rowOff>0</xdr:rowOff>
    </xdr:from>
    <xdr:to>
      <xdr:col>4</xdr:col>
      <xdr:colOff>304800</xdr:colOff>
      <xdr:row>1512</xdr:row>
      <xdr:rowOff>76200</xdr:rowOff>
    </xdr:to>
    <xdr:sp macro="" textlink="">
      <xdr:nvSpPr>
        <xdr:cNvPr id="4585" name="AutoShape 1513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671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1511</xdr:row>
      <xdr:rowOff>0</xdr:rowOff>
    </xdr:from>
    <xdr:to>
      <xdr:col>5</xdr:col>
      <xdr:colOff>304800</xdr:colOff>
      <xdr:row>1512</xdr:row>
      <xdr:rowOff>76200</xdr:rowOff>
    </xdr:to>
    <xdr:sp macro="" textlink="">
      <xdr:nvSpPr>
        <xdr:cNvPr id="4586" name="AutoShape 1514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671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1513</xdr:row>
      <xdr:rowOff>0</xdr:rowOff>
    </xdr:from>
    <xdr:to>
      <xdr:col>4</xdr:col>
      <xdr:colOff>304800</xdr:colOff>
      <xdr:row>1514</xdr:row>
      <xdr:rowOff>114300</xdr:rowOff>
    </xdr:to>
    <xdr:sp macro="" textlink="">
      <xdr:nvSpPr>
        <xdr:cNvPr id="4587" name="AutoShape 1515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7141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1513</xdr:row>
      <xdr:rowOff>0</xdr:rowOff>
    </xdr:from>
    <xdr:to>
      <xdr:col>5</xdr:col>
      <xdr:colOff>304800</xdr:colOff>
      <xdr:row>1514</xdr:row>
      <xdr:rowOff>114300</xdr:rowOff>
    </xdr:to>
    <xdr:sp macro="" textlink="">
      <xdr:nvSpPr>
        <xdr:cNvPr id="4588" name="AutoShape 1516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7141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1515</xdr:row>
      <xdr:rowOff>0</xdr:rowOff>
    </xdr:from>
    <xdr:to>
      <xdr:col>4</xdr:col>
      <xdr:colOff>304800</xdr:colOff>
      <xdr:row>1516</xdr:row>
      <xdr:rowOff>114300</xdr:rowOff>
    </xdr:to>
    <xdr:sp macro="" textlink="">
      <xdr:nvSpPr>
        <xdr:cNvPr id="4589" name="AutoShape 1517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7722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1515</xdr:row>
      <xdr:rowOff>0</xdr:rowOff>
    </xdr:from>
    <xdr:to>
      <xdr:col>5</xdr:col>
      <xdr:colOff>304800</xdr:colOff>
      <xdr:row>1516</xdr:row>
      <xdr:rowOff>114300</xdr:rowOff>
    </xdr:to>
    <xdr:sp macro="" textlink="">
      <xdr:nvSpPr>
        <xdr:cNvPr id="4590" name="AutoShape 1518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7722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1517</xdr:row>
      <xdr:rowOff>0</xdr:rowOff>
    </xdr:from>
    <xdr:to>
      <xdr:col>4</xdr:col>
      <xdr:colOff>304800</xdr:colOff>
      <xdr:row>1518</xdr:row>
      <xdr:rowOff>76200</xdr:rowOff>
    </xdr:to>
    <xdr:sp macro="" textlink="">
      <xdr:nvSpPr>
        <xdr:cNvPr id="4591" name="AutoShape 1519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830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1517</xdr:row>
      <xdr:rowOff>0</xdr:rowOff>
    </xdr:from>
    <xdr:to>
      <xdr:col>5</xdr:col>
      <xdr:colOff>304800</xdr:colOff>
      <xdr:row>1518</xdr:row>
      <xdr:rowOff>76200</xdr:rowOff>
    </xdr:to>
    <xdr:sp macro="" textlink="">
      <xdr:nvSpPr>
        <xdr:cNvPr id="4592" name="AutoShape 1520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830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1519</xdr:row>
      <xdr:rowOff>0</xdr:rowOff>
    </xdr:from>
    <xdr:to>
      <xdr:col>4</xdr:col>
      <xdr:colOff>304800</xdr:colOff>
      <xdr:row>1520</xdr:row>
      <xdr:rowOff>76200</xdr:rowOff>
    </xdr:to>
    <xdr:sp macro="" textlink="">
      <xdr:nvSpPr>
        <xdr:cNvPr id="4593" name="AutoShape 152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873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1519</xdr:row>
      <xdr:rowOff>0</xdr:rowOff>
    </xdr:from>
    <xdr:to>
      <xdr:col>5</xdr:col>
      <xdr:colOff>304800</xdr:colOff>
      <xdr:row>1520</xdr:row>
      <xdr:rowOff>76200</xdr:rowOff>
    </xdr:to>
    <xdr:sp macro="" textlink="">
      <xdr:nvSpPr>
        <xdr:cNvPr id="4594" name="AutoShape 1522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873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1521</xdr:row>
      <xdr:rowOff>0</xdr:rowOff>
    </xdr:from>
    <xdr:to>
      <xdr:col>4</xdr:col>
      <xdr:colOff>304800</xdr:colOff>
      <xdr:row>1522</xdr:row>
      <xdr:rowOff>114300</xdr:rowOff>
    </xdr:to>
    <xdr:sp macro="" textlink="">
      <xdr:nvSpPr>
        <xdr:cNvPr id="4595" name="AutoShape 1523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916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1521</xdr:row>
      <xdr:rowOff>0</xdr:rowOff>
    </xdr:from>
    <xdr:to>
      <xdr:col>5</xdr:col>
      <xdr:colOff>304800</xdr:colOff>
      <xdr:row>1522</xdr:row>
      <xdr:rowOff>114300</xdr:rowOff>
    </xdr:to>
    <xdr:sp macro="" textlink="">
      <xdr:nvSpPr>
        <xdr:cNvPr id="4596" name="AutoShape 1524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916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1523</xdr:row>
      <xdr:rowOff>0</xdr:rowOff>
    </xdr:from>
    <xdr:to>
      <xdr:col>4</xdr:col>
      <xdr:colOff>304800</xdr:colOff>
      <xdr:row>1524</xdr:row>
      <xdr:rowOff>114300</xdr:rowOff>
    </xdr:to>
    <xdr:sp macro="" textlink="">
      <xdr:nvSpPr>
        <xdr:cNvPr id="4597" name="AutoShape 1525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974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1523</xdr:row>
      <xdr:rowOff>0</xdr:rowOff>
    </xdr:from>
    <xdr:to>
      <xdr:col>5</xdr:col>
      <xdr:colOff>304800</xdr:colOff>
      <xdr:row>1524</xdr:row>
      <xdr:rowOff>114300</xdr:rowOff>
    </xdr:to>
    <xdr:sp macro="" textlink="">
      <xdr:nvSpPr>
        <xdr:cNvPr id="4598" name="AutoShape 1526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974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1525</xdr:row>
      <xdr:rowOff>0</xdr:rowOff>
    </xdr:from>
    <xdr:to>
      <xdr:col>4</xdr:col>
      <xdr:colOff>304800</xdr:colOff>
      <xdr:row>1526</xdr:row>
      <xdr:rowOff>114300</xdr:rowOff>
    </xdr:to>
    <xdr:sp macro="" textlink="">
      <xdr:nvSpPr>
        <xdr:cNvPr id="4599" name="AutoShape 1527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0322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1525</xdr:row>
      <xdr:rowOff>0</xdr:rowOff>
    </xdr:from>
    <xdr:to>
      <xdr:col>5</xdr:col>
      <xdr:colOff>304800</xdr:colOff>
      <xdr:row>1526</xdr:row>
      <xdr:rowOff>114300</xdr:rowOff>
    </xdr:to>
    <xdr:sp macro="" textlink="">
      <xdr:nvSpPr>
        <xdr:cNvPr id="4600" name="AutoShape 1528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0322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1527</xdr:row>
      <xdr:rowOff>0</xdr:rowOff>
    </xdr:from>
    <xdr:to>
      <xdr:col>4</xdr:col>
      <xdr:colOff>304800</xdr:colOff>
      <xdr:row>1528</xdr:row>
      <xdr:rowOff>114300</xdr:rowOff>
    </xdr:to>
    <xdr:sp macro="" textlink="">
      <xdr:nvSpPr>
        <xdr:cNvPr id="4601" name="AutoShape 1529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090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1527</xdr:row>
      <xdr:rowOff>0</xdr:rowOff>
    </xdr:from>
    <xdr:to>
      <xdr:col>5</xdr:col>
      <xdr:colOff>304800</xdr:colOff>
      <xdr:row>1528</xdr:row>
      <xdr:rowOff>114300</xdr:rowOff>
    </xdr:to>
    <xdr:sp macro="" textlink="">
      <xdr:nvSpPr>
        <xdr:cNvPr id="4602" name="AutoShape 1530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090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1529</xdr:row>
      <xdr:rowOff>0</xdr:rowOff>
    </xdr:from>
    <xdr:to>
      <xdr:col>4</xdr:col>
      <xdr:colOff>304800</xdr:colOff>
      <xdr:row>1530</xdr:row>
      <xdr:rowOff>114300</xdr:rowOff>
    </xdr:to>
    <xdr:sp macro="" textlink="">
      <xdr:nvSpPr>
        <xdr:cNvPr id="4603" name="AutoShape 1531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148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1529</xdr:row>
      <xdr:rowOff>0</xdr:rowOff>
    </xdr:from>
    <xdr:to>
      <xdr:col>5</xdr:col>
      <xdr:colOff>304800</xdr:colOff>
      <xdr:row>1530</xdr:row>
      <xdr:rowOff>114300</xdr:rowOff>
    </xdr:to>
    <xdr:sp macro="" textlink="">
      <xdr:nvSpPr>
        <xdr:cNvPr id="4604" name="AutoShape 1532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148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1531</xdr:row>
      <xdr:rowOff>0</xdr:rowOff>
    </xdr:from>
    <xdr:to>
      <xdr:col>4</xdr:col>
      <xdr:colOff>304800</xdr:colOff>
      <xdr:row>1532</xdr:row>
      <xdr:rowOff>114300</xdr:rowOff>
    </xdr:to>
    <xdr:sp macro="" textlink="">
      <xdr:nvSpPr>
        <xdr:cNvPr id="4605" name="AutoShape 1533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206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1531</xdr:row>
      <xdr:rowOff>0</xdr:rowOff>
    </xdr:from>
    <xdr:to>
      <xdr:col>5</xdr:col>
      <xdr:colOff>304800</xdr:colOff>
      <xdr:row>1532</xdr:row>
      <xdr:rowOff>114300</xdr:rowOff>
    </xdr:to>
    <xdr:sp macro="" textlink="">
      <xdr:nvSpPr>
        <xdr:cNvPr id="4606" name="AutoShape 1534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206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1533</xdr:row>
      <xdr:rowOff>0</xdr:rowOff>
    </xdr:from>
    <xdr:to>
      <xdr:col>4</xdr:col>
      <xdr:colOff>304800</xdr:colOff>
      <xdr:row>1534</xdr:row>
      <xdr:rowOff>76200</xdr:rowOff>
    </xdr:to>
    <xdr:sp macro="" textlink="">
      <xdr:nvSpPr>
        <xdr:cNvPr id="4607" name="AutoShape 1535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264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1533</xdr:row>
      <xdr:rowOff>0</xdr:rowOff>
    </xdr:from>
    <xdr:to>
      <xdr:col>5</xdr:col>
      <xdr:colOff>304800</xdr:colOff>
      <xdr:row>1534</xdr:row>
      <xdr:rowOff>76200</xdr:rowOff>
    </xdr:to>
    <xdr:sp macro="" textlink="">
      <xdr:nvSpPr>
        <xdr:cNvPr id="4608" name="AutoShape 1536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264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1535</xdr:row>
      <xdr:rowOff>0</xdr:rowOff>
    </xdr:from>
    <xdr:to>
      <xdr:col>4</xdr:col>
      <xdr:colOff>304800</xdr:colOff>
      <xdr:row>1536</xdr:row>
      <xdr:rowOff>114300</xdr:rowOff>
    </xdr:to>
    <xdr:sp macro="" textlink="">
      <xdr:nvSpPr>
        <xdr:cNvPr id="4609" name="AutoShape 1537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307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1535</xdr:row>
      <xdr:rowOff>0</xdr:rowOff>
    </xdr:from>
    <xdr:to>
      <xdr:col>5</xdr:col>
      <xdr:colOff>304800</xdr:colOff>
      <xdr:row>1536</xdr:row>
      <xdr:rowOff>114300</xdr:rowOff>
    </xdr:to>
    <xdr:sp macro="" textlink="">
      <xdr:nvSpPr>
        <xdr:cNvPr id="4610" name="AutoShape 1538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307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1537</xdr:row>
      <xdr:rowOff>0</xdr:rowOff>
    </xdr:from>
    <xdr:to>
      <xdr:col>4</xdr:col>
      <xdr:colOff>304800</xdr:colOff>
      <xdr:row>1538</xdr:row>
      <xdr:rowOff>114300</xdr:rowOff>
    </xdr:to>
    <xdr:sp macro="" textlink="">
      <xdr:nvSpPr>
        <xdr:cNvPr id="4611" name="AutoShape 1539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3656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1537</xdr:row>
      <xdr:rowOff>0</xdr:rowOff>
    </xdr:from>
    <xdr:to>
      <xdr:col>5</xdr:col>
      <xdr:colOff>304800</xdr:colOff>
      <xdr:row>1538</xdr:row>
      <xdr:rowOff>114300</xdr:rowOff>
    </xdr:to>
    <xdr:sp macro="" textlink="">
      <xdr:nvSpPr>
        <xdr:cNvPr id="4612" name="AutoShape 1540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3656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1539</xdr:row>
      <xdr:rowOff>0</xdr:rowOff>
    </xdr:from>
    <xdr:to>
      <xdr:col>4</xdr:col>
      <xdr:colOff>304800</xdr:colOff>
      <xdr:row>1540</xdr:row>
      <xdr:rowOff>114300</xdr:rowOff>
    </xdr:to>
    <xdr:sp macro="" textlink="">
      <xdr:nvSpPr>
        <xdr:cNvPr id="4613" name="AutoShape 1541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423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1539</xdr:row>
      <xdr:rowOff>0</xdr:rowOff>
    </xdr:from>
    <xdr:to>
      <xdr:col>5</xdr:col>
      <xdr:colOff>304800</xdr:colOff>
      <xdr:row>1540</xdr:row>
      <xdr:rowOff>114300</xdr:rowOff>
    </xdr:to>
    <xdr:sp macro="" textlink="">
      <xdr:nvSpPr>
        <xdr:cNvPr id="4614" name="AutoShape 1542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423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1541</xdr:row>
      <xdr:rowOff>0</xdr:rowOff>
    </xdr:from>
    <xdr:to>
      <xdr:col>4</xdr:col>
      <xdr:colOff>304800</xdr:colOff>
      <xdr:row>1542</xdr:row>
      <xdr:rowOff>114300</xdr:rowOff>
    </xdr:to>
    <xdr:sp macro="" textlink="">
      <xdr:nvSpPr>
        <xdr:cNvPr id="4615" name="AutoShape 1543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4818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1541</xdr:row>
      <xdr:rowOff>0</xdr:rowOff>
    </xdr:from>
    <xdr:to>
      <xdr:col>5</xdr:col>
      <xdr:colOff>304800</xdr:colOff>
      <xdr:row>1542</xdr:row>
      <xdr:rowOff>114300</xdr:rowOff>
    </xdr:to>
    <xdr:sp macro="" textlink="">
      <xdr:nvSpPr>
        <xdr:cNvPr id="4616" name="AutoShape 1544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4818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1543</xdr:row>
      <xdr:rowOff>0</xdr:rowOff>
    </xdr:from>
    <xdr:to>
      <xdr:col>4</xdr:col>
      <xdr:colOff>304800</xdr:colOff>
      <xdr:row>1544</xdr:row>
      <xdr:rowOff>114300</xdr:rowOff>
    </xdr:to>
    <xdr:sp macro="" textlink="">
      <xdr:nvSpPr>
        <xdr:cNvPr id="4617" name="AutoShape 1545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539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1543</xdr:row>
      <xdr:rowOff>0</xdr:rowOff>
    </xdr:from>
    <xdr:to>
      <xdr:col>5</xdr:col>
      <xdr:colOff>304800</xdr:colOff>
      <xdr:row>1544</xdr:row>
      <xdr:rowOff>114300</xdr:rowOff>
    </xdr:to>
    <xdr:sp macro="" textlink="">
      <xdr:nvSpPr>
        <xdr:cNvPr id="4618" name="AutoShape 1546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539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1545</xdr:row>
      <xdr:rowOff>0</xdr:rowOff>
    </xdr:from>
    <xdr:to>
      <xdr:col>4</xdr:col>
      <xdr:colOff>304800</xdr:colOff>
      <xdr:row>1546</xdr:row>
      <xdr:rowOff>114300</xdr:rowOff>
    </xdr:to>
    <xdr:sp macro="" textlink="">
      <xdr:nvSpPr>
        <xdr:cNvPr id="4619" name="AutoShape 1547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598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1545</xdr:row>
      <xdr:rowOff>0</xdr:rowOff>
    </xdr:from>
    <xdr:to>
      <xdr:col>5</xdr:col>
      <xdr:colOff>304800</xdr:colOff>
      <xdr:row>1546</xdr:row>
      <xdr:rowOff>114300</xdr:rowOff>
    </xdr:to>
    <xdr:sp macro="" textlink="">
      <xdr:nvSpPr>
        <xdr:cNvPr id="4620" name="AutoShape 1548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598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1547</xdr:row>
      <xdr:rowOff>0</xdr:rowOff>
    </xdr:from>
    <xdr:to>
      <xdr:col>4</xdr:col>
      <xdr:colOff>304800</xdr:colOff>
      <xdr:row>1548</xdr:row>
      <xdr:rowOff>114300</xdr:rowOff>
    </xdr:to>
    <xdr:sp macro="" textlink="">
      <xdr:nvSpPr>
        <xdr:cNvPr id="4621" name="AutoShape 1549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656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1547</xdr:row>
      <xdr:rowOff>0</xdr:rowOff>
    </xdr:from>
    <xdr:to>
      <xdr:col>5</xdr:col>
      <xdr:colOff>304800</xdr:colOff>
      <xdr:row>1548</xdr:row>
      <xdr:rowOff>114300</xdr:rowOff>
    </xdr:to>
    <xdr:sp macro="" textlink="">
      <xdr:nvSpPr>
        <xdr:cNvPr id="4622" name="AutoShape 1550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656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1549</xdr:row>
      <xdr:rowOff>0</xdr:rowOff>
    </xdr:from>
    <xdr:to>
      <xdr:col>4</xdr:col>
      <xdr:colOff>304800</xdr:colOff>
      <xdr:row>1550</xdr:row>
      <xdr:rowOff>114300</xdr:rowOff>
    </xdr:to>
    <xdr:sp macro="" textlink="">
      <xdr:nvSpPr>
        <xdr:cNvPr id="4623" name="AutoShape 1551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714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1549</xdr:row>
      <xdr:rowOff>0</xdr:rowOff>
    </xdr:from>
    <xdr:to>
      <xdr:col>5</xdr:col>
      <xdr:colOff>304800</xdr:colOff>
      <xdr:row>1550</xdr:row>
      <xdr:rowOff>114300</xdr:rowOff>
    </xdr:to>
    <xdr:sp macro="" textlink="">
      <xdr:nvSpPr>
        <xdr:cNvPr id="4624" name="AutoShape 1552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714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1551</xdr:row>
      <xdr:rowOff>0</xdr:rowOff>
    </xdr:from>
    <xdr:to>
      <xdr:col>4</xdr:col>
      <xdr:colOff>304800</xdr:colOff>
      <xdr:row>1552</xdr:row>
      <xdr:rowOff>114300</xdr:rowOff>
    </xdr:to>
    <xdr:sp macro="" textlink="">
      <xdr:nvSpPr>
        <xdr:cNvPr id="4625" name="AutoShape 1553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772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1551</xdr:row>
      <xdr:rowOff>0</xdr:rowOff>
    </xdr:from>
    <xdr:to>
      <xdr:col>5</xdr:col>
      <xdr:colOff>304800</xdr:colOff>
      <xdr:row>1552</xdr:row>
      <xdr:rowOff>114300</xdr:rowOff>
    </xdr:to>
    <xdr:sp macro="" textlink="">
      <xdr:nvSpPr>
        <xdr:cNvPr id="4626" name="AutoShape 1554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772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1553</xdr:row>
      <xdr:rowOff>0</xdr:rowOff>
    </xdr:from>
    <xdr:to>
      <xdr:col>4</xdr:col>
      <xdr:colOff>304800</xdr:colOff>
      <xdr:row>1554</xdr:row>
      <xdr:rowOff>76200</xdr:rowOff>
    </xdr:to>
    <xdr:sp macro="" textlink="">
      <xdr:nvSpPr>
        <xdr:cNvPr id="4627" name="AutoShape 1555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830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1553</xdr:row>
      <xdr:rowOff>0</xdr:rowOff>
    </xdr:from>
    <xdr:to>
      <xdr:col>5</xdr:col>
      <xdr:colOff>304800</xdr:colOff>
      <xdr:row>1554</xdr:row>
      <xdr:rowOff>76200</xdr:rowOff>
    </xdr:to>
    <xdr:sp macro="" textlink="">
      <xdr:nvSpPr>
        <xdr:cNvPr id="4628" name="AutoShape 1556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830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1555</xdr:row>
      <xdr:rowOff>0</xdr:rowOff>
    </xdr:from>
    <xdr:to>
      <xdr:col>4</xdr:col>
      <xdr:colOff>304800</xdr:colOff>
      <xdr:row>1556</xdr:row>
      <xdr:rowOff>114300</xdr:rowOff>
    </xdr:to>
    <xdr:sp macro="" textlink="">
      <xdr:nvSpPr>
        <xdr:cNvPr id="4629" name="AutoShape 1557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8733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1555</xdr:row>
      <xdr:rowOff>0</xdr:rowOff>
    </xdr:from>
    <xdr:to>
      <xdr:col>5</xdr:col>
      <xdr:colOff>304800</xdr:colOff>
      <xdr:row>1556</xdr:row>
      <xdr:rowOff>114300</xdr:rowOff>
    </xdr:to>
    <xdr:sp macro="" textlink="">
      <xdr:nvSpPr>
        <xdr:cNvPr id="4630" name="AutoShape 1558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8733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1557</xdr:row>
      <xdr:rowOff>0</xdr:rowOff>
    </xdr:from>
    <xdr:to>
      <xdr:col>4</xdr:col>
      <xdr:colOff>304800</xdr:colOff>
      <xdr:row>1558</xdr:row>
      <xdr:rowOff>114300</xdr:rowOff>
    </xdr:to>
    <xdr:sp macro="" textlink="">
      <xdr:nvSpPr>
        <xdr:cNvPr id="4631" name="AutoShape 1559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9314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1557</xdr:row>
      <xdr:rowOff>0</xdr:rowOff>
    </xdr:from>
    <xdr:to>
      <xdr:col>5</xdr:col>
      <xdr:colOff>304800</xdr:colOff>
      <xdr:row>1558</xdr:row>
      <xdr:rowOff>114300</xdr:rowOff>
    </xdr:to>
    <xdr:sp macro="" textlink="">
      <xdr:nvSpPr>
        <xdr:cNvPr id="4632" name="AutoShape 1560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9314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1559</xdr:row>
      <xdr:rowOff>0</xdr:rowOff>
    </xdr:from>
    <xdr:to>
      <xdr:col>4</xdr:col>
      <xdr:colOff>304800</xdr:colOff>
      <xdr:row>1560</xdr:row>
      <xdr:rowOff>76200</xdr:rowOff>
    </xdr:to>
    <xdr:sp macro="" textlink="">
      <xdr:nvSpPr>
        <xdr:cNvPr id="4633" name="AutoShape 1561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9895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1559</xdr:row>
      <xdr:rowOff>0</xdr:rowOff>
    </xdr:from>
    <xdr:to>
      <xdr:col>5</xdr:col>
      <xdr:colOff>304800</xdr:colOff>
      <xdr:row>1560</xdr:row>
      <xdr:rowOff>76200</xdr:rowOff>
    </xdr:to>
    <xdr:sp macro="" textlink="">
      <xdr:nvSpPr>
        <xdr:cNvPr id="4634" name="AutoShape 1562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9895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1561</xdr:row>
      <xdr:rowOff>0</xdr:rowOff>
    </xdr:from>
    <xdr:to>
      <xdr:col>4</xdr:col>
      <xdr:colOff>304800</xdr:colOff>
      <xdr:row>1562</xdr:row>
      <xdr:rowOff>114300</xdr:rowOff>
    </xdr:to>
    <xdr:sp macro="" textlink="">
      <xdr:nvSpPr>
        <xdr:cNvPr id="4635" name="AutoShape 1563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032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1561</xdr:row>
      <xdr:rowOff>0</xdr:rowOff>
    </xdr:from>
    <xdr:to>
      <xdr:col>5</xdr:col>
      <xdr:colOff>304800</xdr:colOff>
      <xdr:row>1562</xdr:row>
      <xdr:rowOff>114300</xdr:rowOff>
    </xdr:to>
    <xdr:sp macro="" textlink="">
      <xdr:nvSpPr>
        <xdr:cNvPr id="4636" name="AutoShape 1564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032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1563</xdr:row>
      <xdr:rowOff>0</xdr:rowOff>
    </xdr:from>
    <xdr:to>
      <xdr:col>4</xdr:col>
      <xdr:colOff>304800</xdr:colOff>
      <xdr:row>1564</xdr:row>
      <xdr:rowOff>114300</xdr:rowOff>
    </xdr:to>
    <xdr:sp macro="" textlink="">
      <xdr:nvSpPr>
        <xdr:cNvPr id="4637" name="AutoShape 156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090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1563</xdr:row>
      <xdr:rowOff>0</xdr:rowOff>
    </xdr:from>
    <xdr:to>
      <xdr:col>5</xdr:col>
      <xdr:colOff>304800</xdr:colOff>
      <xdr:row>1564</xdr:row>
      <xdr:rowOff>114300</xdr:rowOff>
    </xdr:to>
    <xdr:sp macro="" textlink="">
      <xdr:nvSpPr>
        <xdr:cNvPr id="4638" name="AutoShape 1566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090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1565</xdr:row>
      <xdr:rowOff>0</xdr:rowOff>
    </xdr:from>
    <xdr:to>
      <xdr:col>4</xdr:col>
      <xdr:colOff>304800</xdr:colOff>
      <xdr:row>1566</xdr:row>
      <xdr:rowOff>114300</xdr:rowOff>
    </xdr:to>
    <xdr:sp macro="" textlink="">
      <xdr:nvSpPr>
        <xdr:cNvPr id="4639" name="AutoShape 1567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129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1565</xdr:row>
      <xdr:rowOff>0</xdr:rowOff>
    </xdr:from>
    <xdr:to>
      <xdr:col>5</xdr:col>
      <xdr:colOff>304800</xdr:colOff>
      <xdr:row>1566</xdr:row>
      <xdr:rowOff>114300</xdr:rowOff>
    </xdr:to>
    <xdr:sp macro="" textlink="">
      <xdr:nvSpPr>
        <xdr:cNvPr id="4640" name="AutoShape 1568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129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1567</xdr:row>
      <xdr:rowOff>0</xdr:rowOff>
    </xdr:from>
    <xdr:to>
      <xdr:col>4</xdr:col>
      <xdr:colOff>304800</xdr:colOff>
      <xdr:row>1568</xdr:row>
      <xdr:rowOff>76200</xdr:rowOff>
    </xdr:to>
    <xdr:sp macro="" textlink="">
      <xdr:nvSpPr>
        <xdr:cNvPr id="4641" name="AutoShape 156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187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1567</xdr:row>
      <xdr:rowOff>0</xdr:rowOff>
    </xdr:from>
    <xdr:to>
      <xdr:col>5</xdr:col>
      <xdr:colOff>304800</xdr:colOff>
      <xdr:row>1568</xdr:row>
      <xdr:rowOff>76200</xdr:rowOff>
    </xdr:to>
    <xdr:sp macro="" textlink="">
      <xdr:nvSpPr>
        <xdr:cNvPr id="4642" name="AutoShape 1570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187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1569</xdr:row>
      <xdr:rowOff>0</xdr:rowOff>
    </xdr:from>
    <xdr:to>
      <xdr:col>4</xdr:col>
      <xdr:colOff>304800</xdr:colOff>
      <xdr:row>1570</xdr:row>
      <xdr:rowOff>76200</xdr:rowOff>
    </xdr:to>
    <xdr:sp macro="" textlink="">
      <xdr:nvSpPr>
        <xdr:cNvPr id="4643" name="AutoShape 1571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230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1569</xdr:row>
      <xdr:rowOff>0</xdr:rowOff>
    </xdr:from>
    <xdr:to>
      <xdr:col>5</xdr:col>
      <xdr:colOff>304800</xdr:colOff>
      <xdr:row>1570</xdr:row>
      <xdr:rowOff>76200</xdr:rowOff>
    </xdr:to>
    <xdr:sp macro="" textlink="">
      <xdr:nvSpPr>
        <xdr:cNvPr id="4644" name="AutoShape 157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230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1571</xdr:row>
      <xdr:rowOff>0</xdr:rowOff>
    </xdr:from>
    <xdr:to>
      <xdr:col>4</xdr:col>
      <xdr:colOff>304800</xdr:colOff>
      <xdr:row>1572</xdr:row>
      <xdr:rowOff>76200</xdr:rowOff>
    </xdr:to>
    <xdr:sp macro="" textlink="">
      <xdr:nvSpPr>
        <xdr:cNvPr id="4645" name="AutoShape 1573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273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1571</xdr:row>
      <xdr:rowOff>0</xdr:rowOff>
    </xdr:from>
    <xdr:to>
      <xdr:col>5</xdr:col>
      <xdr:colOff>304800</xdr:colOff>
      <xdr:row>1572</xdr:row>
      <xdr:rowOff>76200</xdr:rowOff>
    </xdr:to>
    <xdr:sp macro="" textlink="">
      <xdr:nvSpPr>
        <xdr:cNvPr id="4646" name="AutoShape 1574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273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1573</xdr:row>
      <xdr:rowOff>0</xdr:rowOff>
    </xdr:from>
    <xdr:to>
      <xdr:col>4</xdr:col>
      <xdr:colOff>304800</xdr:colOff>
      <xdr:row>1574</xdr:row>
      <xdr:rowOff>114300</xdr:rowOff>
    </xdr:to>
    <xdr:sp macro="" textlink="">
      <xdr:nvSpPr>
        <xdr:cNvPr id="4647" name="AutoShape 1575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3162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1573</xdr:row>
      <xdr:rowOff>0</xdr:rowOff>
    </xdr:from>
    <xdr:to>
      <xdr:col>5</xdr:col>
      <xdr:colOff>304800</xdr:colOff>
      <xdr:row>1574</xdr:row>
      <xdr:rowOff>114300</xdr:rowOff>
    </xdr:to>
    <xdr:sp macro="" textlink="">
      <xdr:nvSpPr>
        <xdr:cNvPr id="4648" name="AutoShape 1576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3162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1575</xdr:row>
      <xdr:rowOff>0</xdr:rowOff>
    </xdr:from>
    <xdr:to>
      <xdr:col>4</xdr:col>
      <xdr:colOff>304800</xdr:colOff>
      <xdr:row>1576</xdr:row>
      <xdr:rowOff>114300</xdr:rowOff>
    </xdr:to>
    <xdr:sp macro="" textlink="">
      <xdr:nvSpPr>
        <xdr:cNvPr id="4649" name="AutoShape 1577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374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1575</xdr:row>
      <xdr:rowOff>0</xdr:rowOff>
    </xdr:from>
    <xdr:to>
      <xdr:col>5</xdr:col>
      <xdr:colOff>304800</xdr:colOff>
      <xdr:row>1576</xdr:row>
      <xdr:rowOff>114300</xdr:rowOff>
    </xdr:to>
    <xdr:sp macro="" textlink="">
      <xdr:nvSpPr>
        <xdr:cNvPr id="4650" name="AutoShape 1578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374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1577</xdr:row>
      <xdr:rowOff>0</xdr:rowOff>
    </xdr:from>
    <xdr:to>
      <xdr:col>4</xdr:col>
      <xdr:colOff>304800</xdr:colOff>
      <xdr:row>1578</xdr:row>
      <xdr:rowOff>114300</xdr:rowOff>
    </xdr:to>
    <xdr:sp macro="" textlink="">
      <xdr:nvSpPr>
        <xdr:cNvPr id="4651" name="AutoShape 1579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432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1577</xdr:row>
      <xdr:rowOff>0</xdr:rowOff>
    </xdr:from>
    <xdr:to>
      <xdr:col>5</xdr:col>
      <xdr:colOff>304800</xdr:colOff>
      <xdr:row>1578</xdr:row>
      <xdr:rowOff>114300</xdr:rowOff>
    </xdr:to>
    <xdr:sp macro="" textlink="">
      <xdr:nvSpPr>
        <xdr:cNvPr id="4652" name="AutoShape 1580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432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1579</xdr:row>
      <xdr:rowOff>0</xdr:rowOff>
    </xdr:from>
    <xdr:to>
      <xdr:col>4</xdr:col>
      <xdr:colOff>304800</xdr:colOff>
      <xdr:row>1580</xdr:row>
      <xdr:rowOff>114300</xdr:rowOff>
    </xdr:to>
    <xdr:sp macro="" textlink="">
      <xdr:nvSpPr>
        <xdr:cNvPr id="4653" name="AutoShape 1581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4905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1579</xdr:row>
      <xdr:rowOff>0</xdr:rowOff>
    </xdr:from>
    <xdr:to>
      <xdr:col>5</xdr:col>
      <xdr:colOff>304800</xdr:colOff>
      <xdr:row>1580</xdr:row>
      <xdr:rowOff>114300</xdr:rowOff>
    </xdr:to>
    <xdr:sp macro="" textlink="">
      <xdr:nvSpPr>
        <xdr:cNvPr id="4654" name="AutoShape 1582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4905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1581</xdr:row>
      <xdr:rowOff>0</xdr:rowOff>
    </xdr:from>
    <xdr:to>
      <xdr:col>4</xdr:col>
      <xdr:colOff>304800</xdr:colOff>
      <xdr:row>1582</xdr:row>
      <xdr:rowOff>114300</xdr:rowOff>
    </xdr:to>
    <xdr:sp macro="" textlink="">
      <xdr:nvSpPr>
        <xdr:cNvPr id="4655" name="AutoShape 1583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5486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1581</xdr:row>
      <xdr:rowOff>0</xdr:rowOff>
    </xdr:from>
    <xdr:to>
      <xdr:col>5</xdr:col>
      <xdr:colOff>304800</xdr:colOff>
      <xdr:row>1582</xdr:row>
      <xdr:rowOff>114300</xdr:rowOff>
    </xdr:to>
    <xdr:sp macro="" textlink="">
      <xdr:nvSpPr>
        <xdr:cNvPr id="4656" name="AutoShape 158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5486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1583</xdr:row>
      <xdr:rowOff>0</xdr:rowOff>
    </xdr:from>
    <xdr:to>
      <xdr:col>4</xdr:col>
      <xdr:colOff>304800</xdr:colOff>
      <xdr:row>1584</xdr:row>
      <xdr:rowOff>76200</xdr:rowOff>
    </xdr:to>
    <xdr:sp macro="" textlink="">
      <xdr:nvSpPr>
        <xdr:cNvPr id="4657" name="AutoShape 1585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606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1583</xdr:row>
      <xdr:rowOff>0</xdr:rowOff>
    </xdr:from>
    <xdr:to>
      <xdr:col>5</xdr:col>
      <xdr:colOff>304800</xdr:colOff>
      <xdr:row>1584</xdr:row>
      <xdr:rowOff>76200</xdr:rowOff>
    </xdr:to>
    <xdr:sp macro="" textlink="">
      <xdr:nvSpPr>
        <xdr:cNvPr id="4658" name="AutoShape 1586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606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1585</xdr:row>
      <xdr:rowOff>0</xdr:rowOff>
    </xdr:from>
    <xdr:to>
      <xdr:col>4</xdr:col>
      <xdr:colOff>304800</xdr:colOff>
      <xdr:row>1586</xdr:row>
      <xdr:rowOff>114300</xdr:rowOff>
    </xdr:to>
    <xdr:sp macro="" textlink="">
      <xdr:nvSpPr>
        <xdr:cNvPr id="4659" name="AutoShape 1587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649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1585</xdr:row>
      <xdr:rowOff>0</xdr:rowOff>
    </xdr:from>
    <xdr:to>
      <xdr:col>5</xdr:col>
      <xdr:colOff>304800</xdr:colOff>
      <xdr:row>1586</xdr:row>
      <xdr:rowOff>114300</xdr:rowOff>
    </xdr:to>
    <xdr:sp macro="" textlink="">
      <xdr:nvSpPr>
        <xdr:cNvPr id="4660" name="AutoShape 1588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649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1587</xdr:row>
      <xdr:rowOff>0</xdr:rowOff>
    </xdr:from>
    <xdr:to>
      <xdr:col>4</xdr:col>
      <xdr:colOff>304800</xdr:colOff>
      <xdr:row>1588</xdr:row>
      <xdr:rowOff>114300</xdr:rowOff>
    </xdr:to>
    <xdr:sp macro="" textlink="">
      <xdr:nvSpPr>
        <xdr:cNvPr id="4661" name="AutoShape 1589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707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1587</xdr:row>
      <xdr:rowOff>0</xdr:rowOff>
    </xdr:from>
    <xdr:to>
      <xdr:col>5</xdr:col>
      <xdr:colOff>304800</xdr:colOff>
      <xdr:row>1588</xdr:row>
      <xdr:rowOff>114300</xdr:rowOff>
    </xdr:to>
    <xdr:sp macro="" textlink="">
      <xdr:nvSpPr>
        <xdr:cNvPr id="4662" name="AutoShape 1590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707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1589</xdr:row>
      <xdr:rowOff>0</xdr:rowOff>
    </xdr:from>
    <xdr:to>
      <xdr:col>4</xdr:col>
      <xdr:colOff>304800</xdr:colOff>
      <xdr:row>1590</xdr:row>
      <xdr:rowOff>114300</xdr:rowOff>
    </xdr:to>
    <xdr:sp macro="" textlink="">
      <xdr:nvSpPr>
        <xdr:cNvPr id="4663" name="AutoShape 1591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765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1589</xdr:row>
      <xdr:rowOff>0</xdr:rowOff>
    </xdr:from>
    <xdr:to>
      <xdr:col>5</xdr:col>
      <xdr:colOff>304800</xdr:colOff>
      <xdr:row>1590</xdr:row>
      <xdr:rowOff>114300</xdr:rowOff>
    </xdr:to>
    <xdr:sp macro="" textlink="">
      <xdr:nvSpPr>
        <xdr:cNvPr id="4664" name="AutoShape 1592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765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1591</xdr:row>
      <xdr:rowOff>0</xdr:rowOff>
    </xdr:from>
    <xdr:to>
      <xdr:col>4</xdr:col>
      <xdr:colOff>304800</xdr:colOff>
      <xdr:row>1592</xdr:row>
      <xdr:rowOff>76200</xdr:rowOff>
    </xdr:to>
    <xdr:sp macro="" textlink="">
      <xdr:nvSpPr>
        <xdr:cNvPr id="4665" name="AutoShape 1593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823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1591</xdr:row>
      <xdr:rowOff>0</xdr:rowOff>
    </xdr:from>
    <xdr:to>
      <xdr:col>5</xdr:col>
      <xdr:colOff>304800</xdr:colOff>
      <xdr:row>1592</xdr:row>
      <xdr:rowOff>76200</xdr:rowOff>
    </xdr:to>
    <xdr:sp macro="" textlink="">
      <xdr:nvSpPr>
        <xdr:cNvPr id="4666" name="AutoShape 1594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823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1593</xdr:row>
      <xdr:rowOff>0</xdr:rowOff>
    </xdr:from>
    <xdr:to>
      <xdr:col>4</xdr:col>
      <xdr:colOff>304800</xdr:colOff>
      <xdr:row>1594</xdr:row>
      <xdr:rowOff>76200</xdr:rowOff>
    </xdr:to>
    <xdr:sp macro="" textlink="">
      <xdr:nvSpPr>
        <xdr:cNvPr id="4667" name="AutoShape 1595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8667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1593</xdr:row>
      <xdr:rowOff>0</xdr:rowOff>
    </xdr:from>
    <xdr:to>
      <xdr:col>5</xdr:col>
      <xdr:colOff>304800</xdr:colOff>
      <xdr:row>1594</xdr:row>
      <xdr:rowOff>76200</xdr:rowOff>
    </xdr:to>
    <xdr:sp macro="" textlink="">
      <xdr:nvSpPr>
        <xdr:cNvPr id="4668" name="AutoShape 1596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8667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1595</xdr:row>
      <xdr:rowOff>0</xdr:rowOff>
    </xdr:from>
    <xdr:to>
      <xdr:col>4</xdr:col>
      <xdr:colOff>304800</xdr:colOff>
      <xdr:row>1596</xdr:row>
      <xdr:rowOff>76200</xdr:rowOff>
    </xdr:to>
    <xdr:sp macro="" textlink="">
      <xdr:nvSpPr>
        <xdr:cNvPr id="4669" name="AutoShape 1597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9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1595</xdr:row>
      <xdr:rowOff>0</xdr:rowOff>
    </xdr:from>
    <xdr:to>
      <xdr:col>5</xdr:col>
      <xdr:colOff>304800</xdr:colOff>
      <xdr:row>1596</xdr:row>
      <xdr:rowOff>76200</xdr:rowOff>
    </xdr:to>
    <xdr:sp macro="" textlink="">
      <xdr:nvSpPr>
        <xdr:cNvPr id="4670" name="AutoShape 1598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9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1597</xdr:row>
      <xdr:rowOff>0</xdr:rowOff>
    </xdr:from>
    <xdr:to>
      <xdr:col>4</xdr:col>
      <xdr:colOff>304800</xdr:colOff>
      <xdr:row>1598</xdr:row>
      <xdr:rowOff>76200</xdr:rowOff>
    </xdr:to>
    <xdr:sp macro="" textlink="">
      <xdr:nvSpPr>
        <xdr:cNvPr id="4671" name="AutoShape 1599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952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1597</xdr:row>
      <xdr:rowOff>0</xdr:rowOff>
    </xdr:from>
    <xdr:to>
      <xdr:col>5</xdr:col>
      <xdr:colOff>304800</xdr:colOff>
      <xdr:row>1598</xdr:row>
      <xdr:rowOff>76200</xdr:rowOff>
    </xdr:to>
    <xdr:sp macro="" textlink="">
      <xdr:nvSpPr>
        <xdr:cNvPr id="4672" name="AutoShape 1600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952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1599</xdr:row>
      <xdr:rowOff>0</xdr:rowOff>
    </xdr:from>
    <xdr:to>
      <xdr:col>4</xdr:col>
      <xdr:colOff>304800</xdr:colOff>
      <xdr:row>1600</xdr:row>
      <xdr:rowOff>114300</xdr:rowOff>
    </xdr:to>
    <xdr:sp macro="" textlink="">
      <xdr:nvSpPr>
        <xdr:cNvPr id="4673" name="AutoShape 1601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995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1599</xdr:row>
      <xdr:rowOff>0</xdr:rowOff>
    </xdr:from>
    <xdr:to>
      <xdr:col>5</xdr:col>
      <xdr:colOff>304800</xdr:colOff>
      <xdr:row>1600</xdr:row>
      <xdr:rowOff>114300</xdr:rowOff>
    </xdr:to>
    <xdr:sp macro="" textlink="">
      <xdr:nvSpPr>
        <xdr:cNvPr id="4674" name="AutoShape 1602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995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1601</xdr:row>
      <xdr:rowOff>0</xdr:rowOff>
    </xdr:from>
    <xdr:to>
      <xdr:col>4</xdr:col>
      <xdr:colOff>304800</xdr:colOff>
      <xdr:row>1602</xdr:row>
      <xdr:rowOff>114300</xdr:rowOff>
    </xdr:to>
    <xdr:sp macro="" textlink="">
      <xdr:nvSpPr>
        <xdr:cNvPr id="4675" name="AutoShape 1603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072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1601</xdr:row>
      <xdr:rowOff>0</xdr:rowOff>
    </xdr:from>
    <xdr:to>
      <xdr:col>5</xdr:col>
      <xdr:colOff>304800</xdr:colOff>
      <xdr:row>1602</xdr:row>
      <xdr:rowOff>114300</xdr:rowOff>
    </xdr:to>
    <xdr:sp macro="" textlink="">
      <xdr:nvSpPr>
        <xdr:cNvPr id="4676" name="AutoShape 160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072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1603</xdr:row>
      <xdr:rowOff>0</xdr:rowOff>
    </xdr:from>
    <xdr:to>
      <xdr:col>4</xdr:col>
      <xdr:colOff>304800</xdr:colOff>
      <xdr:row>1604</xdr:row>
      <xdr:rowOff>114300</xdr:rowOff>
    </xdr:to>
    <xdr:sp macro="" textlink="">
      <xdr:nvSpPr>
        <xdr:cNvPr id="4677" name="AutoShape 1605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1306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1603</xdr:row>
      <xdr:rowOff>0</xdr:rowOff>
    </xdr:from>
    <xdr:to>
      <xdr:col>5</xdr:col>
      <xdr:colOff>304800</xdr:colOff>
      <xdr:row>1604</xdr:row>
      <xdr:rowOff>114300</xdr:rowOff>
    </xdr:to>
    <xdr:sp macro="" textlink="">
      <xdr:nvSpPr>
        <xdr:cNvPr id="4678" name="AutoShape 160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1306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1605</xdr:row>
      <xdr:rowOff>0</xdr:rowOff>
    </xdr:from>
    <xdr:to>
      <xdr:col>4</xdr:col>
      <xdr:colOff>304800</xdr:colOff>
      <xdr:row>1606</xdr:row>
      <xdr:rowOff>76200</xdr:rowOff>
    </xdr:to>
    <xdr:sp macro="" textlink="">
      <xdr:nvSpPr>
        <xdr:cNvPr id="4679" name="AutoShape 1607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1887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1605</xdr:row>
      <xdr:rowOff>0</xdr:rowOff>
    </xdr:from>
    <xdr:to>
      <xdr:col>5</xdr:col>
      <xdr:colOff>304800</xdr:colOff>
      <xdr:row>1606</xdr:row>
      <xdr:rowOff>76200</xdr:rowOff>
    </xdr:to>
    <xdr:sp macro="" textlink="">
      <xdr:nvSpPr>
        <xdr:cNvPr id="4680" name="AutoShape 1608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1887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1607</xdr:row>
      <xdr:rowOff>0</xdr:rowOff>
    </xdr:from>
    <xdr:to>
      <xdr:col>4</xdr:col>
      <xdr:colOff>304800</xdr:colOff>
      <xdr:row>1608</xdr:row>
      <xdr:rowOff>76200</xdr:rowOff>
    </xdr:to>
    <xdr:sp macro="" textlink="">
      <xdr:nvSpPr>
        <xdr:cNvPr id="4681" name="AutoShape 160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231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1607</xdr:row>
      <xdr:rowOff>0</xdr:rowOff>
    </xdr:from>
    <xdr:to>
      <xdr:col>5</xdr:col>
      <xdr:colOff>304800</xdr:colOff>
      <xdr:row>1608</xdr:row>
      <xdr:rowOff>76200</xdr:rowOff>
    </xdr:to>
    <xdr:sp macro="" textlink="">
      <xdr:nvSpPr>
        <xdr:cNvPr id="4682" name="AutoShape 1610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231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1609</xdr:row>
      <xdr:rowOff>0</xdr:rowOff>
    </xdr:from>
    <xdr:to>
      <xdr:col>4</xdr:col>
      <xdr:colOff>304800</xdr:colOff>
      <xdr:row>1610</xdr:row>
      <xdr:rowOff>114300</xdr:rowOff>
    </xdr:to>
    <xdr:sp macro="" textlink="">
      <xdr:nvSpPr>
        <xdr:cNvPr id="4683" name="AutoShape 1611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274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1609</xdr:row>
      <xdr:rowOff>0</xdr:rowOff>
    </xdr:from>
    <xdr:to>
      <xdr:col>5</xdr:col>
      <xdr:colOff>304800</xdr:colOff>
      <xdr:row>1610</xdr:row>
      <xdr:rowOff>114300</xdr:rowOff>
    </xdr:to>
    <xdr:sp macro="" textlink="">
      <xdr:nvSpPr>
        <xdr:cNvPr id="4684" name="AutoShape 1612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274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1611</xdr:row>
      <xdr:rowOff>0</xdr:rowOff>
    </xdr:from>
    <xdr:to>
      <xdr:col>4</xdr:col>
      <xdr:colOff>304800</xdr:colOff>
      <xdr:row>1612</xdr:row>
      <xdr:rowOff>114300</xdr:rowOff>
    </xdr:to>
    <xdr:sp macro="" textlink="">
      <xdr:nvSpPr>
        <xdr:cNvPr id="4685" name="AutoShape 1613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332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1611</xdr:row>
      <xdr:rowOff>0</xdr:rowOff>
    </xdr:from>
    <xdr:to>
      <xdr:col>5</xdr:col>
      <xdr:colOff>304800</xdr:colOff>
      <xdr:row>1612</xdr:row>
      <xdr:rowOff>114300</xdr:rowOff>
    </xdr:to>
    <xdr:sp macro="" textlink="">
      <xdr:nvSpPr>
        <xdr:cNvPr id="4686" name="AutoShape 161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332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1613</xdr:row>
      <xdr:rowOff>0</xdr:rowOff>
    </xdr:from>
    <xdr:to>
      <xdr:col>4</xdr:col>
      <xdr:colOff>304800</xdr:colOff>
      <xdr:row>1614</xdr:row>
      <xdr:rowOff>114300</xdr:rowOff>
    </xdr:to>
    <xdr:sp macro="" textlink="">
      <xdr:nvSpPr>
        <xdr:cNvPr id="4687" name="AutoShape 161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3906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1613</xdr:row>
      <xdr:rowOff>0</xdr:rowOff>
    </xdr:from>
    <xdr:to>
      <xdr:col>5</xdr:col>
      <xdr:colOff>304800</xdr:colOff>
      <xdr:row>1614</xdr:row>
      <xdr:rowOff>114300</xdr:rowOff>
    </xdr:to>
    <xdr:sp macro="" textlink="">
      <xdr:nvSpPr>
        <xdr:cNvPr id="4688" name="AutoShape 1616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3906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1615</xdr:row>
      <xdr:rowOff>0</xdr:rowOff>
    </xdr:from>
    <xdr:to>
      <xdr:col>4</xdr:col>
      <xdr:colOff>304800</xdr:colOff>
      <xdr:row>1616</xdr:row>
      <xdr:rowOff>114300</xdr:rowOff>
    </xdr:to>
    <xdr:sp macro="" textlink="">
      <xdr:nvSpPr>
        <xdr:cNvPr id="4689" name="AutoShape 1617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448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1615</xdr:row>
      <xdr:rowOff>0</xdr:rowOff>
    </xdr:from>
    <xdr:to>
      <xdr:col>5</xdr:col>
      <xdr:colOff>304800</xdr:colOff>
      <xdr:row>1616</xdr:row>
      <xdr:rowOff>114300</xdr:rowOff>
    </xdr:to>
    <xdr:sp macro="" textlink="">
      <xdr:nvSpPr>
        <xdr:cNvPr id="4690" name="AutoShape 161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448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1617</xdr:row>
      <xdr:rowOff>0</xdr:rowOff>
    </xdr:from>
    <xdr:to>
      <xdr:col>4</xdr:col>
      <xdr:colOff>304800</xdr:colOff>
      <xdr:row>1618</xdr:row>
      <xdr:rowOff>114300</xdr:rowOff>
    </xdr:to>
    <xdr:sp macro="" textlink="">
      <xdr:nvSpPr>
        <xdr:cNvPr id="4691" name="AutoShape 1619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506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1617</xdr:row>
      <xdr:rowOff>0</xdr:rowOff>
    </xdr:from>
    <xdr:to>
      <xdr:col>5</xdr:col>
      <xdr:colOff>304800</xdr:colOff>
      <xdr:row>1618</xdr:row>
      <xdr:rowOff>114300</xdr:rowOff>
    </xdr:to>
    <xdr:sp macro="" textlink="">
      <xdr:nvSpPr>
        <xdr:cNvPr id="4692" name="AutoShape 1620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506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1619</xdr:row>
      <xdr:rowOff>0</xdr:rowOff>
    </xdr:from>
    <xdr:to>
      <xdr:col>4</xdr:col>
      <xdr:colOff>304800</xdr:colOff>
      <xdr:row>1620</xdr:row>
      <xdr:rowOff>114300</xdr:rowOff>
    </xdr:to>
    <xdr:sp macro="" textlink="">
      <xdr:nvSpPr>
        <xdr:cNvPr id="4693" name="AutoShape 1621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5649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1619</xdr:row>
      <xdr:rowOff>0</xdr:rowOff>
    </xdr:from>
    <xdr:to>
      <xdr:col>5</xdr:col>
      <xdr:colOff>304800</xdr:colOff>
      <xdr:row>1620</xdr:row>
      <xdr:rowOff>114300</xdr:rowOff>
    </xdr:to>
    <xdr:sp macro="" textlink="">
      <xdr:nvSpPr>
        <xdr:cNvPr id="4694" name="AutoShape 1622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5649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1621</xdr:row>
      <xdr:rowOff>0</xdr:rowOff>
    </xdr:from>
    <xdr:to>
      <xdr:col>4</xdr:col>
      <xdr:colOff>304800</xdr:colOff>
      <xdr:row>1622</xdr:row>
      <xdr:rowOff>114300</xdr:rowOff>
    </xdr:to>
    <xdr:sp macro="" textlink="">
      <xdr:nvSpPr>
        <xdr:cNvPr id="4695" name="AutoShape 1623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642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1621</xdr:row>
      <xdr:rowOff>0</xdr:rowOff>
    </xdr:from>
    <xdr:to>
      <xdr:col>5</xdr:col>
      <xdr:colOff>304800</xdr:colOff>
      <xdr:row>1622</xdr:row>
      <xdr:rowOff>114300</xdr:rowOff>
    </xdr:to>
    <xdr:sp macro="" textlink="">
      <xdr:nvSpPr>
        <xdr:cNvPr id="4696" name="AutoShape 1624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642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1623</xdr:row>
      <xdr:rowOff>0</xdr:rowOff>
    </xdr:from>
    <xdr:to>
      <xdr:col>4</xdr:col>
      <xdr:colOff>304800</xdr:colOff>
      <xdr:row>1624</xdr:row>
      <xdr:rowOff>114300</xdr:rowOff>
    </xdr:to>
    <xdr:sp macro="" textlink="">
      <xdr:nvSpPr>
        <xdr:cNvPr id="4697" name="AutoShape 1625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700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1623</xdr:row>
      <xdr:rowOff>0</xdr:rowOff>
    </xdr:from>
    <xdr:to>
      <xdr:col>5</xdr:col>
      <xdr:colOff>304800</xdr:colOff>
      <xdr:row>1624</xdr:row>
      <xdr:rowOff>114300</xdr:rowOff>
    </xdr:to>
    <xdr:sp macro="" textlink="">
      <xdr:nvSpPr>
        <xdr:cNvPr id="4698" name="AutoShape 162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700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1625</xdr:row>
      <xdr:rowOff>0</xdr:rowOff>
    </xdr:from>
    <xdr:to>
      <xdr:col>4</xdr:col>
      <xdr:colOff>304800</xdr:colOff>
      <xdr:row>1626</xdr:row>
      <xdr:rowOff>114300</xdr:rowOff>
    </xdr:to>
    <xdr:sp macro="" textlink="">
      <xdr:nvSpPr>
        <xdr:cNvPr id="4699" name="AutoShape 1627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758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1625</xdr:row>
      <xdr:rowOff>0</xdr:rowOff>
    </xdr:from>
    <xdr:to>
      <xdr:col>5</xdr:col>
      <xdr:colOff>304800</xdr:colOff>
      <xdr:row>1626</xdr:row>
      <xdr:rowOff>114300</xdr:rowOff>
    </xdr:to>
    <xdr:sp macro="" textlink="">
      <xdr:nvSpPr>
        <xdr:cNvPr id="4700" name="AutoShape 162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758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1627</xdr:row>
      <xdr:rowOff>0</xdr:rowOff>
    </xdr:from>
    <xdr:to>
      <xdr:col>4</xdr:col>
      <xdr:colOff>304800</xdr:colOff>
      <xdr:row>1628</xdr:row>
      <xdr:rowOff>114300</xdr:rowOff>
    </xdr:to>
    <xdr:sp macro="" textlink="">
      <xdr:nvSpPr>
        <xdr:cNvPr id="4701" name="AutoShape 1629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816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1627</xdr:row>
      <xdr:rowOff>0</xdr:rowOff>
    </xdr:from>
    <xdr:to>
      <xdr:col>5</xdr:col>
      <xdr:colOff>304800</xdr:colOff>
      <xdr:row>1628</xdr:row>
      <xdr:rowOff>114300</xdr:rowOff>
    </xdr:to>
    <xdr:sp macro="" textlink="">
      <xdr:nvSpPr>
        <xdr:cNvPr id="4702" name="AutoShape 1630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816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1629</xdr:row>
      <xdr:rowOff>0</xdr:rowOff>
    </xdr:from>
    <xdr:to>
      <xdr:col>4</xdr:col>
      <xdr:colOff>304800</xdr:colOff>
      <xdr:row>1630</xdr:row>
      <xdr:rowOff>114300</xdr:rowOff>
    </xdr:to>
    <xdr:sp macro="" textlink="">
      <xdr:nvSpPr>
        <xdr:cNvPr id="4703" name="AutoShape 1631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874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1629</xdr:row>
      <xdr:rowOff>0</xdr:rowOff>
    </xdr:from>
    <xdr:to>
      <xdr:col>5</xdr:col>
      <xdr:colOff>304800</xdr:colOff>
      <xdr:row>1630</xdr:row>
      <xdr:rowOff>114300</xdr:rowOff>
    </xdr:to>
    <xdr:sp macro="" textlink="">
      <xdr:nvSpPr>
        <xdr:cNvPr id="4704" name="AutoShape 1632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874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1631</xdr:row>
      <xdr:rowOff>0</xdr:rowOff>
    </xdr:from>
    <xdr:to>
      <xdr:col>4</xdr:col>
      <xdr:colOff>304800</xdr:colOff>
      <xdr:row>1632</xdr:row>
      <xdr:rowOff>114300</xdr:rowOff>
    </xdr:to>
    <xdr:sp macro="" textlink="">
      <xdr:nvSpPr>
        <xdr:cNvPr id="4705" name="AutoShape 1633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932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1631</xdr:row>
      <xdr:rowOff>0</xdr:rowOff>
    </xdr:from>
    <xdr:to>
      <xdr:col>5</xdr:col>
      <xdr:colOff>304800</xdr:colOff>
      <xdr:row>1632</xdr:row>
      <xdr:rowOff>114300</xdr:rowOff>
    </xdr:to>
    <xdr:sp macro="" textlink="">
      <xdr:nvSpPr>
        <xdr:cNvPr id="4706" name="AutoShape 1634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932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1633</xdr:row>
      <xdr:rowOff>0</xdr:rowOff>
    </xdr:from>
    <xdr:to>
      <xdr:col>4</xdr:col>
      <xdr:colOff>304800</xdr:colOff>
      <xdr:row>1634</xdr:row>
      <xdr:rowOff>114300</xdr:rowOff>
    </xdr:to>
    <xdr:sp macro="" textlink="">
      <xdr:nvSpPr>
        <xdr:cNvPr id="4707" name="AutoShape 1635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9907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1633</xdr:row>
      <xdr:rowOff>0</xdr:rowOff>
    </xdr:from>
    <xdr:to>
      <xdr:col>5</xdr:col>
      <xdr:colOff>304800</xdr:colOff>
      <xdr:row>1634</xdr:row>
      <xdr:rowOff>114300</xdr:rowOff>
    </xdr:to>
    <xdr:sp macro="" textlink="">
      <xdr:nvSpPr>
        <xdr:cNvPr id="4708" name="AutoShape 1636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9907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1635</xdr:row>
      <xdr:rowOff>0</xdr:rowOff>
    </xdr:from>
    <xdr:to>
      <xdr:col>4</xdr:col>
      <xdr:colOff>304800</xdr:colOff>
      <xdr:row>1636</xdr:row>
      <xdr:rowOff>114300</xdr:rowOff>
    </xdr:to>
    <xdr:sp macro="" textlink="">
      <xdr:nvSpPr>
        <xdr:cNvPr id="4709" name="AutoShape 1637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048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1635</xdr:row>
      <xdr:rowOff>0</xdr:rowOff>
    </xdr:from>
    <xdr:to>
      <xdr:col>5</xdr:col>
      <xdr:colOff>304800</xdr:colOff>
      <xdr:row>1636</xdr:row>
      <xdr:rowOff>114300</xdr:rowOff>
    </xdr:to>
    <xdr:sp macro="" textlink="">
      <xdr:nvSpPr>
        <xdr:cNvPr id="4710" name="AutoShape 1638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048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1637</xdr:row>
      <xdr:rowOff>0</xdr:rowOff>
    </xdr:from>
    <xdr:to>
      <xdr:col>4</xdr:col>
      <xdr:colOff>304800</xdr:colOff>
      <xdr:row>1638</xdr:row>
      <xdr:rowOff>114300</xdr:rowOff>
    </xdr:to>
    <xdr:sp macro="" textlink="">
      <xdr:nvSpPr>
        <xdr:cNvPr id="4711" name="AutoShape 1639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106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1637</xdr:row>
      <xdr:rowOff>0</xdr:rowOff>
    </xdr:from>
    <xdr:to>
      <xdr:col>5</xdr:col>
      <xdr:colOff>304800</xdr:colOff>
      <xdr:row>1638</xdr:row>
      <xdr:rowOff>114300</xdr:rowOff>
    </xdr:to>
    <xdr:sp macro="" textlink="">
      <xdr:nvSpPr>
        <xdr:cNvPr id="4712" name="AutoShape 1640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106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1639</xdr:row>
      <xdr:rowOff>0</xdr:rowOff>
    </xdr:from>
    <xdr:to>
      <xdr:col>4</xdr:col>
      <xdr:colOff>304800</xdr:colOff>
      <xdr:row>1640</xdr:row>
      <xdr:rowOff>114300</xdr:rowOff>
    </xdr:to>
    <xdr:sp macro="" textlink="">
      <xdr:nvSpPr>
        <xdr:cNvPr id="4713" name="AutoShape 1641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165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1639</xdr:row>
      <xdr:rowOff>0</xdr:rowOff>
    </xdr:from>
    <xdr:to>
      <xdr:col>5</xdr:col>
      <xdr:colOff>304800</xdr:colOff>
      <xdr:row>1640</xdr:row>
      <xdr:rowOff>114300</xdr:rowOff>
    </xdr:to>
    <xdr:sp macro="" textlink="">
      <xdr:nvSpPr>
        <xdr:cNvPr id="4714" name="AutoShape 1642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165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1641</xdr:row>
      <xdr:rowOff>0</xdr:rowOff>
    </xdr:from>
    <xdr:to>
      <xdr:col>4</xdr:col>
      <xdr:colOff>304800</xdr:colOff>
      <xdr:row>1642</xdr:row>
      <xdr:rowOff>76200</xdr:rowOff>
    </xdr:to>
    <xdr:sp macro="" textlink="">
      <xdr:nvSpPr>
        <xdr:cNvPr id="4715" name="AutoShape 1643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223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1641</xdr:row>
      <xdr:rowOff>0</xdr:rowOff>
    </xdr:from>
    <xdr:to>
      <xdr:col>5</xdr:col>
      <xdr:colOff>304800</xdr:colOff>
      <xdr:row>1642</xdr:row>
      <xdr:rowOff>76200</xdr:rowOff>
    </xdr:to>
    <xdr:sp macro="" textlink="">
      <xdr:nvSpPr>
        <xdr:cNvPr id="4716" name="AutoShape 1644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223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1643</xdr:row>
      <xdr:rowOff>0</xdr:rowOff>
    </xdr:from>
    <xdr:to>
      <xdr:col>4</xdr:col>
      <xdr:colOff>304800</xdr:colOff>
      <xdr:row>1644</xdr:row>
      <xdr:rowOff>114300</xdr:rowOff>
    </xdr:to>
    <xdr:sp macro="" textlink="">
      <xdr:nvSpPr>
        <xdr:cNvPr id="4717" name="AutoShape 1645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265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1643</xdr:row>
      <xdr:rowOff>0</xdr:rowOff>
    </xdr:from>
    <xdr:to>
      <xdr:col>5</xdr:col>
      <xdr:colOff>304800</xdr:colOff>
      <xdr:row>1644</xdr:row>
      <xdr:rowOff>114300</xdr:rowOff>
    </xdr:to>
    <xdr:sp macro="" textlink="">
      <xdr:nvSpPr>
        <xdr:cNvPr id="4718" name="AutoShape 1646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265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1645</xdr:row>
      <xdr:rowOff>0</xdr:rowOff>
    </xdr:from>
    <xdr:to>
      <xdr:col>4</xdr:col>
      <xdr:colOff>304800</xdr:colOff>
      <xdr:row>1646</xdr:row>
      <xdr:rowOff>114300</xdr:rowOff>
    </xdr:to>
    <xdr:sp macro="" textlink="">
      <xdr:nvSpPr>
        <xdr:cNvPr id="4719" name="AutoShape 1647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3050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1645</xdr:row>
      <xdr:rowOff>0</xdr:rowOff>
    </xdr:from>
    <xdr:to>
      <xdr:col>5</xdr:col>
      <xdr:colOff>304800</xdr:colOff>
      <xdr:row>1646</xdr:row>
      <xdr:rowOff>114300</xdr:rowOff>
    </xdr:to>
    <xdr:sp macro="" textlink="">
      <xdr:nvSpPr>
        <xdr:cNvPr id="4720" name="AutoShape 1648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3050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1647</xdr:row>
      <xdr:rowOff>0</xdr:rowOff>
    </xdr:from>
    <xdr:to>
      <xdr:col>4</xdr:col>
      <xdr:colOff>304800</xdr:colOff>
      <xdr:row>1648</xdr:row>
      <xdr:rowOff>114300</xdr:rowOff>
    </xdr:to>
    <xdr:sp macro="" textlink="">
      <xdr:nvSpPr>
        <xdr:cNvPr id="4721" name="AutoShape 1649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363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1647</xdr:row>
      <xdr:rowOff>0</xdr:rowOff>
    </xdr:from>
    <xdr:to>
      <xdr:col>5</xdr:col>
      <xdr:colOff>304800</xdr:colOff>
      <xdr:row>1648</xdr:row>
      <xdr:rowOff>114300</xdr:rowOff>
    </xdr:to>
    <xdr:sp macro="" textlink="">
      <xdr:nvSpPr>
        <xdr:cNvPr id="4722" name="AutoShape 1650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363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1649</xdr:row>
      <xdr:rowOff>0</xdr:rowOff>
    </xdr:from>
    <xdr:to>
      <xdr:col>4</xdr:col>
      <xdr:colOff>304800</xdr:colOff>
      <xdr:row>1650</xdr:row>
      <xdr:rowOff>114300</xdr:rowOff>
    </xdr:to>
    <xdr:sp macro="" textlink="">
      <xdr:nvSpPr>
        <xdr:cNvPr id="4723" name="AutoShape 1651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4212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1649</xdr:row>
      <xdr:rowOff>0</xdr:rowOff>
    </xdr:from>
    <xdr:to>
      <xdr:col>5</xdr:col>
      <xdr:colOff>304800</xdr:colOff>
      <xdr:row>1650</xdr:row>
      <xdr:rowOff>114300</xdr:rowOff>
    </xdr:to>
    <xdr:sp macro="" textlink="">
      <xdr:nvSpPr>
        <xdr:cNvPr id="4724" name="AutoShape 1652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4212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1651</xdr:row>
      <xdr:rowOff>0</xdr:rowOff>
    </xdr:from>
    <xdr:to>
      <xdr:col>4</xdr:col>
      <xdr:colOff>304800</xdr:colOff>
      <xdr:row>1652</xdr:row>
      <xdr:rowOff>76200</xdr:rowOff>
    </xdr:to>
    <xdr:sp macro="" textlink="">
      <xdr:nvSpPr>
        <xdr:cNvPr id="4725" name="AutoShape 1653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479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1651</xdr:row>
      <xdr:rowOff>0</xdr:rowOff>
    </xdr:from>
    <xdr:to>
      <xdr:col>5</xdr:col>
      <xdr:colOff>304800</xdr:colOff>
      <xdr:row>1652</xdr:row>
      <xdr:rowOff>76200</xdr:rowOff>
    </xdr:to>
    <xdr:sp macro="" textlink="">
      <xdr:nvSpPr>
        <xdr:cNvPr id="4726" name="AutoShape 1654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479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1653</xdr:row>
      <xdr:rowOff>0</xdr:rowOff>
    </xdr:from>
    <xdr:to>
      <xdr:col>4</xdr:col>
      <xdr:colOff>304800</xdr:colOff>
      <xdr:row>1654</xdr:row>
      <xdr:rowOff>114300</xdr:rowOff>
    </xdr:to>
    <xdr:sp macro="" textlink="">
      <xdr:nvSpPr>
        <xdr:cNvPr id="4727" name="AutoShape 1655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522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1653</xdr:row>
      <xdr:rowOff>0</xdr:rowOff>
    </xdr:from>
    <xdr:to>
      <xdr:col>5</xdr:col>
      <xdr:colOff>304800</xdr:colOff>
      <xdr:row>1654</xdr:row>
      <xdr:rowOff>114300</xdr:rowOff>
    </xdr:to>
    <xdr:sp macro="" textlink="">
      <xdr:nvSpPr>
        <xdr:cNvPr id="4728" name="AutoShape 1656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522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1655</xdr:row>
      <xdr:rowOff>0</xdr:rowOff>
    </xdr:from>
    <xdr:to>
      <xdr:col>4</xdr:col>
      <xdr:colOff>304800</xdr:colOff>
      <xdr:row>1656</xdr:row>
      <xdr:rowOff>114300</xdr:rowOff>
    </xdr:to>
    <xdr:sp macro="" textlink="">
      <xdr:nvSpPr>
        <xdr:cNvPr id="4729" name="AutoShape 1657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599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1655</xdr:row>
      <xdr:rowOff>0</xdr:rowOff>
    </xdr:from>
    <xdr:to>
      <xdr:col>5</xdr:col>
      <xdr:colOff>304800</xdr:colOff>
      <xdr:row>1656</xdr:row>
      <xdr:rowOff>114300</xdr:rowOff>
    </xdr:to>
    <xdr:sp macro="" textlink="">
      <xdr:nvSpPr>
        <xdr:cNvPr id="4730" name="AutoShape 1658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599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1657</xdr:row>
      <xdr:rowOff>0</xdr:rowOff>
    </xdr:from>
    <xdr:to>
      <xdr:col>4</xdr:col>
      <xdr:colOff>304800</xdr:colOff>
      <xdr:row>1658</xdr:row>
      <xdr:rowOff>114300</xdr:rowOff>
    </xdr:to>
    <xdr:sp macro="" textlink="">
      <xdr:nvSpPr>
        <xdr:cNvPr id="4731" name="AutoShape 165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6574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1657</xdr:row>
      <xdr:rowOff>0</xdr:rowOff>
    </xdr:from>
    <xdr:to>
      <xdr:col>5</xdr:col>
      <xdr:colOff>304800</xdr:colOff>
      <xdr:row>1658</xdr:row>
      <xdr:rowOff>114300</xdr:rowOff>
    </xdr:to>
    <xdr:sp macro="" textlink="">
      <xdr:nvSpPr>
        <xdr:cNvPr id="4732" name="AutoShape 1660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6574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1659</xdr:row>
      <xdr:rowOff>0</xdr:rowOff>
    </xdr:from>
    <xdr:to>
      <xdr:col>4</xdr:col>
      <xdr:colOff>304800</xdr:colOff>
      <xdr:row>1660</xdr:row>
      <xdr:rowOff>114300</xdr:rowOff>
    </xdr:to>
    <xdr:sp macro="" textlink="">
      <xdr:nvSpPr>
        <xdr:cNvPr id="4733" name="AutoShape 1661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715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1659</xdr:row>
      <xdr:rowOff>0</xdr:rowOff>
    </xdr:from>
    <xdr:to>
      <xdr:col>5</xdr:col>
      <xdr:colOff>304800</xdr:colOff>
      <xdr:row>1660</xdr:row>
      <xdr:rowOff>114300</xdr:rowOff>
    </xdr:to>
    <xdr:sp macro="" textlink="">
      <xdr:nvSpPr>
        <xdr:cNvPr id="4734" name="AutoShape 1662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715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1661</xdr:row>
      <xdr:rowOff>0</xdr:rowOff>
    </xdr:from>
    <xdr:to>
      <xdr:col>4</xdr:col>
      <xdr:colOff>304800</xdr:colOff>
      <xdr:row>1662</xdr:row>
      <xdr:rowOff>114300</xdr:rowOff>
    </xdr:to>
    <xdr:sp macro="" textlink="">
      <xdr:nvSpPr>
        <xdr:cNvPr id="4735" name="AutoShape 1663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773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1661</xdr:row>
      <xdr:rowOff>0</xdr:rowOff>
    </xdr:from>
    <xdr:to>
      <xdr:col>5</xdr:col>
      <xdr:colOff>304800</xdr:colOff>
      <xdr:row>1662</xdr:row>
      <xdr:rowOff>114300</xdr:rowOff>
    </xdr:to>
    <xdr:sp macro="" textlink="">
      <xdr:nvSpPr>
        <xdr:cNvPr id="4736" name="AutoShape 1664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773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1663</xdr:row>
      <xdr:rowOff>0</xdr:rowOff>
    </xdr:from>
    <xdr:to>
      <xdr:col>4</xdr:col>
      <xdr:colOff>304800</xdr:colOff>
      <xdr:row>1664</xdr:row>
      <xdr:rowOff>114300</xdr:rowOff>
    </xdr:to>
    <xdr:sp macro="" textlink="">
      <xdr:nvSpPr>
        <xdr:cNvPr id="4737" name="AutoShape 1665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831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1663</xdr:row>
      <xdr:rowOff>0</xdr:rowOff>
    </xdr:from>
    <xdr:to>
      <xdr:col>5</xdr:col>
      <xdr:colOff>304800</xdr:colOff>
      <xdr:row>1664</xdr:row>
      <xdr:rowOff>114300</xdr:rowOff>
    </xdr:to>
    <xdr:sp macro="" textlink="">
      <xdr:nvSpPr>
        <xdr:cNvPr id="4738" name="AutoShape 1666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831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1665</xdr:row>
      <xdr:rowOff>0</xdr:rowOff>
    </xdr:from>
    <xdr:to>
      <xdr:col>4</xdr:col>
      <xdr:colOff>304800</xdr:colOff>
      <xdr:row>1666</xdr:row>
      <xdr:rowOff>114300</xdr:rowOff>
    </xdr:to>
    <xdr:sp macro="" textlink="">
      <xdr:nvSpPr>
        <xdr:cNvPr id="4739" name="AutoShape 1667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889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1665</xdr:row>
      <xdr:rowOff>0</xdr:rowOff>
    </xdr:from>
    <xdr:to>
      <xdr:col>5</xdr:col>
      <xdr:colOff>304800</xdr:colOff>
      <xdr:row>1666</xdr:row>
      <xdr:rowOff>114300</xdr:rowOff>
    </xdr:to>
    <xdr:sp macro="" textlink="">
      <xdr:nvSpPr>
        <xdr:cNvPr id="4740" name="AutoShape 1668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889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1667</xdr:row>
      <xdr:rowOff>0</xdr:rowOff>
    </xdr:from>
    <xdr:to>
      <xdr:col>4</xdr:col>
      <xdr:colOff>304800</xdr:colOff>
      <xdr:row>1668</xdr:row>
      <xdr:rowOff>114300</xdr:rowOff>
    </xdr:to>
    <xdr:sp macro="" textlink="">
      <xdr:nvSpPr>
        <xdr:cNvPr id="4741" name="AutoShape 1669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947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1667</xdr:row>
      <xdr:rowOff>0</xdr:rowOff>
    </xdr:from>
    <xdr:to>
      <xdr:col>5</xdr:col>
      <xdr:colOff>304800</xdr:colOff>
      <xdr:row>1668</xdr:row>
      <xdr:rowOff>114300</xdr:rowOff>
    </xdr:to>
    <xdr:sp macro="" textlink="">
      <xdr:nvSpPr>
        <xdr:cNvPr id="4742" name="AutoShape 1670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947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1669</xdr:row>
      <xdr:rowOff>0</xdr:rowOff>
    </xdr:from>
    <xdr:to>
      <xdr:col>4</xdr:col>
      <xdr:colOff>304800</xdr:colOff>
      <xdr:row>1670</xdr:row>
      <xdr:rowOff>76200</xdr:rowOff>
    </xdr:to>
    <xdr:sp macro="" textlink="">
      <xdr:nvSpPr>
        <xdr:cNvPr id="4743" name="AutoShape 167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006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1669</xdr:row>
      <xdr:rowOff>0</xdr:rowOff>
    </xdr:from>
    <xdr:to>
      <xdr:col>5</xdr:col>
      <xdr:colOff>304800</xdr:colOff>
      <xdr:row>1670</xdr:row>
      <xdr:rowOff>76200</xdr:rowOff>
    </xdr:to>
    <xdr:sp macro="" textlink="">
      <xdr:nvSpPr>
        <xdr:cNvPr id="4744" name="AutoShape 1672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006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1671</xdr:row>
      <xdr:rowOff>0</xdr:rowOff>
    </xdr:from>
    <xdr:to>
      <xdr:col>4</xdr:col>
      <xdr:colOff>304800</xdr:colOff>
      <xdr:row>1672</xdr:row>
      <xdr:rowOff>114300</xdr:rowOff>
    </xdr:to>
    <xdr:sp macro="" textlink="">
      <xdr:nvSpPr>
        <xdr:cNvPr id="4745" name="AutoShape 1673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048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1671</xdr:row>
      <xdr:rowOff>0</xdr:rowOff>
    </xdr:from>
    <xdr:to>
      <xdr:col>5</xdr:col>
      <xdr:colOff>304800</xdr:colOff>
      <xdr:row>1672</xdr:row>
      <xdr:rowOff>114300</xdr:rowOff>
    </xdr:to>
    <xdr:sp macro="" textlink="">
      <xdr:nvSpPr>
        <xdr:cNvPr id="4746" name="AutoShape 1674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048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1673</xdr:row>
      <xdr:rowOff>0</xdr:rowOff>
    </xdr:from>
    <xdr:to>
      <xdr:col>4</xdr:col>
      <xdr:colOff>304800</xdr:colOff>
      <xdr:row>1674</xdr:row>
      <xdr:rowOff>114300</xdr:rowOff>
    </xdr:to>
    <xdr:sp macro="" textlink="">
      <xdr:nvSpPr>
        <xdr:cNvPr id="4747" name="AutoShape 1675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107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1673</xdr:row>
      <xdr:rowOff>0</xdr:rowOff>
    </xdr:from>
    <xdr:to>
      <xdr:col>5</xdr:col>
      <xdr:colOff>304800</xdr:colOff>
      <xdr:row>1674</xdr:row>
      <xdr:rowOff>114300</xdr:rowOff>
    </xdr:to>
    <xdr:sp macro="" textlink="">
      <xdr:nvSpPr>
        <xdr:cNvPr id="4748" name="AutoShape 1676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107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1675</xdr:row>
      <xdr:rowOff>0</xdr:rowOff>
    </xdr:from>
    <xdr:to>
      <xdr:col>4</xdr:col>
      <xdr:colOff>304800</xdr:colOff>
      <xdr:row>1676</xdr:row>
      <xdr:rowOff>114300</xdr:rowOff>
    </xdr:to>
    <xdr:sp macro="" textlink="">
      <xdr:nvSpPr>
        <xdr:cNvPr id="4749" name="AutoShape 1677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165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1675</xdr:row>
      <xdr:rowOff>0</xdr:rowOff>
    </xdr:from>
    <xdr:to>
      <xdr:col>5</xdr:col>
      <xdr:colOff>304800</xdr:colOff>
      <xdr:row>1676</xdr:row>
      <xdr:rowOff>114300</xdr:rowOff>
    </xdr:to>
    <xdr:sp macro="" textlink="">
      <xdr:nvSpPr>
        <xdr:cNvPr id="4750" name="AutoShape 1678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165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1677</xdr:row>
      <xdr:rowOff>0</xdr:rowOff>
    </xdr:from>
    <xdr:to>
      <xdr:col>4</xdr:col>
      <xdr:colOff>304800</xdr:colOff>
      <xdr:row>1678</xdr:row>
      <xdr:rowOff>114300</xdr:rowOff>
    </xdr:to>
    <xdr:sp macro="" textlink="">
      <xdr:nvSpPr>
        <xdr:cNvPr id="4751" name="AutoShape 1679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2232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1677</xdr:row>
      <xdr:rowOff>0</xdr:rowOff>
    </xdr:from>
    <xdr:to>
      <xdr:col>5</xdr:col>
      <xdr:colOff>304800</xdr:colOff>
      <xdr:row>1678</xdr:row>
      <xdr:rowOff>114300</xdr:rowOff>
    </xdr:to>
    <xdr:sp macro="" textlink="">
      <xdr:nvSpPr>
        <xdr:cNvPr id="4752" name="AutoShape 1680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2232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1679</xdr:row>
      <xdr:rowOff>0</xdr:rowOff>
    </xdr:from>
    <xdr:to>
      <xdr:col>4</xdr:col>
      <xdr:colOff>304800</xdr:colOff>
      <xdr:row>1680</xdr:row>
      <xdr:rowOff>76200</xdr:rowOff>
    </xdr:to>
    <xdr:sp macro="" textlink="">
      <xdr:nvSpPr>
        <xdr:cNvPr id="4753" name="AutoShape 1681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300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1679</xdr:row>
      <xdr:rowOff>0</xdr:rowOff>
    </xdr:from>
    <xdr:to>
      <xdr:col>5</xdr:col>
      <xdr:colOff>304800</xdr:colOff>
      <xdr:row>1680</xdr:row>
      <xdr:rowOff>76200</xdr:rowOff>
    </xdr:to>
    <xdr:sp macro="" textlink="">
      <xdr:nvSpPr>
        <xdr:cNvPr id="4754" name="AutoShape 1682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300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1681</xdr:row>
      <xdr:rowOff>0</xdr:rowOff>
    </xdr:from>
    <xdr:to>
      <xdr:col>4</xdr:col>
      <xdr:colOff>304800</xdr:colOff>
      <xdr:row>1682</xdr:row>
      <xdr:rowOff>76200</xdr:rowOff>
    </xdr:to>
    <xdr:sp macro="" textlink="">
      <xdr:nvSpPr>
        <xdr:cNvPr id="4755" name="AutoShape 1683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3432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1681</xdr:row>
      <xdr:rowOff>0</xdr:rowOff>
    </xdr:from>
    <xdr:to>
      <xdr:col>5</xdr:col>
      <xdr:colOff>304800</xdr:colOff>
      <xdr:row>1682</xdr:row>
      <xdr:rowOff>76200</xdr:rowOff>
    </xdr:to>
    <xdr:sp macro="" textlink="">
      <xdr:nvSpPr>
        <xdr:cNvPr id="4756" name="AutoShape 1684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3432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1683</xdr:row>
      <xdr:rowOff>0</xdr:rowOff>
    </xdr:from>
    <xdr:to>
      <xdr:col>4</xdr:col>
      <xdr:colOff>304800</xdr:colOff>
      <xdr:row>1684</xdr:row>
      <xdr:rowOff>114300</xdr:rowOff>
    </xdr:to>
    <xdr:sp macro="" textlink="">
      <xdr:nvSpPr>
        <xdr:cNvPr id="4757" name="AutoShape 1685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386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1683</xdr:row>
      <xdr:rowOff>0</xdr:rowOff>
    </xdr:from>
    <xdr:to>
      <xdr:col>5</xdr:col>
      <xdr:colOff>304800</xdr:colOff>
      <xdr:row>1684</xdr:row>
      <xdr:rowOff>114300</xdr:rowOff>
    </xdr:to>
    <xdr:sp macro="" textlink="">
      <xdr:nvSpPr>
        <xdr:cNvPr id="4758" name="AutoShape 1686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386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1685</xdr:row>
      <xdr:rowOff>0</xdr:rowOff>
    </xdr:from>
    <xdr:to>
      <xdr:col>4</xdr:col>
      <xdr:colOff>304800</xdr:colOff>
      <xdr:row>1686</xdr:row>
      <xdr:rowOff>114300</xdr:rowOff>
    </xdr:to>
    <xdr:sp macro="" textlink="">
      <xdr:nvSpPr>
        <xdr:cNvPr id="4759" name="AutoShape 1687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444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1685</xdr:row>
      <xdr:rowOff>0</xdr:rowOff>
    </xdr:from>
    <xdr:to>
      <xdr:col>5</xdr:col>
      <xdr:colOff>304800</xdr:colOff>
      <xdr:row>1686</xdr:row>
      <xdr:rowOff>114300</xdr:rowOff>
    </xdr:to>
    <xdr:sp macro="" textlink="">
      <xdr:nvSpPr>
        <xdr:cNvPr id="4760" name="AutoShape 1688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444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1687</xdr:row>
      <xdr:rowOff>0</xdr:rowOff>
    </xdr:from>
    <xdr:to>
      <xdr:col>4</xdr:col>
      <xdr:colOff>304800</xdr:colOff>
      <xdr:row>1688</xdr:row>
      <xdr:rowOff>76200</xdr:rowOff>
    </xdr:to>
    <xdr:sp macro="" textlink="">
      <xdr:nvSpPr>
        <xdr:cNvPr id="4761" name="AutoShape 1689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502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1687</xdr:row>
      <xdr:rowOff>0</xdr:rowOff>
    </xdr:from>
    <xdr:to>
      <xdr:col>5</xdr:col>
      <xdr:colOff>304800</xdr:colOff>
      <xdr:row>1688</xdr:row>
      <xdr:rowOff>76200</xdr:rowOff>
    </xdr:to>
    <xdr:sp macro="" textlink="">
      <xdr:nvSpPr>
        <xdr:cNvPr id="4762" name="AutoShape 1690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502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1689</xdr:row>
      <xdr:rowOff>0</xdr:rowOff>
    </xdr:from>
    <xdr:to>
      <xdr:col>4</xdr:col>
      <xdr:colOff>304800</xdr:colOff>
      <xdr:row>1690</xdr:row>
      <xdr:rowOff>114300</xdr:rowOff>
    </xdr:to>
    <xdr:sp macro="" textlink="">
      <xdr:nvSpPr>
        <xdr:cNvPr id="4763" name="AutoShape 1691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545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1689</xdr:row>
      <xdr:rowOff>0</xdr:rowOff>
    </xdr:from>
    <xdr:to>
      <xdr:col>5</xdr:col>
      <xdr:colOff>304800</xdr:colOff>
      <xdr:row>1690</xdr:row>
      <xdr:rowOff>114300</xdr:rowOff>
    </xdr:to>
    <xdr:sp macro="" textlink="">
      <xdr:nvSpPr>
        <xdr:cNvPr id="4764" name="AutoShape 1692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545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1691</xdr:row>
      <xdr:rowOff>0</xdr:rowOff>
    </xdr:from>
    <xdr:to>
      <xdr:col>4</xdr:col>
      <xdr:colOff>304800</xdr:colOff>
      <xdr:row>1692</xdr:row>
      <xdr:rowOff>114300</xdr:rowOff>
    </xdr:to>
    <xdr:sp macro="" textlink="">
      <xdr:nvSpPr>
        <xdr:cNvPr id="4765" name="AutoShape 1693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603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1691</xdr:row>
      <xdr:rowOff>0</xdr:rowOff>
    </xdr:from>
    <xdr:to>
      <xdr:col>5</xdr:col>
      <xdr:colOff>304800</xdr:colOff>
      <xdr:row>1692</xdr:row>
      <xdr:rowOff>114300</xdr:rowOff>
    </xdr:to>
    <xdr:sp macro="" textlink="">
      <xdr:nvSpPr>
        <xdr:cNvPr id="4766" name="AutoShape 1694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603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1693</xdr:row>
      <xdr:rowOff>0</xdr:rowOff>
    </xdr:from>
    <xdr:to>
      <xdr:col>4</xdr:col>
      <xdr:colOff>304800</xdr:colOff>
      <xdr:row>1694</xdr:row>
      <xdr:rowOff>114300</xdr:rowOff>
    </xdr:to>
    <xdr:sp macro="" textlink="">
      <xdr:nvSpPr>
        <xdr:cNvPr id="4767" name="AutoShape 1695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661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1693</xdr:row>
      <xdr:rowOff>0</xdr:rowOff>
    </xdr:from>
    <xdr:to>
      <xdr:col>5</xdr:col>
      <xdr:colOff>304800</xdr:colOff>
      <xdr:row>1694</xdr:row>
      <xdr:rowOff>114300</xdr:rowOff>
    </xdr:to>
    <xdr:sp macro="" textlink="">
      <xdr:nvSpPr>
        <xdr:cNvPr id="4768" name="AutoShape 1696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661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1695</xdr:row>
      <xdr:rowOff>0</xdr:rowOff>
    </xdr:from>
    <xdr:to>
      <xdr:col>4</xdr:col>
      <xdr:colOff>304800</xdr:colOff>
      <xdr:row>1696</xdr:row>
      <xdr:rowOff>114300</xdr:rowOff>
    </xdr:to>
    <xdr:sp macro="" textlink="">
      <xdr:nvSpPr>
        <xdr:cNvPr id="4769" name="AutoShape 1697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719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1695</xdr:row>
      <xdr:rowOff>0</xdr:rowOff>
    </xdr:from>
    <xdr:to>
      <xdr:col>5</xdr:col>
      <xdr:colOff>304800</xdr:colOff>
      <xdr:row>1696</xdr:row>
      <xdr:rowOff>114300</xdr:rowOff>
    </xdr:to>
    <xdr:sp macro="" textlink="">
      <xdr:nvSpPr>
        <xdr:cNvPr id="4770" name="AutoShape 1698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719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1697</xdr:row>
      <xdr:rowOff>0</xdr:rowOff>
    </xdr:from>
    <xdr:to>
      <xdr:col>4</xdr:col>
      <xdr:colOff>304800</xdr:colOff>
      <xdr:row>1698</xdr:row>
      <xdr:rowOff>114300</xdr:rowOff>
    </xdr:to>
    <xdr:sp macro="" textlink="">
      <xdr:nvSpPr>
        <xdr:cNvPr id="4771" name="AutoShape 1699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777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1697</xdr:row>
      <xdr:rowOff>0</xdr:rowOff>
    </xdr:from>
    <xdr:to>
      <xdr:col>5</xdr:col>
      <xdr:colOff>304800</xdr:colOff>
      <xdr:row>1698</xdr:row>
      <xdr:rowOff>114300</xdr:rowOff>
    </xdr:to>
    <xdr:sp macro="" textlink="">
      <xdr:nvSpPr>
        <xdr:cNvPr id="4772" name="AutoShape 1700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777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1699</xdr:row>
      <xdr:rowOff>0</xdr:rowOff>
    </xdr:from>
    <xdr:to>
      <xdr:col>4</xdr:col>
      <xdr:colOff>304800</xdr:colOff>
      <xdr:row>1700</xdr:row>
      <xdr:rowOff>114300</xdr:rowOff>
    </xdr:to>
    <xdr:sp macro="" textlink="">
      <xdr:nvSpPr>
        <xdr:cNvPr id="4773" name="AutoShape 170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835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1699</xdr:row>
      <xdr:rowOff>0</xdr:rowOff>
    </xdr:from>
    <xdr:to>
      <xdr:col>5</xdr:col>
      <xdr:colOff>304800</xdr:colOff>
      <xdr:row>1700</xdr:row>
      <xdr:rowOff>114300</xdr:rowOff>
    </xdr:to>
    <xdr:sp macro="" textlink="">
      <xdr:nvSpPr>
        <xdr:cNvPr id="4774" name="AutoShape 1702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835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1701</xdr:row>
      <xdr:rowOff>0</xdr:rowOff>
    </xdr:from>
    <xdr:to>
      <xdr:col>4</xdr:col>
      <xdr:colOff>304800</xdr:colOff>
      <xdr:row>1702</xdr:row>
      <xdr:rowOff>76200</xdr:rowOff>
    </xdr:to>
    <xdr:sp macro="" textlink="">
      <xdr:nvSpPr>
        <xdr:cNvPr id="4775" name="AutoShape 1703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893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1701</xdr:row>
      <xdr:rowOff>0</xdr:rowOff>
    </xdr:from>
    <xdr:to>
      <xdr:col>5</xdr:col>
      <xdr:colOff>304800</xdr:colOff>
      <xdr:row>1702</xdr:row>
      <xdr:rowOff>76200</xdr:rowOff>
    </xdr:to>
    <xdr:sp macro="" textlink="">
      <xdr:nvSpPr>
        <xdr:cNvPr id="4776" name="AutoShape 170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893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1703</xdr:row>
      <xdr:rowOff>0</xdr:rowOff>
    </xdr:from>
    <xdr:to>
      <xdr:col>4</xdr:col>
      <xdr:colOff>304800</xdr:colOff>
      <xdr:row>1704</xdr:row>
      <xdr:rowOff>76200</xdr:rowOff>
    </xdr:to>
    <xdr:sp macro="" textlink="">
      <xdr:nvSpPr>
        <xdr:cNvPr id="4777" name="AutoShape 1705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936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1703</xdr:row>
      <xdr:rowOff>0</xdr:rowOff>
    </xdr:from>
    <xdr:to>
      <xdr:col>5</xdr:col>
      <xdr:colOff>304800</xdr:colOff>
      <xdr:row>1704</xdr:row>
      <xdr:rowOff>76200</xdr:rowOff>
    </xdr:to>
    <xdr:sp macro="" textlink="">
      <xdr:nvSpPr>
        <xdr:cNvPr id="4778" name="AutoShape 1706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936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1705</xdr:row>
      <xdr:rowOff>0</xdr:rowOff>
    </xdr:from>
    <xdr:to>
      <xdr:col>4</xdr:col>
      <xdr:colOff>304800</xdr:colOff>
      <xdr:row>1706</xdr:row>
      <xdr:rowOff>114300</xdr:rowOff>
    </xdr:to>
    <xdr:sp macro="" textlink="">
      <xdr:nvSpPr>
        <xdr:cNvPr id="4779" name="AutoShape 1707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979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1705</xdr:row>
      <xdr:rowOff>0</xdr:rowOff>
    </xdr:from>
    <xdr:to>
      <xdr:col>5</xdr:col>
      <xdr:colOff>304800</xdr:colOff>
      <xdr:row>1706</xdr:row>
      <xdr:rowOff>114300</xdr:rowOff>
    </xdr:to>
    <xdr:sp macro="" textlink="">
      <xdr:nvSpPr>
        <xdr:cNvPr id="4780" name="AutoShape 1708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979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1707</xdr:row>
      <xdr:rowOff>0</xdr:rowOff>
    </xdr:from>
    <xdr:to>
      <xdr:col>4</xdr:col>
      <xdr:colOff>304800</xdr:colOff>
      <xdr:row>1708</xdr:row>
      <xdr:rowOff>76200</xdr:rowOff>
    </xdr:to>
    <xdr:sp macro="" textlink="">
      <xdr:nvSpPr>
        <xdr:cNvPr id="4781" name="AutoShape 1709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037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1707</xdr:row>
      <xdr:rowOff>0</xdr:rowOff>
    </xdr:from>
    <xdr:to>
      <xdr:col>5</xdr:col>
      <xdr:colOff>304800</xdr:colOff>
      <xdr:row>1708</xdr:row>
      <xdr:rowOff>76200</xdr:rowOff>
    </xdr:to>
    <xdr:sp macro="" textlink="">
      <xdr:nvSpPr>
        <xdr:cNvPr id="4782" name="AutoShape 1710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037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1709</xdr:row>
      <xdr:rowOff>0</xdr:rowOff>
    </xdr:from>
    <xdr:to>
      <xdr:col>4</xdr:col>
      <xdr:colOff>304800</xdr:colOff>
      <xdr:row>1710</xdr:row>
      <xdr:rowOff>76200</xdr:rowOff>
    </xdr:to>
    <xdr:sp macro="" textlink="">
      <xdr:nvSpPr>
        <xdr:cNvPr id="4783" name="AutoShape 1711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080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1709</xdr:row>
      <xdr:rowOff>0</xdr:rowOff>
    </xdr:from>
    <xdr:to>
      <xdr:col>5</xdr:col>
      <xdr:colOff>304800</xdr:colOff>
      <xdr:row>1710</xdr:row>
      <xdr:rowOff>76200</xdr:rowOff>
    </xdr:to>
    <xdr:sp macro="" textlink="">
      <xdr:nvSpPr>
        <xdr:cNvPr id="4784" name="AutoShape 1712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080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1711</xdr:row>
      <xdr:rowOff>0</xdr:rowOff>
    </xdr:from>
    <xdr:to>
      <xdr:col>4</xdr:col>
      <xdr:colOff>304800</xdr:colOff>
      <xdr:row>1712</xdr:row>
      <xdr:rowOff>114300</xdr:rowOff>
    </xdr:to>
    <xdr:sp macro="" textlink="">
      <xdr:nvSpPr>
        <xdr:cNvPr id="4785" name="AutoShape 1713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123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1711</xdr:row>
      <xdr:rowOff>0</xdr:rowOff>
    </xdr:from>
    <xdr:to>
      <xdr:col>5</xdr:col>
      <xdr:colOff>304800</xdr:colOff>
      <xdr:row>1712</xdr:row>
      <xdr:rowOff>114300</xdr:rowOff>
    </xdr:to>
    <xdr:sp macro="" textlink="">
      <xdr:nvSpPr>
        <xdr:cNvPr id="4786" name="AutoShape 1714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123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1713</xdr:row>
      <xdr:rowOff>0</xdr:rowOff>
    </xdr:from>
    <xdr:to>
      <xdr:col>4</xdr:col>
      <xdr:colOff>304800</xdr:colOff>
      <xdr:row>1714</xdr:row>
      <xdr:rowOff>114300</xdr:rowOff>
    </xdr:to>
    <xdr:sp macro="" textlink="">
      <xdr:nvSpPr>
        <xdr:cNvPr id="4787" name="AutoShape 1715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1814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1713</xdr:row>
      <xdr:rowOff>0</xdr:rowOff>
    </xdr:from>
    <xdr:to>
      <xdr:col>5</xdr:col>
      <xdr:colOff>304800</xdr:colOff>
      <xdr:row>1714</xdr:row>
      <xdr:rowOff>114300</xdr:rowOff>
    </xdr:to>
    <xdr:sp macro="" textlink="">
      <xdr:nvSpPr>
        <xdr:cNvPr id="4788" name="AutoShape 1716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1814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1715</xdr:row>
      <xdr:rowOff>0</xdr:rowOff>
    </xdr:from>
    <xdr:to>
      <xdr:col>4</xdr:col>
      <xdr:colOff>304800</xdr:colOff>
      <xdr:row>1716</xdr:row>
      <xdr:rowOff>114300</xdr:rowOff>
    </xdr:to>
    <xdr:sp macro="" textlink="">
      <xdr:nvSpPr>
        <xdr:cNvPr id="4789" name="AutoShape 1717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239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1715</xdr:row>
      <xdr:rowOff>0</xdr:rowOff>
    </xdr:from>
    <xdr:to>
      <xdr:col>5</xdr:col>
      <xdr:colOff>304800</xdr:colOff>
      <xdr:row>1716</xdr:row>
      <xdr:rowOff>114300</xdr:rowOff>
    </xdr:to>
    <xdr:sp macro="" textlink="">
      <xdr:nvSpPr>
        <xdr:cNvPr id="4790" name="AutoShape 1718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239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1717</xdr:row>
      <xdr:rowOff>0</xdr:rowOff>
    </xdr:from>
    <xdr:to>
      <xdr:col>4</xdr:col>
      <xdr:colOff>304800</xdr:colOff>
      <xdr:row>1718</xdr:row>
      <xdr:rowOff>114300</xdr:rowOff>
    </xdr:to>
    <xdr:sp macro="" textlink="">
      <xdr:nvSpPr>
        <xdr:cNvPr id="4791" name="AutoShape 1719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297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1717</xdr:row>
      <xdr:rowOff>0</xdr:rowOff>
    </xdr:from>
    <xdr:to>
      <xdr:col>5</xdr:col>
      <xdr:colOff>304800</xdr:colOff>
      <xdr:row>1718</xdr:row>
      <xdr:rowOff>114300</xdr:rowOff>
    </xdr:to>
    <xdr:sp macro="" textlink="">
      <xdr:nvSpPr>
        <xdr:cNvPr id="4792" name="AutoShape 1720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297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1719</xdr:row>
      <xdr:rowOff>0</xdr:rowOff>
    </xdr:from>
    <xdr:to>
      <xdr:col>4</xdr:col>
      <xdr:colOff>304800</xdr:colOff>
      <xdr:row>1720</xdr:row>
      <xdr:rowOff>114300</xdr:rowOff>
    </xdr:to>
    <xdr:sp macro="" textlink="">
      <xdr:nvSpPr>
        <xdr:cNvPr id="4793" name="AutoShape 1721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35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1719</xdr:row>
      <xdr:rowOff>0</xdr:rowOff>
    </xdr:from>
    <xdr:to>
      <xdr:col>5</xdr:col>
      <xdr:colOff>304800</xdr:colOff>
      <xdr:row>1720</xdr:row>
      <xdr:rowOff>114300</xdr:rowOff>
    </xdr:to>
    <xdr:sp macro="" textlink="">
      <xdr:nvSpPr>
        <xdr:cNvPr id="4794" name="AutoShape 1722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35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1721</xdr:row>
      <xdr:rowOff>0</xdr:rowOff>
    </xdr:from>
    <xdr:to>
      <xdr:col>4</xdr:col>
      <xdr:colOff>304800</xdr:colOff>
      <xdr:row>1722</xdr:row>
      <xdr:rowOff>114300</xdr:rowOff>
    </xdr:to>
    <xdr:sp macro="" textlink="">
      <xdr:nvSpPr>
        <xdr:cNvPr id="4795" name="AutoShape 1723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432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1721</xdr:row>
      <xdr:rowOff>0</xdr:rowOff>
    </xdr:from>
    <xdr:to>
      <xdr:col>5</xdr:col>
      <xdr:colOff>304800</xdr:colOff>
      <xdr:row>1722</xdr:row>
      <xdr:rowOff>114300</xdr:rowOff>
    </xdr:to>
    <xdr:sp macro="" textlink="">
      <xdr:nvSpPr>
        <xdr:cNvPr id="4796" name="AutoShape 1724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432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1723</xdr:row>
      <xdr:rowOff>0</xdr:rowOff>
    </xdr:from>
    <xdr:to>
      <xdr:col>4</xdr:col>
      <xdr:colOff>304800</xdr:colOff>
      <xdr:row>1724</xdr:row>
      <xdr:rowOff>114300</xdr:rowOff>
    </xdr:to>
    <xdr:sp macro="" textlink="">
      <xdr:nvSpPr>
        <xdr:cNvPr id="4797" name="AutoShape 1725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491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1723</xdr:row>
      <xdr:rowOff>0</xdr:rowOff>
    </xdr:from>
    <xdr:to>
      <xdr:col>5</xdr:col>
      <xdr:colOff>304800</xdr:colOff>
      <xdr:row>1724</xdr:row>
      <xdr:rowOff>114300</xdr:rowOff>
    </xdr:to>
    <xdr:sp macro="" textlink="">
      <xdr:nvSpPr>
        <xdr:cNvPr id="4798" name="AutoShape 1726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491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1725</xdr:row>
      <xdr:rowOff>0</xdr:rowOff>
    </xdr:from>
    <xdr:to>
      <xdr:col>4</xdr:col>
      <xdr:colOff>304800</xdr:colOff>
      <xdr:row>1726</xdr:row>
      <xdr:rowOff>114300</xdr:rowOff>
    </xdr:to>
    <xdr:sp macro="" textlink="">
      <xdr:nvSpPr>
        <xdr:cNvPr id="4799" name="AutoShape 1727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549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1725</xdr:row>
      <xdr:rowOff>0</xdr:rowOff>
    </xdr:from>
    <xdr:to>
      <xdr:col>5</xdr:col>
      <xdr:colOff>304800</xdr:colOff>
      <xdr:row>1726</xdr:row>
      <xdr:rowOff>114300</xdr:rowOff>
    </xdr:to>
    <xdr:sp macro="" textlink="">
      <xdr:nvSpPr>
        <xdr:cNvPr id="4800" name="AutoShape 1728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549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1727</xdr:row>
      <xdr:rowOff>0</xdr:rowOff>
    </xdr:from>
    <xdr:to>
      <xdr:col>4</xdr:col>
      <xdr:colOff>304800</xdr:colOff>
      <xdr:row>1728</xdr:row>
      <xdr:rowOff>114300</xdr:rowOff>
    </xdr:to>
    <xdr:sp macro="" textlink="">
      <xdr:nvSpPr>
        <xdr:cNvPr id="4801" name="AutoShape 1729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607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1727</xdr:row>
      <xdr:rowOff>0</xdr:rowOff>
    </xdr:from>
    <xdr:to>
      <xdr:col>5</xdr:col>
      <xdr:colOff>304800</xdr:colOff>
      <xdr:row>1728</xdr:row>
      <xdr:rowOff>114300</xdr:rowOff>
    </xdr:to>
    <xdr:sp macro="" textlink="">
      <xdr:nvSpPr>
        <xdr:cNvPr id="4802" name="AutoShape 1730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607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1729</xdr:row>
      <xdr:rowOff>0</xdr:rowOff>
    </xdr:from>
    <xdr:to>
      <xdr:col>4</xdr:col>
      <xdr:colOff>304800</xdr:colOff>
      <xdr:row>1730</xdr:row>
      <xdr:rowOff>114300</xdr:rowOff>
    </xdr:to>
    <xdr:sp macro="" textlink="">
      <xdr:nvSpPr>
        <xdr:cNvPr id="4803" name="AutoShape 1731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6653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1729</xdr:row>
      <xdr:rowOff>0</xdr:rowOff>
    </xdr:from>
    <xdr:to>
      <xdr:col>5</xdr:col>
      <xdr:colOff>304800</xdr:colOff>
      <xdr:row>1730</xdr:row>
      <xdr:rowOff>114300</xdr:rowOff>
    </xdr:to>
    <xdr:sp macro="" textlink="">
      <xdr:nvSpPr>
        <xdr:cNvPr id="4804" name="AutoShape 1732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6653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1731</xdr:row>
      <xdr:rowOff>0</xdr:rowOff>
    </xdr:from>
    <xdr:to>
      <xdr:col>4</xdr:col>
      <xdr:colOff>304800</xdr:colOff>
      <xdr:row>1732</xdr:row>
      <xdr:rowOff>76200</xdr:rowOff>
    </xdr:to>
    <xdr:sp macro="" textlink="">
      <xdr:nvSpPr>
        <xdr:cNvPr id="4805" name="AutoShape 1733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7234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1731</xdr:row>
      <xdr:rowOff>0</xdr:rowOff>
    </xdr:from>
    <xdr:to>
      <xdr:col>5</xdr:col>
      <xdr:colOff>304800</xdr:colOff>
      <xdr:row>1732</xdr:row>
      <xdr:rowOff>76200</xdr:rowOff>
    </xdr:to>
    <xdr:sp macro="" textlink="">
      <xdr:nvSpPr>
        <xdr:cNvPr id="4806" name="AutoShape 1734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7234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1733</xdr:row>
      <xdr:rowOff>0</xdr:rowOff>
    </xdr:from>
    <xdr:to>
      <xdr:col>4</xdr:col>
      <xdr:colOff>304800</xdr:colOff>
      <xdr:row>1734</xdr:row>
      <xdr:rowOff>114300</xdr:rowOff>
    </xdr:to>
    <xdr:sp macro="" textlink="">
      <xdr:nvSpPr>
        <xdr:cNvPr id="4807" name="AutoShape 1735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766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1733</xdr:row>
      <xdr:rowOff>0</xdr:rowOff>
    </xdr:from>
    <xdr:to>
      <xdr:col>5</xdr:col>
      <xdr:colOff>304800</xdr:colOff>
      <xdr:row>1734</xdr:row>
      <xdr:rowOff>114300</xdr:rowOff>
    </xdr:to>
    <xdr:sp macro="" textlink="">
      <xdr:nvSpPr>
        <xdr:cNvPr id="4808" name="AutoShape 1736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766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1735</xdr:row>
      <xdr:rowOff>0</xdr:rowOff>
    </xdr:from>
    <xdr:to>
      <xdr:col>4</xdr:col>
      <xdr:colOff>304800</xdr:colOff>
      <xdr:row>1736</xdr:row>
      <xdr:rowOff>114300</xdr:rowOff>
    </xdr:to>
    <xdr:sp macro="" textlink="">
      <xdr:nvSpPr>
        <xdr:cNvPr id="4809" name="AutoShape 1737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82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1735</xdr:row>
      <xdr:rowOff>0</xdr:rowOff>
    </xdr:from>
    <xdr:to>
      <xdr:col>5</xdr:col>
      <xdr:colOff>304800</xdr:colOff>
      <xdr:row>1736</xdr:row>
      <xdr:rowOff>114300</xdr:rowOff>
    </xdr:to>
    <xdr:sp macro="" textlink="">
      <xdr:nvSpPr>
        <xdr:cNvPr id="4810" name="AutoShape 1738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82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1737</xdr:row>
      <xdr:rowOff>0</xdr:rowOff>
    </xdr:from>
    <xdr:to>
      <xdr:col>4</xdr:col>
      <xdr:colOff>304800</xdr:colOff>
      <xdr:row>1738</xdr:row>
      <xdr:rowOff>114300</xdr:rowOff>
    </xdr:to>
    <xdr:sp macro="" textlink="">
      <xdr:nvSpPr>
        <xdr:cNvPr id="4811" name="AutoShape 1739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882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1737</xdr:row>
      <xdr:rowOff>0</xdr:rowOff>
    </xdr:from>
    <xdr:to>
      <xdr:col>5</xdr:col>
      <xdr:colOff>304800</xdr:colOff>
      <xdr:row>1738</xdr:row>
      <xdr:rowOff>114300</xdr:rowOff>
    </xdr:to>
    <xdr:sp macro="" textlink="">
      <xdr:nvSpPr>
        <xdr:cNvPr id="4812" name="AutoShape 1740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882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1739</xdr:row>
      <xdr:rowOff>0</xdr:rowOff>
    </xdr:from>
    <xdr:to>
      <xdr:col>4</xdr:col>
      <xdr:colOff>304800</xdr:colOff>
      <xdr:row>1740</xdr:row>
      <xdr:rowOff>76200</xdr:rowOff>
    </xdr:to>
    <xdr:sp macro="" textlink="">
      <xdr:nvSpPr>
        <xdr:cNvPr id="4813" name="AutoShape 1741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9406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1739</xdr:row>
      <xdr:rowOff>0</xdr:rowOff>
    </xdr:from>
    <xdr:to>
      <xdr:col>5</xdr:col>
      <xdr:colOff>304800</xdr:colOff>
      <xdr:row>1740</xdr:row>
      <xdr:rowOff>76200</xdr:rowOff>
    </xdr:to>
    <xdr:sp macro="" textlink="">
      <xdr:nvSpPr>
        <xdr:cNvPr id="4814" name="AutoShape 174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9406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1741</xdr:row>
      <xdr:rowOff>0</xdr:rowOff>
    </xdr:from>
    <xdr:to>
      <xdr:col>4</xdr:col>
      <xdr:colOff>304800</xdr:colOff>
      <xdr:row>1742</xdr:row>
      <xdr:rowOff>114300</xdr:rowOff>
    </xdr:to>
    <xdr:sp macro="" textlink="">
      <xdr:nvSpPr>
        <xdr:cNvPr id="4815" name="AutoShape 1743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9834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1741</xdr:row>
      <xdr:rowOff>0</xdr:rowOff>
    </xdr:from>
    <xdr:to>
      <xdr:col>5</xdr:col>
      <xdr:colOff>304800</xdr:colOff>
      <xdr:row>1742</xdr:row>
      <xdr:rowOff>114300</xdr:rowOff>
    </xdr:to>
    <xdr:sp macro="" textlink="">
      <xdr:nvSpPr>
        <xdr:cNvPr id="4816" name="AutoShape 1744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9834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1743</xdr:row>
      <xdr:rowOff>0</xdr:rowOff>
    </xdr:from>
    <xdr:to>
      <xdr:col>4</xdr:col>
      <xdr:colOff>304800</xdr:colOff>
      <xdr:row>1744</xdr:row>
      <xdr:rowOff>76200</xdr:rowOff>
    </xdr:to>
    <xdr:sp macro="" textlink="">
      <xdr:nvSpPr>
        <xdr:cNvPr id="4817" name="AutoShape 1745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041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1743</xdr:row>
      <xdr:rowOff>0</xdr:rowOff>
    </xdr:from>
    <xdr:to>
      <xdr:col>5</xdr:col>
      <xdr:colOff>304800</xdr:colOff>
      <xdr:row>1744</xdr:row>
      <xdr:rowOff>76200</xdr:rowOff>
    </xdr:to>
    <xdr:sp macro="" textlink="">
      <xdr:nvSpPr>
        <xdr:cNvPr id="4818" name="AutoShape 1746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041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1745</xdr:row>
      <xdr:rowOff>0</xdr:rowOff>
    </xdr:from>
    <xdr:to>
      <xdr:col>4</xdr:col>
      <xdr:colOff>304800</xdr:colOff>
      <xdr:row>1746</xdr:row>
      <xdr:rowOff>114300</xdr:rowOff>
    </xdr:to>
    <xdr:sp macro="" textlink="">
      <xdr:nvSpPr>
        <xdr:cNvPr id="4819" name="AutoShape 1747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084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1745</xdr:row>
      <xdr:rowOff>0</xdr:rowOff>
    </xdr:from>
    <xdr:to>
      <xdr:col>5</xdr:col>
      <xdr:colOff>304800</xdr:colOff>
      <xdr:row>1746</xdr:row>
      <xdr:rowOff>114300</xdr:rowOff>
    </xdr:to>
    <xdr:sp macro="" textlink="">
      <xdr:nvSpPr>
        <xdr:cNvPr id="4820" name="AutoShape 1748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084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1747</xdr:row>
      <xdr:rowOff>0</xdr:rowOff>
    </xdr:from>
    <xdr:to>
      <xdr:col>4</xdr:col>
      <xdr:colOff>304800</xdr:colOff>
      <xdr:row>1748</xdr:row>
      <xdr:rowOff>114300</xdr:rowOff>
    </xdr:to>
    <xdr:sp macro="" textlink="">
      <xdr:nvSpPr>
        <xdr:cNvPr id="4821" name="AutoShape 1749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142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1747</xdr:row>
      <xdr:rowOff>0</xdr:rowOff>
    </xdr:from>
    <xdr:to>
      <xdr:col>5</xdr:col>
      <xdr:colOff>304800</xdr:colOff>
      <xdr:row>1748</xdr:row>
      <xdr:rowOff>114300</xdr:rowOff>
    </xdr:to>
    <xdr:sp macro="" textlink="">
      <xdr:nvSpPr>
        <xdr:cNvPr id="4822" name="AutoShape 1750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142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1749</xdr:row>
      <xdr:rowOff>0</xdr:rowOff>
    </xdr:from>
    <xdr:to>
      <xdr:col>4</xdr:col>
      <xdr:colOff>304800</xdr:colOff>
      <xdr:row>1750</xdr:row>
      <xdr:rowOff>114300</xdr:rowOff>
    </xdr:to>
    <xdr:sp macro="" textlink="">
      <xdr:nvSpPr>
        <xdr:cNvPr id="4823" name="AutoShape 1751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2006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1749</xdr:row>
      <xdr:rowOff>0</xdr:rowOff>
    </xdr:from>
    <xdr:to>
      <xdr:col>5</xdr:col>
      <xdr:colOff>304800</xdr:colOff>
      <xdr:row>1750</xdr:row>
      <xdr:rowOff>114300</xdr:rowOff>
    </xdr:to>
    <xdr:sp macro="" textlink="">
      <xdr:nvSpPr>
        <xdr:cNvPr id="4824" name="AutoShape 1752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2006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1751</xdr:row>
      <xdr:rowOff>0</xdr:rowOff>
    </xdr:from>
    <xdr:to>
      <xdr:col>4</xdr:col>
      <xdr:colOff>304800</xdr:colOff>
      <xdr:row>1752</xdr:row>
      <xdr:rowOff>76200</xdr:rowOff>
    </xdr:to>
    <xdr:sp macro="" textlink="">
      <xdr:nvSpPr>
        <xdr:cNvPr id="4825" name="AutoShape 1753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258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1751</xdr:row>
      <xdr:rowOff>0</xdr:rowOff>
    </xdr:from>
    <xdr:to>
      <xdr:col>5</xdr:col>
      <xdr:colOff>304800</xdr:colOff>
      <xdr:row>1752</xdr:row>
      <xdr:rowOff>76200</xdr:rowOff>
    </xdr:to>
    <xdr:sp macro="" textlink="">
      <xdr:nvSpPr>
        <xdr:cNvPr id="4826" name="AutoShape 175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258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1753</xdr:row>
      <xdr:rowOff>0</xdr:rowOff>
    </xdr:from>
    <xdr:to>
      <xdr:col>4</xdr:col>
      <xdr:colOff>304800</xdr:colOff>
      <xdr:row>1754</xdr:row>
      <xdr:rowOff>114300</xdr:rowOff>
    </xdr:to>
    <xdr:sp macro="" textlink="">
      <xdr:nvSpPr>
        <xdr:cNvPr id="4827" name="AutoShape 1755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301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1753</xdr:row>
      <xdr:rowOff>0</xdr:rowOff>
    </xdr:from>
    <xdr:to>
      <xdr:col>5</xdr:col>
      <xdr:colOff>304800</xdr:colOff>
      <xdr:row>1754</xdr:row>
      <xdr:rowOff>114300</xdr:rowOff>
    </xdr:to>
    <xdr:sp macro="" textlink="">
      <xdr:nvSpPr>
        <xdr:cNvPr id="4828" name="AutoShape 175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301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1755</xdr:row>
      <xdr:rowOff>0</xdr:rowOff>
    </xdr:from>
    <xdr:to>
      <xdr:col>4</xdr:col>
      <xdr:colOff>304800</xdr:colOff>
      <xdr:row>1756</xdr:row>
      <xdr:rowOff>76200</xdr:rowOff>
    </xdr:to>
    <xdr:sp macro="" textlink="">
      <xdr:nvSpPr>
        <xdr:cNvPr id="4829" name="AutoShape 1757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359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1755</xdr:row>
      <xdr:rowOff>0</xdr:rowOff>
    </xdr:from>
    <xdr:to>
      <xdr:col>5</xdr:col>
      <xdr:colOff>304800</xdr:colOff>
      <xdr:row>1756</xdr:row>
      <xdr:rowOff>76200</xdr:rowOff>
    </xdr:to>
    <xdr:sp macro="" textlink="">
      <xdr:nvSpPr>
        <xdr:cNvPr id="4830" name="AutoShape 175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359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1757</xdr:row>
      <xdr:rowOff>0</xdr:rowOff>
    </xdr:from>
    <xdr:to>
      <xdr:col>4</xdr:col>
      <xdr:colOff>304800</xdr:colOff>
      <xdr:row>1758</xdr:row>
      <xdr:rowOff>114300</xdr:rowOff>
    </xdr:to>
    <xdr:sp macro="" textlink="">
      <xdr:nvSpPr>
        <xdr:cNvPr id="4831" name="AutoShape 175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4025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1757</xdr:row>
      <xdr:rowOff>0</xdr:rowOff>
    </xdr:from>
    <xdr:to>
      <xdr:col>5</xdr:col>
      <xdr:colOff>304800</xdr:colOff>
      <xdr:row>1758</xdr:row>
      <xdr:rowOff>114300</xdr:rowOff>
    </xdr:to>
    <xdr:sp macro="" textlink="">
      <xdr:nvSpPr>
        <xdr:cNvPr id="4832" name="AutoShape 1760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4025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1759</xdr:row>
      <xdr:rowOff>0</xdr:rowOff>
    </xdr:from>
    <xdr:to>
      <xdr:col>4</xdr:col>
      <xdr:colOff>304800</xdr:colOff>
      <xdr:row>1760</xdr:row>
      <xdr:rowOff>114300</xdr:rowOff>
    </xdr:to>
    <xdr:sp macro="" textlink="">
      <xdr:nvSpPr>
        <xdr:cNvPr id="4833" name="AutoShape 1761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460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1759</xdr:row>
      <xdr:rowOff>0</xdr:rowOff>
    </xdr:from>
    <xdr:to>
      <xdr:col>5</xdr:col>
      <xdr:colOff>304800</xdr:colOff>
      <xdr:row>1760</xdr:row>
      <xdr:rowOff>114300</xdr:rowOff>
    </xdr:to>
    <xdr:sp macro="" textlink="">
      <xdr:nvSpPr>
        <xdr:cNvPr id="4834" name="AutoShape 1762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460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1761</xdr:row>
      <xdr:rowOff>0</xdr:rowOff>
    </xdr:from>
    <xdr:to>
      <xdr:col>4</xdr:col>
      <xdr:colOff>304800</xdr:colOff>
      <xdr:row>1762</xdr:row>
      <xdr:rowOff>114300</xdr:rowOff>
    </xdr:to>
    <xdr:sp macro="" textlink="">
      <xdr:nvSpPr>
        <xdr:cNvPr id="4835" name="AutoShape 1763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5187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1761</xdr:row>
      <xdr:rowOff>0</xdr:rowOff>
    </xdr:from>
    <xdr:to>
      <xdr:col>5</xdr:col>
      <xdr:colOff>304800</xdr:colOff>
      <xdr:row>1762</xdr:row>
      <xdr:rowOff>114300</xdr:rowOff>
    </xdr:to>
    <xdr:sp macro="" textlink="">
      <xdr:nvSpPr>
        <xdr:cNvPr id="4836" name="AutoShape 1764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5187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1763</xdr:row>
      <xdr:rowOff>0</xdr:rowOff>
    </xdr:from>
    <xdr:to>
      <xdr:col>4</xdr:col>
      <xdr:colOff>304800</xdr:colOff>
      <xdr:row>1764</xdr:row>
      <xdr:rowOff>76200</xdr:rowOff>
    </xdr:to>
    <xdr:sp macro="" textlink="">
      <xdr:nvSpPr>
        <xdr:cNvPr id="4837" name="AutoShape 176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576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1763</xdr:row>
      <xdr:rowOff>0</xdr:rowOff>
    </xdr:from>
    <xdr:to>
      <xdr:col>5</xdr:col>
      <xdr:colOff>304800</xdr:colOff>
      <xdr:row>1764</xdr:row>
      <xdr:rowOff>76200</xdr:rowOff>
    </xdr:to>
    <xdr:sp macro="" textlink="">
      <xdr:nvSpPr>
        <xdr:cNvPr id="4838" name="AutoShape 1766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576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1765</xdr:row>
      <xdr:rowOff>0</xdr:rowOff>
    </xdr:from>
    <xdr:to>
      <xdr:col>4</xdr:col>
      <xdr:colOff>304800</xdr:colOff>
      <xdr:row>1766</xdr:row>
      <xdr:rowOff>114300</xdr:rowOff>
    </xdr:to>
    <xdr:sp macro="" textlink="">
      <xdr:nvSpPr>
        <xdr:cNvPr id="4839" name="AutoShape 1767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619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1765</xdr:row>
      <xdr:rowOff>0</xdr:rowOff>
    </xdr:from>
    <xdr:to>
      <xdr:col>5</xdr:col>
      <xdr:colOff>304800</xdr:colOff>
      <xdr:row>1766</xdr:row>
      <xdr:rowOff>114300</xdr:rowOff>
    </xdr:to>
    <xdr:sp macro="" textlink="">
      <xdr:nvSpPr>
        <xdr:cNvPr id="4840" name="AutoShape 1768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619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1767</xdr:row>
      <xdr:rowOff>0</xdr:rowOff>
    </xdr:from>
    <xdr:to>
      <xdr:col>4</xdr:col>
      <xdr:colOff>304800</xdr:colOff>
      <xdr:row>1768</xdr:row>
      <xdr:rowOff>114300</xdr:rowOff>
    </xdr:to>
    <xdr:sp macro="" textlink="">
      <xdr:nvSpPr>
        <xdr:cNvPr id="4841" name="AutoShape 1769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741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1767</xdr:row>
      <xdr:rowOff>0</xdr:rowOff>
    </xdr:from>
    <xdr:to>
      <xdr:col>5</xdr:col>
      <xdr:colOff>304800</xdr:colOff>
      <xdr:row>1768</xdr:row>
      <xdr:rowOff>114300</xdr:rowOff>
    </xdr:to>
    <xdr:sp macro="" textlink="">
      <xdr:nvSpPr>
        <xdr:cNvPr id="4842" name="AutoShape 1770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741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1769</xdr:row>
      <xdr:rowOff>0</xdr:rowOff>
    </xdr:from>
    <xdr:to>
      <xdr:col>4</xdr:col>
      <xdr:colOff>304800</xdr:colOff>
      <xdr:row>1770</xdr:row>
      <xdr:rowOff>114300</xdr:rowOff>
    </xdr:to>
    <xdr:sp macro="" textlink="">
      <xdr:nvSpPr>
        <xdr:cNvPr id="4843" name="AutoShape 1771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838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1769</xdr:row>
      <xdr:rowOff>0</xdr:rowOff>
    </xdr:from>
    <xdr:to>
      <xdr:col>5</xdr:col>
      <xdr:colOff>304800</xdr:colOff>
      <xdr:row>1770</xdr:row>
      <xdr:rowOff>114300</xdr:rowOff>
    </xdr:to>
    <xdr:sp macro="" textlink="">
      <xdr:nvSpPr>
        <xdr:cNvPr id="4844" name="AutoShape 1772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838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1771</xdr:row>
      <xdr:rowOff>0</xdr:rowOff>
    </xdr:from>
    <xdr:to>
      <xdr:col>4</xdr:col>
      <xdr:colOff>304800</xdr:colOff>
      <xdr:row>1772</xdr:row>
      <xdr:rowOff>114300</xdr:rowOff>
    </xdr:to>
    <xdr:sp macro="" textlink="">
      <xdr:nvSpPr>
        <xdr:cNvPr id="4845" name="AutoShape 1773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8969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1771</xdr:row>
      <xdr:rowOff>0</xdr:rowOff>
    </xdr:from>
    <xdr:to>
      <xdr:col>5</xdr:col>
      <xdr:colOff>304800</xdr:colOff>
      <xdr:row>1772</xdr:row>
      <xdr:rowOff>114300</xdr:rowOff>
    </xdr:to>
    <xdr:sp macro="" textlink="">
      <xdr:nvSpPr>
        <xdr:cNvPr id="4846" name="AutoShape 1774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8969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1773</xdr:row>
      <xdr:rowOff>0</xdr:rowOff>
    </xdr:from>
    <xdr:to>
      <xdr:col>4</xdr:col>
      <xdr:colOff>304800</xdr:colOff>
      <xdr:row>1774</xdr:row>
      <xdr:rowOff>76200</xdr:rowOff>
    </xdr:to>
    <xdr:sp macro="" textlink="">
      <xdr:nvSpPr>
        <xdr:cNvPr id="4847" name="AutoShape 1775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935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1773</xdr:row>
      <xdr:rowOff>0</xdr:rowOff>
    </xdr:from>
    <xdr:to>
      <xdr:col>5</xdr:col>
      <xdr:colOff>304800</xdr:colOff>
      <xdr:row>1774</xdr:row>
      <xdr:rowOff>76200</xdr:rowOff>
    </xdr:to>
    <xdr:sp macro="" textlink="">
      <xdr:nvSpPr>
        <xdr:cNvPr id="4848" name="AutoShape 1776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935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1775</xdr:row>
      <xdr:rowOff>0</xdr:rowOff>
    </xdr:from>
    <xdr:to>
      <xdr:col>4</xdr:col>
      <xdr:colOff>304800</xdr:colOff>
      <xdr:row>1776</xdr:row>
      <xdr:rowOff>114300</xdr:rowOff>
    </xdr:to>
    <xdr:sp macro="" textlink="">
      <xdr:nvSpPr>
        <xdr:cNvPr id="4849" name="AutoShape 1777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9788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1775</xdr:row>
      <xdr:rowOff>0</xdr:rowOff>
    </xdr:from>
    <xdr:to>
      <xdr:col>5</xdr:col>
      <xdr:colOff>304800</xdr:colOff>
      <xdr:row>1776</xdr:row>
      <xdr:rowOff>114300</xdr:rowOff>
    </xdr:to>
    <xdr:sp macro="" textlink="">
      <xdr:nvSpPr>
        <xdr:cNvPr id="4850" name="AutoShape 1778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9788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1777</xdr:row>
      <xdr:rowOff>0</xdr:rowOff>
    </xdr:from>
    <xdr:to>
      <xdr:col>4</xdr:col>
      <xdr:colOff>304800</xdr:colOff>
      <xdr:row>1778</xdr:row>
      <xdr:rowOff>114300</xdr:rowOff>
    </xdr:to>
    <xdr:sp macro="" textlink="">
      <xdr:nvSpPr>
        <xdr:cNvPr id="4851" name="AutoShape 1779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055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1777</xdr:row>
      <xdr:rowOff>0</xdr:rowOff>
    </xdr:from>
    <xdr:to>
      <xdr:col>5</xdr:col>
      <xdr:colOff>304800</xdr:colOff>
      <xdr:row>1778</xdr:row>
      <xdr:rowOff>114300</xdr:rowOff>
    </xdr:to>
    <xdr:sp macro="" textlink="">
      <xdr:nvSpPr>
        <xdr:cNvPr id="4852" name="AutoShape 1780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055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1779</xdr:row>
      <xdr:rowOff>0</xdr:rowOff>
    </xdr:from>
    <xdr:to>
      <xdr:col>4</xdr:col>
      <xdr:colOff>304800</xdr:colOff>
      <xdr:row>1780</xdr:row>
      <xdr:rowOff>114300</xdr:rowOff>
    </xdr:to>
    <xdr:sp macro="" textlink="">
      <xdr:nvSpPr>
        <xdr:cNvPr id="4853" name="AutoShape 1781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114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1779</xdr:row>
      <xdr:rowOff>0</xdr:rowOff>
    </xdr:from>
    <xdr:to>
      <xdr:col>5</xdr:col>
      <xdr:colOff>304800</xdr:colOff>
      <xdr:row>1780</xdr:row>
      <xdr:rowOff>114300</xdr:rowOff>
    </xdr:to>
    <xdr:sp macro="" textlink="">
      <xdr:nvSpPr>
        <xdr:cNvPr id="4854" name="AutoShape 1782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114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1781</xdr:row>
      <xdr:rowOff>0</xdr:rowOff>
    </xdr:from>
    <xdr:to>
      <xdr:col>4</xdr:col>
      <xdr:colOff>304800</xdr:colOff>
      <xdr:row>1782</xdr:row>
      <xdr:rowOff>114300</xdr:rowOff>
    </xdr:to>
    <xdr:sp macro="" textlink="">
      <xdr:nvSpPr>
        <xdr:cNvPr id="4855" name="AutoShape 1783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172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1781</xdr:row>
      <xdr:rowOff>0</xdr:rowOff>
    </xdr:from>
    <xdr:to>
      <xdr:col>5</xdr:col>
      <xdr:colOff>304800</xdr:colOff>
      <xdr:row>1782</xdr:row>
      <xdr:rowOff>114300</xdr:rowOff>
    </xdr:to>
    <xdr:sp macro="" textlink="">
      <xdr:nvSpPr>
        <xdr:cNvPr id="4856" name="AutoShape 1784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172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1783</xdr:row>
      <xdr:rowOff>0</xdr:rowOff>
    </xdr:from>
    <xdr:to>
      <xdr:col>4</xdr:col>
      <xdr:colOff>304800</xdr:colOff>
      <xdr:row>1784</xdr:row>
      <xdr:rowOff>114300</xdr:rowOff>
    </xdr:to>
    <xdr:sp macro="" textlink="">
      <xdr:nvSpPr>
        <xdr:cNvPr id="4857" name="AutoShape 1785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230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1783</xdr:row>
      <xdr:rowOff>0</xdr:rowOff>
    </xdr:from>
    <xdr:to>
      <xdr:col>5</xdr:col>
      <xdr:colOff>304800</xdr:colOff>
      <xdr:row>1784</xdr:row>
      <xdr:rowOff>114300</xdr:rowOff>
    </xdr:to>
    <xdr:sp macro="" textlink="">
      <xdr:nvSpPr>
        <xdr:cNvPr id="4858" name="AutoShape 1786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230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1785</xdr:row>
      <xdr:rowOff>0</xdr:rowOff>
    </xdr:from>
    <xdr:to>
      <xdr:col>4</xdr:col>
      <xdr:colOff>304800</xdr:colOff>
      <xdr:row>1786</xdr:row>
      <xdr:rowOff>114300</xdr:rowOff>
    </xdr:to>
    <xdr:sp macro="" textlink="">
      <xdr:nvSpPr>
        <xdr:cNvPr id="4859" name="AutoShape 1787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288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1785</xdr:row>
      <xdr:rowOff>0</xdr:rowOff>
    </xdr:from>
    <xdr:to>
      <xdr:col>5</xdr:col>
      <xdr:colOff>304800</xdr:colOff>
      <xdr:row>1786</xdr:row>
      <xdr:rowOff>114300</xdr:rowOff>
    </xdr:to>
    <xdr:sp macro="" textlink="">
      <xdr:nvSpPr>
        <xdr:cNvPr id="4860" name="AutoShape 1788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288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1787</xdr:row>
      <xdr:rowOff>0</xdr:rowOff>
    </xdr:from>
    <xdr:to>
      <xdr:col>4</xdr:col>
      <xdr:colOff>304800</xdr:colOff>
      <xdr:row>1788</xdr:row>
      <xdr:rowOff>76200</xdr:rowOff>
    </xdr:to>
    <xdr:sp macro="" textlink="">
      <xdr:nvSpPr>
        <xdr:cNvPr id="4861" name="AutoShape 1789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346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1787</xdr:row>
      <xdr:rowOff>0</xdr:rowOff>
    </xdr:from>
    <xdr:to>
      <xdr:col>5</xdr:col>
      <xdr:colOff>304800</xdr:colOff>
      <xdr:row>1788</xdr:row>
      <xdr:rowOff>76200</xdr:rowOff>
    </xdr:to>
    <xdr:sp macro="" textlink="">
      <xdr:nvSpPr>
        <xdr:cNvPr id="4862" name="AutoShape 1790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346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1789</xdr:row>
      <xdr:rowOff>0</xdr:rowOff>
    </xdr:from>
    <xdr:to>
      <xdr:col>4</xdr:col>
      <xdr:colOff>304800</xdr:colOff>
      <xdr:row>1790</xdr:row>
      <xdr:rowOff>114300</xdr:rowOff>
    </xdr:to>
    <xdr:sp macro="" textlink="">
      <xdr:nvSpPr>
        <xdr:cNvPr id="4863" name="AutoShape 1791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389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1789</xdr:row>
      <xdr:rowOff>0</xdr:rowOff>
    </xdr:from>
    <xdr:to>
      <xdr:col>5</xdr:col>
      <xdr:colOff>304800</xdr:colOff>
      <xdr:row>1790</xdr:row>
      <xdr:rowOff>114300</xdr:rowOff>
    </xdr:to>
    <xdr:sp macro="" textlink="">
      <xdr:nvSpPr>
        <xdr:cNvPr id="4864" name="AutoShape 1792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389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1791</xdr:row>
      <xdr:rowOff>0</xdr:rowOff>
    </xdr:from>
    <xdr:to>
      <xdr:col>4</xdr:col>
      <xdr:colOff>304800</xdr:colOff>
      <xdr:row>1792</xdr:row>
      <xdr:rowOff>114300</xdr:rowOff>
    </xdr:to>
    <xdr:sp macro="" textlink="">
      <xdr:nvSpPr>
        <xdr:cNvPr id="4865" name="AutoShape 1793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4474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1791</xdr:row>
      <xdr:rowOff>0</xdr:rowOff>
    </xdr:from>
    <xdr:to>
      <xdr:col>5</xdr:col>
      <xdr:colOff>304800</xdr:colOff>
      <xdr:row>1792</xdr:row>
      <xdr:rowOff>114300</xdr:rowOff>
    </xdr:to>
    <xdr:sp macro="" textlink="">
      <xdr:nvSpPr>
        <xdr:cNvPr id="4866" name="AutoShape 1794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4474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1793</xdr:row>
      <xdr:rowOff>0</xdr:rowOff>
    </xdr:from>
    <xdr:to>
      <xdr:col>4</xdr:col>
      <xdr:colOff>304800</xdr:colOff>
      <xdr:row>1794</xdr:row>
      <xdr:rowOff>114300</xdr:rowOff>
    </xdr:to>
    <xdr:sp macro="" textlink="">
      <xdr:nvSpPr>
        <xdr:cNvPr id="4867" name="AutoShape 1795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5246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1793</xdr:row>
      <xdr:rowOff>0</xdr:rowOff>
    </xdr:from>
    <xdr:to>
      <xdr:col>5</xdr:col>
      <xdr:colOff>304800</xdr:colOff>
      <xdr:row>1794</xdr:row>
      <xdr:rowOff>114300</xdr:rowOff>
    </xdr:to>
    <xdr:sp macro="" textlink="">
      <xdr:nvSpPr>
        <xdr:cNvPr id="4868" name="AutoShape 1796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5246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1795</xdr:row>
      <xdr:rowOff>0</xdr:rowOff>
    </xdr:from>
    <xdr:to>
      <xdr:col>4</xdr:col>
      <xdr:colOff>304800</xdr:colOff>
      <xdr:row>1796</xdr:row>
      <xdr:rowOff>114300</xdr:rowOff>
    </xdr:to>
    <xdr:sp macro="" textlink="">
      <xdr:nvSpPr>
        <xdr:cNvPr id="4869" name="AutoShape 1797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5827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1795</xdr:row>
      <xdr:rowOff>0</xdr:rowOff>
    </xdr:from>
    <xdr:to>
      <xdr:col>5</xdr:col>
      <xdr:colOff>304800</xdr:colOff>
      <xdr:row>1796</xdr:row>
      <xdr:rowOff>114300</xdr:rowOff>
    </xdr:to>
    <xdr:sp macro="" textlink="">
      <xdr:nvSpPr>
        <xdr:cNvPr id="4870" name="AutoShape 1798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5827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1797</xdr:row>
      <xdr:rowOff>0</xdr:rowOff>
    </xdr:from>
    <xdr:to>
      <xdr:col>4</xdr:col>
      <xdr:colOff>304800</xdr:colOff>
      <xdr:row>1798</xdr:row>
      <xdr:rowOff>114300</xdr:rowOff>
    </xdr:to>
    <xdr:sp macro="" textlink="">
      <xdr:nvSpPr>
        <xdr:cNvPr id="4871" name="AutoShape 1799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640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1797</xdr:row>
      <xdr:rowOff>0</xdr:rowOff>
    </xdr:from>
    <xdr:to>
      <xdr:col>5</xdr:col>
      <xdr:colOff>304800</xdr:colOff>
      <xdr:row>1798</xdr:row>
      <xdr:rowOff>114300</xdr:rowOff>
    </xdr:to>
    <xdr:sp macro="" textlink="">
      <xdr:nvSpPr>
        <xdr:cNvPr id="4872" name="AutoShape 1800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640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1799</xdr:row>
      <xdr:rowOff>0</xdr:rowOff>
    </xdr:from>
    <xdr:to>
      <xdr:col>4</xdr:col>
      <xdr:colOff>304800</xdr:colOff>
      <xdr:row>1800</xdr:row>
      <xdr:rowOff>76200</xdr:rowOff>
    </xdr:to>
    <xdr:sp macro="" textlink="">
      <xdr:nvSpPr>
        <xdr:cNvPr id="4873" name="AutoShape 1801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698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1799</xdr:row>
      <xdr:rowOff>0</xdr:rowOff>
    </xdr:from>
    <xdr:to>
      <xdr:col>5</xdr:col>
      <xdr:colOff>304800</xdr:colOff>
      <xdr:row>1800</xdr:row>
      <xdr:rowOff>76200</xdr:rowOff>
    </xdr:to>
    <xdr:sp macro="" textlink="">
      <xdr:nvSpPr>
        <xdr:cNvPr id="4874" name="AutoShape 180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698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1801</xdr:row>
      <xdr:rowOff>0</xdr:rowOff>
    </xdr:from>
    <xdr:to>
      <xdr:col>4</xdr:col>
      <xdr:colOff>304800</xdr:colOff>
      <xdr:row>1802</xdr:row>
      <xdr:rowOff>114300</xdr:rowOff>
    </xdr:to>
    <xdr:sp macro="" textlink="">
      <xdr:nvSpPr>
        <xdr:cNvPr id="4875" name="AutoShape 1803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7417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1801</xdr:row>
      <xdr:rowOff>0</xdr:rowOff>
    </xdr:from>
    <xdr:to>
      <xdr:col>5</xdr:col>
      <xdr:colOff>304800</xdr:colOff>
      <xdr:row>1802</xdr:row>
      <xdr:rowOff>114300</xdr:rowOff>
    </xdr:to>
    <xdr:sp macro="" textlink="">
      <xdr:nvSpPr>
        <xdr:cNvPr id="4876" name="AutoShape 1804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7417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1803</xdr:row>
      <xdr:rowOff>0</xdr:rowOff>
    </xdr:from>
    <xdr:to>
      <xdr:col>4</xdr:col>
      <xdr:colOff>304800</xdr:colOff>
      <xdr:row>1804</xdr:row>
      <xdr:rowOff>114300</xdr:rowOff>
    </xdr:to>
    <xdr:sp macro="" textlink="">
      <xdr:nvSpPr>
        <xdr:cNvPr id="4877" name="AutoShape 1805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7998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1803</xdr:row>
      <xdr:rowOff>0</xdr:rowOff>
    </xdr:from>
    <xdr:to>
      <xdr:col>5</xdr:col>
      <xdr:colOff>304800</xdr:colOff>
      <xdr:row>1804</xdr:row>
      <xdr:rowOff>114300</xdr:rowOff>
    </xdr:to>
    <xdr:sp macro="" textlink="">
      <xdr:nvSpPr>
        <xdr:cNvPr id="4878" name="AutoShape 1806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7998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1805</xdr:row>
      <xdr:rowOff>0</xdr:rowOff>
    </xdr:from>
    <xdr:to>
      <xdr:col>4</xdr:col>
      <xdr:colOff>304800</xdr:colOff>
      <xdr:row>1806</xdr:row>
      <xdr:rowOff>114300</xdr:rowOff>
    </xdr:to>
    <xdr:sp macro="" textlink="">
      <xdr:nvSpPr>
        <xdr:cNvPr id="4879" name="AutoShape 1807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857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1805</xdr:row>
      <xdr:rowOff>0</xdr:rowOff>
    </xdr:from>
    <xdr:to>
      <xdr:col>5</xdr:col>
      <xdr:colOff>304800</xdr:colOff>
      <xdr:row>1806</xdr:row>
      <xdr:rowOff>114300</xdr:rowOff>
    </xdr:to>
    <xdr:sp macro="" textlink="">
      <xdr:nvSpPr>
        <xdr:cNvPr id="4880" name="AutoShape 1808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857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1807</xdr:row>
      <xdr:rowOff>0</xdr:rowOff>
    </xdr:from>
    <xdr:to>
      <xdr:col>4</xdr:col>
      <xdr:colOff>304800</xdr:colOff>
      <xdr:row>1808</xdr:row>
      <xdr:rowOff>76200</xdr:rowOff>
    </xdr:to>
    <xdr:sp macro="" textlink="">
      <xdr:nvSpPr>
        <xdr:cNvPr id="4881" name="AutoShape 1809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916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1807</xdr:row>
      <xdr:rowOff>0</xdr:rowOff>
    </xdr:from>
    <xdr:to>
      <xdr:col>5</xdr:col>
      <xdr:colOff>304800</xdr:colOff>
      <xdr:row>1808</xdr:row>
      <xdr:rowOff>76200</xdr:rowOff>
    </xdr:to>
    <xdr:sp macro="" textlink="">
      <xdr:nvSpPr>
        <xdr:cNvPr id="4882" name="AutoShape 1810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916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1809</xdr:row>
      <xdr:rowOff>0</xdr:rowOff>
    </xdr:from>
    <xdr:to>
      <xdr:col>4</xdr:col>
      <xdr:colOff>304800</xdr:colOff>
      <xdr:row>1810</xdr:row>
      <xdr:rowOff>114300</xdr:rowOff>
    </xdr:to>
    <xdr:sp macro="" textlink="">
      <xdr:nvSpPr>
        <xdr:cNvPr id="4883" name="AutoShape 1811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958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1809</xdr:row>
      <xdr:rowOff>0</xdr:rowOff>
    </xdr:from>
    <xdr:to>
      <xdr:col>5</xdr:col>
      <xdr:colOff>304800</xdr:colOff>
      <xdr:row>1810</xdr:row>
      <xdr:rowOff>114300</xdr:rowOff>
    </xdr:to>
    <xdr:sp macro="" textlink="">
      <xdr:nvSpPr>
        <xdr:cNvPr id="4884" name="AutoShape 1812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958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1811</xdr:row>
      <xdr:rowOff>0</xdr:rowOff>
    </xdr:from>
    <xdr:to>
      <xdr:col>4</xdr:col>
      <xdr:colOff>304800</xdr:colOff>
      <xdr:row>1812</xdr:row>
      <xdr:rowOff>114300</xdr:rowOff>
    </xdr:to>
    <xdr:sp macro="" textlink="">
      <xdr:nvSpPr>
        <xdr:cNvPr id="4885" name="AutoShape 1813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0170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1811</xdr:row>
      <xdr:rowOff>0</xdr:rowOff>
    </xdr:from>
    <xdr:to>
      <xdr:col>5</xdr:col>
      <xdr:colOff>304800</xdr:colOff>
      <xdr:row>1812</xdr:row>
      <xdr:rowOff>114300</xdr:rowOff>
    </xdr:to>
    <xdr:sp macro="" textlink="">
      <xdr:nvSpPr>
        <xdr:cNvPr id="4886" name="AutoShape 1814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0170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1813</xdr:row>
      <xdr:rowOff>0</xdr:rowOff>
    </xdr:from>
    <xdr:to>
      <xdr:col>4</xdr:col>
      <xdr:colOff>304800</xdr:colOff>
      <xdr:row>1814</xdr:row>
      <xdr:rowOff>114300</xdr:rowOff>
    </xdr:to>
    <xdr:sp macro="" textlink="">
      <xdr:nvSpPr>
        <xdr:cNvPr id="4887" name="AutoShape 1815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075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1813</xdr:row>
      <xdr:rowOff>0</xdr:rowOff>
    </xdr:from>
    <xdr:to>
      <xdr:col>5</xdr:col>
      <xdr:colOff>304800</xdr:colOff>
      <xdr:row>1814</xdr:row>
      <xdr:rowOff>114300</xdr:rowOff>
    </xdr:to>
    <xdr:sp macro="" textlink="">
      <xdr:nvSpPr>
        <xdr:cNvPr id="4888" name="AutoShape 1816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075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1815</xdr:row>
      <xdr:rowOff>0</xdr:rowOff>
    </xdr:from>
    <xdr:to>
      <xdr:col>4</xdr:col>
      <xdr:colOff>304800</xdr:colOff>
      <xdr:row>1816</xdr:row>
      <xdr:rowOff>76200</xdr:rowOff>
    </xdr:to>
    <xdr:sp macro="" textlink="">
      <xdr:nvSpPr>
        <xdr:cNvPr id="4889" name="AutoShape 1817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133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1815</xdr:row>
      <xdr:rowOff>0</xdr:rowOff>
    </xdr:from>
    <xdr:to>
      <xdr:col>5</xdr:col>
      <xdr:colOff>304800</xdr:colOff>
      <xdr:row>1816</xdr:row>
      <xdr:rowOff>76200</xdr:rowOff>
    </xdr:to>
    <xdr:sp macro="" textlink="">
      <xdr:nvSpPr>
        <xdr:cNvPr id="4890" name="AutoShape 1818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133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1817</xdr:row>
      <xdr:rowOff>0</xdr:rowOff>
    </xdr:from>
    <xdr:to>
      <xdr:col>4</xdr:col>
      <xdr:colOff>304800</xdr:colOff>
      <xdr:row>1818</xdr:row>
      <xdr:rowOff>114300</xdr:rowOff>
    </xdr:to>
    <xdr:sp macro="" textlink="">
      <xdr:nvSpPr>
        <xdr:cNvPr id="4891" name="AutoShape 1819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176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1817</xdr:row>
      <xdr:rowOff>0</xdr:rowOff>
    </xdr:from>
    <xdr:to>
      <xdr:col>5</xdr:col>
      <xdr:colOff>304800</xdr:colOff>
      <xdr:row>1818</xdr:row>
      <xdr:rowOff>114300</xdr:rowOff>
    </xdr:to>
    <xdr:sp macro="" textlink="">
      <xdr:nvSpPr>
        <xdr:cNvPr id="4892" name="AutoShape 1820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176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1819</xdr:row>
      <xdr:rowOff>0</xdr:rowOff>
    </xdr:from>
    <xdr:to>
      <xdr:col>4</xdr:col>
      <xdr:colOff>304800</xdr:colOff>
      <xdr:row>1820</xdr:row>
      <xdr:rowOff>114300</xdr:rowOff>
    </xdr:to>
    <xdr:sp macro="" textlink="">
      <xdr:nvSpPr>
        <xdr:cNvPr id="4893" name="AutoShape 1821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2342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1819</xdr:row>
      <xdr:rowOff>0</xdr:rowOff>
    </xdr:from>
    <xdr:to>
      <xdr:col>5</xdr:col>
      <xdr:colOff>304800</xdr:colOff>
      <xdr:row>1820</xdr:row>
      <xdr:rowOff>114300</xdr:rowOff>
    </xdr:to>
    <xdr:sp macro="" textlink="">
      <xdr:nvSpPr>
        <xdr:cNvPr id="4894" name="AutoShape 1822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2342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1821</xdr:row>
      <xdr:rowOff>0</xdr:rowOff>
    </xdr:from>
    <xdr:to>
      <xdr:col>4</xdr:col>
      <xdr:colOff>304800</xdr:colOff>
      <xdr:row>1822</xdr:row>
      <xdr:rowOff>114300</xdr:rowOff>
    </xdr:to>
    <xdr:sp macro="" textlink="">
      <xdr:nvSpPr>
        <xdr:cNvPr id="4895" name="AutoShape 1823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2923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1821</xdr:row>
      <xdr:rowOff>0</xdr:rowOff>
    </xdr:from>
    <xdr:to>
      <xdr:col>5</xdr:col>
      <xdr:colOff>304800</xdr:colOff>
      <xdr:row>1822</xdr:row>
      <xdr:rowOff>114300</xdr:rowOff>
    </xdr:to>
    <xdr:sp macro="" textlink="">
      <xdr:nvSpPr>
        <xdr:cNvPr id="4896" name="AutoShape 1824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2923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1823</xdr:row>
      <xdr:rowOff>0</xdr:rowOff>
    </xdr:from>
    <xdr:to>
      <xdr:col>4</xdr:col>
      <xdr:colOff>304800</xdr:colOff>
      <xdr:row>1824</xdr:row>
      <xdr:rowOff>114300</xdr:rowOff>
    </xdr:to>
    <xdr:sp macro="" textlink="">
      <xdr:nvSpPr>
        <xdr:cNvPr id="4897" name="AutoShape 1825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3504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1823</xdr:row>
      <xdr:rowOff>0</xdr:rowOff>
    </xdr:from>
    <xdr:to>
      <xdr:col>5</xdr:col>
      <xdr:colOff>304800</xdr:colOff>
      <xdr:row>1824</xdr:row>
      <xdr:rowOff>114300</xdr:rowOff>
    </xdr:to>
    <xdr:sp macro="" textlink="">
      <xdr:nvSpPr>
        <xdr:cNvPr id="4898" name="AutoShape 1826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3504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1825</xdr:row>
      <xdr:rowOff>0</xdr:rowOff>
    </xdr:from>
    <xdr:to>
      <xdr:col>4</xdr:col>
      <xdr:colOff>304800</xdr:colOff>
      <xdr:row>1826</xdr:row>
      <xdr:rowOff>76200</xdr:rowOff>
    </xdr:to>
    <xdr:sp macro="" textlink="">
      <xdr:nvSpPr>
        <xdr:cNvPr id="4899" name="AutoShape 1827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408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1825</xdr:row>
      <xdr:rowOff>0</xdr:rowOff>
    </xdr:from>
    <xdr:to>
      <xdr:col>5</xdr:col>
      <xdr:colOff>304800</xdr:colOff>
      <xdr:row>1826</xdr:row>
      <xdr:rowOff>76200</xdr:rowOff>
    </xdr:to>
    <xdr:sp macro="" textlink="">
      <xdr:nvSpPr>
        <xdr:cNvPr id="4900" name="AutoShape 1828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408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1827</xdr:row>
      <xdr:rowOff>0</xdr:rowOff>
    </xdr:from>
    <xdr:to>
      <xdr:col>4</xdr:col>
      <xdr:colOff>304800</xdr:colOff>
      <xdr:row>1828</xdr:row>
      <xdr:rowOff>114300</xdr:rowOff>
    </xdr:to>
    <xdr:sp macro="" textlink="">
      <xdr:nvSpPr>
        <xdr:cNvPr id="4901" name="AutoShape 1829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451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1827</xdr:row>
      <xdr:rowOff>0</xdr:rowOff>
    </xdr:from>
    <xdr:to>
      <xdr:col>5</xdr:col>
      <xdr:colOff>304800</xdr:colOff>
      <xdr:row>1828</xdr:row>
      <xdr:rowOff>114300</xdr:rowOff>
    </xdr:to>
    <xdr:sp macro="" textlink="">
      <xdr:nvSpPr>
        <xdr:cNvPr id="4902" name="AutoShape 1830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451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1829</xdr:row>
      <xdr:rowOff>0</xdr:rowOff>
    </xdr:from>
    <xdr:to>
      <xdr:col>4</xdr:col>
      <xdr:colOff>304800</xdr:colOff>
      <xdr:row>1830</xdr:row>
      <xdr:rowOff>114300</xdr:rowOff>
    </xdr:to>
    <xdr:sp macro="" textlink="">
      <xdr:nvSpPr>
        <xdr:cNvPr id="4903" name="AutoShape 1831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509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1829</xdr:row>
      <xdr:rowOff>0</xdr:rowOff>
    </xdr:from>
    <xdr:to>
      <xdr:col>5</xdr:col>
      <xdr:colOff>304800</xdr:colOff>
      <xdr:row>1830</xdr:row>
      <xdr:rowOff>114300</xdr:rowOff>
    </xdr:to>
    <xdr:sp macro="" textlink="">
      <xdr:nvSpPr>
        <xdr:cNvPr id="4904" name="AutoShape 1832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509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1831</xdr:row>
      <xdr:rowOff>0</xdr:rowOff>
    </xdr:from>
    <xdr:to>
      <xdr:col>4</xdr:col>
      <xdr:colOff>304800</xdr:colOff>
      <xdr:row>1832</xdr:row>
      <xdr:rowOff>114300</xdr:rowOff>
    </xdr:to>
    <xdr:sp macro="" textlink="">
      <xdr:nvSpPr>
        <xdr:cNvPr id="4905" name="AutoShape 1833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56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1831</xdr:row>
      <xdr:rowOff>0</xdr:rowOff>
    </xdr:from>
    <xdr:to>
      <xdr:col>5</xdr:col>
      <xdr:colOff>304800</xdr:colOff>
      <xdr:row>1832</xdr:row>
      <xdr:rowOff>114300</xdr:rowOff>
    </xdr:to>
    <xdr:sp macro="" textlink="">
      <xdr:nvSpPr>
        <xdr:cNvPr id="4906" name="AutoShape 1834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56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1833</xdr:row>
      <xdr:rowOff>0</xdr:rowOff>
    </xdr:from>
    <xdr:to>
      <xdr:col>4</xdr:col>
      <xdr:colOff>304800</xdr:colOff>
      <xdr:row>1834</xdr:row>
      <xdr:rowOff>76200</xdr:rowOff>
    </xdr:to>
    <xdr:sp macro="" textlink="">
      <xdr:nvSpPr>
        <xdr:cNvPr id="4907" name="AutoShape 183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625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1833</xdr:row>
      <xdr:rowOff>0</xdr:rowOff>
    </xdr:from>
    <xdr:to>
      <xdr:col>5</xdr:col>
      <xdr:colOff>304800</xdr:colOff>
      <xdr:row>1834</xdr:row>
      <xdr:rowOff>76200</xdr:rowOff>
    </xdr:to>
    <xdr:sp macro="" textlink="">
      <xdr:nvSpPr>
        <xdr:cNvPr id="4908" name="AutoShape 1836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625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1835</xdr:row>
      <xdr:rowOff>0</xdr:rowOff>
    </xdr:from>
    <xdr:to>
      <xdr:col>4</xdr:col>
      <xdr:colOff>304800</xdr:colOff>
      <xdr:row>1836</xdr:row>
      <xdr:rowOff>114300</xdr:rowOff>
    </xdr:to>
    <xdr:sp macro="" textlink="">
      <xdr:nvSpPr>
        <xdr:cNvPr id="4909" name="AutoShape 1837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668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1835</xdr:row>
      <xdr:rowOff>0</xdr:rowOff>
    </xdr:from>
    <xdr:to>
      <xdr:col>5</xdr:col>
      <xdr:colOff>304800</xdr:colOff>
      <xdr:row>1836</xdr:row>
      <xdr:rowOff>114300</xdr:rowOff>
    </xdr:to>
    <xdr:sp macro="" textlink="">
      <xdr:nvSpPr>
        <xdr:cNvPr id="4910" name="AutoShape 1838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668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1837</xdr:row>
      <xdr:rowOff>0</xdr:rowOff>
    </xdr:from>
    <xdr:to>
      <xdr:col>4</xdr:col>
      <xdr:colOff>304800</xdr:colOff>
      <xdr:row>1838</xdr:row>
      <xdr:rowOff>114300</xdr:rowOff>
    </xdr:to>
    <xdr:sp macro="" textlink="">
      <xdr:nvSpPr>
        <xdr:cNvPr id="4911" name="AutoShape 1839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726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1837</xdr:row>
      <xdr:rowOff>0</xdr:rowOff>
    </xdr:from>
    <xdr:to>
      <xdr:col>5</xdr:col>
      <xdr:colOff>304800</xdr:colOff>
      <xdr:row>1838</xdr:row>
      <xdr:rowOff>114300</xdr:rowOff>
    </xdr:to>
    <xdr:sp macro="" textlink="">
      <xdr:nvSpPr>
        <xdr:cNvPr id="4912" name="AutoShape 1840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726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1839</xdr:row>
      <xdr:rowOff>0</xdr:rowOff>
    </xdr:from>
    <xdr:to>
      <xdr:col>4</xdr:col>
      <xdr:colOff>304800</xdr:colOff>
      <xdr:row>1840</xdr:row>
      <xdr:rowOff>114300</xdr:rowOff>
    </xdr:to>
    <xdr:sp macro="" textlink="">
      <xdr:nvSpPr>
        <xdr:cNvPr id="4913" name="AutoShape 1841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803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1839</xdr:row>
      <xdr:rowOff>0</xdr:rowOff>
    </xdr:from>
    <xdr:to>
      <xdr:col>5</xdr:col>
      <xdr:colOff>304800</xdr:colOff>
      <xdr:row>1840</xdr:row>
      <xdr:rowOff>114300</xdr:rowOff>
    </xdr:to>
    <xdr:sp macro="" textlink="">
      <xdr:nvSpPr>
        <xdr:cNvPr id="4914" name="AutoShape 1842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803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1841</xdr:row>
      <xdr:rowOff>0</xdr:rowOff>
    </xdr:from>
    <xdr:to>
      <xdr:col>4</xdr:col>
      <xdr:colOff>304800</xdr:colOff>
      <xdr:row>1842</xdr:row>
      <xdr:rowOff>114300</xdr:rowOff>
    </xdr:to>
    <xdr:sp macro="" textlink="">
      <xdr:nvSpPr>
        <xdr:cNvPr id="4915" name="AutoShape 1843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861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1841</xdr:row>
      <xdr:rowOff>0</xdr:rowOff>
    </xdr:from>
    <xdr:to>
      <xdr:col>5</xdr:col>
      <xdr:colOff>304800</xdr:colOff>
      <xdr:row>1842</xdr:row>
      <xdr:rowOff>114300</xdr:rowOff>
    </xdr:to>
    <xdr:sp macro="" textlink="">
      <xdr:nvSpPr>
        <xdr:cNvPr id="4916" name="AutoShape 1844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861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1843</xdr:row>
      <xdr:rowOff>0</xdr:rowOff>
    </xdr:from>
    <xdr:to>
      <xdr:col>4</xdr:col>
      <xdr:colOff>304800</xdr:colOff>
      <xdr:row>1844</xdr:row>
      <xdr:rowOff>114300</xdr:rowOff>
    </xdr:to>
    <xdr:sp macro="" textlink="">
      <xdr:nvSpPr>
        <xdr:cNvPr id="4917" name="AutoShape 1845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920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1843</xdr:row>
      <xdr:rowOff>0</xdr:rowOff>
    </xdr:from>
    <xdr:to>
      <xdr:col>5</xdr:col>
      <xdr:colOff>304800</xdr:colOff>
      <xdr:row>1844</xdr:row>
      <xdr:rowOff>114300</xdr:rowOff>
    </xdr:to>
    <xdr:sp macro="" textlink="">
      <xdr:nvSpPr>
        <xdr:cNvPr id="4918" name="AutoShape 1846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920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1845</xdr:row>
      <xdr:rowOff>0</xdr:rowOff>
    </xdr:from>
    <xdr:to>
      <xdr:col>4</xdr:col>
      <xdr:colOff>304800</xdr:colOff>
      <xdr:row>1846</xdr:row>
      <xdr:rowOff>114300</xdr:rowOff>
    </xdr:to>
    <xdr:sp macro="" textlink="">
      <xdr:nvSpPr>
        <xdr:cNvPr id="4919" name="AutoShape 1847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978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1845</xdr:row>
      <xdr:rowOff>0</xdr:rowOff>
    </xdr:from>
    <xdr:to>
      <xdr:col>5</xdr:col>
      <xdr:colOff>304800</xdr:colOff>
      <xdr:row>1846</xdr:row>
      <xdr:rowOff>114300</xdr:rowOff>
    </xdr:to>
    <xdr:sp macro="" textlink="">
      <xdr:nvSpPr>
        <xdr:cNvPr id="4920" name="AutoShape 1848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978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1847</xdr:row>
      <xdr:rowOff>0</xdr:rowOff>
    </xdr:from>
    <xdr:to>
      <xdr:col>4</xdr:col>
      <xdr:colOff>304800</xdr:colOff>
      <xdr:row>1848</xdr:row>
      <xdr:rowOff>76200</xdr:rowOff>
    </xdr:to>
    <xdr:sp macro="" textlink="">
      <xdr:nvSpPr>
        <xdr:cNvPr id="4921" name="AutoShape 1849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6036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1847</xdr:row>
      <xdr:rowOff>0</xdr:rowOff>
    </xdr:from>
    <xdr:to>
      <xdr:col>5</xdr:col>
      <xdr:colOff>304800</xdr:colOff>
      <xdr:row>1848</xdr:row>
      <xdr:rowOff>76200</xdr:rowOff>
    </xdr:to>
    <xdr:sp macro="" textlink="">
      <xdr:nvSpPr>
        <xdr:cNvPr id="4922" name="AutoShape 1850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6036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1849</xdr:row>
      <xdr:rowOff>0</xdr:rowOff>
    </xdr:from>
    <xdr:to>
      <xdr:col>4</xdr:col>
      <xdr:colOff>304800</xdr:colOff>
      <xdr:row>1850</xdr:row>
      <xdr:rowOff>114300</xdr:rowOff>
    </xdr:to>
    <xdr:sp macro="" textlink="">
      <xdr:nvSpPr>
        <xdr:cNvPr id="4923" name="AutoShape 1851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6079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1849</xdr:row>
      <xdr:rowOff>0</xdr:rowOff>
    </xdr:from>
    <xdr:to>
      <xdr:col>5</xdr:col>
      <xdr:colOff>304800</xdr:colOff>
      <xdr:row>1850</xdr:row>
      <xdr:rowOff>114300</xdr:rowOff>
    </xdr:to>
    <xdr:sp macro="" textlink="">
      <xdr:nvSpPr>
        <xdr:cNvPr id="4924" name="AutoShape 1852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6079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1851</xdr:row>
      <xdr:rowOff>0</xdr:rowOff>
    </xdr:from>
    <xdr:to>
      <xdr:col>4</xdr:col>
      <xdr:colOff>304800</xdr:colOff>
      <xdr:row>1852</xdr:row>
      <xdr:rowOff>114300</xdr:rowOff>
    </xdr:to>
    <xdr:sp macro="" textlink="">
      <xdr:nvSpPr>
        <xdr:cNvPr id="4925" name="AutoShape 1853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6137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1851</xdr:row>
      <xdr:rowOff>0</xdr:rowOff>
    </xdr:from>
    <xdr:to>
      <xdr:col>5</xdr:col>
      <xdr:colOff>304800</xdr:colOff>
      <xdr:row>1852</xdr:row>
      <xdr:rowOff>114300</xdr:rowOff>
    </xdr:to>
    <xdr:sp macro="" textlink="">
      <xdr:nvSpPr>
        <xdr:cNvPr id="4926" name="AutoShape 1854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6137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1853</xdr:row>
      <xdr:rowOff>0</xdr:rowOff>
    </xdr:from>
    <xdr:to>
      <xdr:col>4</xdr:col>
      <xdr:colOff>304800</xdr:colOff>
      <xdr:row>1854</xdr:row>
      <xdr:rowOff>114300</xdr:rowOff>
    </xdr:to>
    <xdr:sp macro="" textlink="">
      <xdr:nvSpPr>
        <xdr:cNvPr id="4927" name="AutoShape 1855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6214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1853</xdr:row>
      <xdr:rowOff>0</xdr:rowOff>
    </xdr:from>
    <xdr:to>
      <xdr:col>5</xdr:col>
      <xdr:colOff>304800</xdr:colOff>
      <xdr:row>1854</xdr:row>
      <xdr:rowOff>114300</xdr:rowOff>
    </xdr:to>
    <xdr:sp macro="" textlink="">
      <xdr:nvSpPr>
        <xdr:cNvPr id="4928" name="AutoShape 1856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6214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1855</xdr:row>
      <xdr:rowOff>0</xdr:rowOff>
    </xdr:from>
    <xdr:to>
      <xdr:col>4</xdr:col>
      <xdr:colOff>304800</xdr:colOff>
      <xdr:row>1856</xdr:row>
      <xdr:rowOff>76200</xdr:rowOff>
    </xdr:to>
    <xdr:sp macro="" textlink="">
      <xdr:nvSpPr>
        <xdr:cNvPr id="4929" name="AutoShape 1857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6272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1855</xdr:row>
      <xdr:rowOff>0</xdr:rowOff>
    </xdr:from>
    <xdr:to>
      <xdr:col>5</xdr:col>
      <xdr:colOff>304800</xdr:colOff>
      <xdr:row>1856</xdr:row>
      <xdr:rowOff>76200</xdr:rowOff>
    </xdr:to>
    <xdr:sp macro="" textlink="">
      <xdr:nvSpPr>
        <xdr:cNvPr id="4930" name="AutoShape 1858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6272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1857</xdr:row>
      <xdr:rowOff>0</xdr:rowOff>
    </xdr:from>
    <xdr:to>
      <xdr:col>4</xdr:col>
      <xdr:colOff>304800</xdr:colOff>
      <xdr:row>1858</xdr:row>
      <xdr:rowOff>114300</xdr:rowOff>
    </xdr:to>
    <xdr:sp macro="" textlink="">
      <xdr:nvSpPr>
        <xdr:cNvPr id="4931" name="AutoShape 1859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6315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1857</xdr:row>
      <xdr:rowOff>0</xdr:rowOff>
    </xdr:from>
    <xdr:to>
      <xdr:col>5</xdr:col>
      <xdr:colOff>304800</xdr:colOff>
      <xdr:row>1858</xdr:row>
      <xdr:rowOff>114300</xdr:rowOff>
    </xdr:to>
    <xdr:sp macro="" textlink="">
      <xdr:nvSpPr>
        <xdr:cNvPr id="4932" name="AutoShape 1860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6315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1859</xdr:row>
      <xdr:rowOff>0</xdr:rowOff>
    </xdr:from>
    <xdr:to>
      <xdr:col>4</xdr:col>
      <xdr:colOff>304800</xdr:colOff>
      <xdr:row>1860</xdr:row>
      <xdr:rowOff>114300</xdr:rowOff>
    </xdr:to>
    <xdr:sp macro="" textlink="">
      <xdr:nvSpPr>
        <xdr:cNvPr id="4933" name="AutoShape 1861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6373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1859</xdr:row>
      <xdr:rowOff>0</xdr:rowOff>
    </xdr:from>
    <xdr:to>
      <xdr:col>5</xdr:col>
      <xdr:colOff>304800</xdr:colOff>
      <xdr:row>1860</xdr:row>
      <xdr:rowOff>114300</xdr:rowOff>
    </xdr:to>
    <xdr:sp macro="" textlink="">
      <xdr:nvSpPr>
        <xdr:cNvPr id="4934" name="AutoShape 1862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6373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1861</xdr:row>
      <xdr:rowOff>0</xdr:rowOff>
    </xdr:from>
    <xdr:to>
      <xdr:col>4</xdr:col>
      <xdr:colOff>304800</xdr:colOff>
      <xdr:row>1862</xdr:row>
      <xdr:rowOff>114300</xdr:rowOff>
    </xdr:to>
    <xdr:sp macro="" textlink="">
      <xdr:nvSpPr>
        <xdr:cNvPr id="4935" name="AutoShape 1863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64315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1861</xdr:row>
      <xdr:rowOff>0</xdr:rowOff>
    </xdr:from>
    <xdr:to>
      <xdr:col>5</xdr:col>
      <xdr:colOff>304800</xdr:colOff>
      <xdr:row>1862</xdr:row>
      <xdr:rowOff>114300</xdr:rowOff>
    </xdr:to>
    <xdr:sp macro="" textlink="">
      <xdr:nvSpPr>
        <xdr:cNvPr id="4936" name="AutoShape 1864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64315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1863</xdr:row>
      <xdr:rowOff>0</xdr:rowOff>
    </xdr:from>
    <xdr:to>
      <xdr:col>4</xdr:col>
      <xdr:colOff>304800</xdr:colOff>
      <xdr:row>1864</xdr:row>
      <xdr:rowOff>114300</xdr:rowOff>
    </xdr:to>
    <xdr:sp macro="" textlink="">
      <xdr:nvSpPr>
        <xdr:cNvPr id="4937" name="AutoShape 186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6489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1863</xdr:row>
      <xdr:rowOff>0</xdr:rowOff>
    </xdr:from>
    <xdr:to>
      <xdr:col>5</xdr:col>
      <xdr:colOff>304800</xdr:colOff>
      <xdr:row>1864</xdr:row>
      <xdr:rowOff>114300</xdr:rowOff>
    </xdr:to>
    <xdr:sp macro="" textlink="">
      <xdr:nvSpPr>
        <xdr:cNvPr id="4938" name="AutoShape 1866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6489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1865</xdr:row>
      <xdr:rowOff>0</xdr:rowOff>
    </xdr:from>
    <xdr:to>
      <xdr:col>4</xdr:col>
      <xdr:colOff>304800</xdr:colOff>
      <xdr:row>1866</xdr:row>
      <xdr:rowOff>66675</xdr:rowOff>
    </xdr:to>
    <xdr:sp macro="" textlink="">
      <xdr:nvSpPr>
        <xdr:cNvPr id="4939" name="AutoShape 1867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6547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1865</xdr:row>
      <xdr:rowOff>0</xdr:rowOff>
    </xdr:from>
    <xdr:to>
      <xdr:col>5</xdr:col>
      <xdr:colOff>304800</xdr:colOff>
      <xdr:row>1866</xdr:row>
      <xdr:rowOff>66675</xdr:rowOff>
    </xdr:to>
    <xdr:sp macro="" textlink="">
      <xdr:nvSpPr>
        <xdr:cNvPr id="4940" name="AutoShape 1868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6547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1867</xdr:row>
      <xdr:rowOff>0</xdr:rowOff>
    </xdr:from>
    <xdr:to>
      <xdr:col>4</xdr:col>
      <xdr:colOff>304800</xdr:colOff>
      <xdr:row>1868</xdr:row>
      <xdr:rowOff>114300</xdr:rowOff>
    </xdr:to>
    <xdr:sp macro="" textlink="">
      <xdr:nvSpPr>
        <xdr:cNvPr id="2048" name="AutoShape 433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0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1867</xdr:row>
      <xdr:rowOff>0</xdr:rowOff>
    </xdr:from>
    <xdr:to>
      <xdr:col>5</xdr:col>
      <xdr:colOff>304800</xdr:colOff>
      <xdr:row>1868</xdr:row>
      <xdr:rowOff>114300</xdr:rowOff>
    </xdr:to>
    <xdr:sp macro="" textlink="">
      <xdr:nvSpPr>
        <xdr:cNvPr id="2049" name="AutoShape 434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0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1869</xdr:row>
      <xdr:rowOff>0</xdr:rowOff>
    </xdr:from>
    <xdr:to>
      <xdr:col>4</xdr:col>
      <xdr:colOff>304800</xdr:colOff>
      <xdr:row>1870</xdr:row>
      <xdr:rowOff>114300</xdr:rowOff>
    </xdr:to>
    <xdr:sp macro="" textlink="">
      <xdr:nvSpPr>
        <xdr:cNvPr id="2050" name="AutoShape 435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90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1869</xdr:row>
      <xdr:rowOff>0</xdr:rowOff>
    </xdr:from>
    <xdr:to>
      <xdr:col>5</xdr:col>
      <xdr:colOff>304800</xdr:colOff>
      <xdr:row>1870</xdr:row>
      <xdr:rowOff>114300</xdr:rowOff>
    </xdr:to>
    <xdr:sp macro="" textlink="">
      <xdr:nvSpPr>
        <xdr:cNvPr id="2051" name="AutoShape 436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90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1871</xdr:row>
      <xdr:rowOff>0</xdr:rowOff>
    </xdr:from>
    <xdr:to>
      <xdr:col>4</xdr:col>
      <xdr:colOff>304800</xdr:colOff>
      <xdr:row>1872</xdr:row>
      <xdr:rowOff>114300</xdr:rowOff>
    </xdr:to>
    <xdr:sp macro="" textlink="">
      <xdr:nvSpPr>
        <xdr:cNvPr id="2052" name="AutoShape 437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98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1871</xdr:row>
      <xdr:rowOff>0</xdr:rowOff>
    </xdr:from>
    <xdr:to>
      <xdr:col>5</xdr:col>
      <xdr:colOff>304800</xdr:colOff>
      <xdr:row>1872</xdr:row>
      <xdr:rowOff>114300</xdr:rowOff>
    </xdr:to>
    <xdr:sp macro="" textlink="">
      <xdr:nvSpPr>
        <xdr:cNvPr id="2053" name="AutoShape 438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98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1873</xdr:row>
      <xdr:rowOff>0</xdr:rowOff>
    </xdr:from>
    <xdr:to>
      <xdr:col>4</xdr:col>
      <xdr:colOff>304800</xdr:colOff>
      <xdr:row>1874</xdr:row>
      <xdr:rowOff>114300</xdr:rowOff>
    </xdr:to>
    <xdr:sp macro="" textlink="">
      <xdr:nvSpPr>
        <xdr:cNvPr id="2054" name="AutoShape 439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37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1873</xdr:row>
      <xdr:rowOff>0</xdr:rowOff>
    </xdr:from>
    <xdr:to>
      <xdr:col>5</xdr:col>
      <xdr:colOff>304800</xdr:colOff>
      <xdr:row>1874</xdr:row>
      <xdr:rowOff>114300</xdr:rowOff>
    </xdr:to>
    <xdr:sp macro="" textlink="">
      <xdr:nvSpPr>
        <xdr:cNvPr id="2055" name="AutoShape 440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37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1875</xdr:row>
      <xdr:rowOff>0</xdr:rowOff>
    </xdr:from>
    <xdr:to>
      <xdr:col>4</xdr:col>
      <xdr:colOff>304800</xdr:colOff>
      <xdr:row>1876</xdr:row>
      <xdr:rowOff>114300</xdr:rowOff>
    </xdr:to>
    <xdr:sp macro="" textlink="">
      <xdr:nvSpPr>
        <xdr:cNvPr id="2056" name="AutoShape 441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762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1875</xdr:row>
      <xdr:rowOff>0</xdr:rowOff>
    </xdr:from>
    <xdr:to>
      <xdr:col>5</xdr:col>
      <xdr:colOff>304800</xdr:colOff>
      <xdr:row>1876</xdr:row>
      <xdr:rowOff>114300</xdr:rowOff>
    </xdr:to>
    <xdr:sp macro="" textlink="">
      <xdr:nvSpPr>
        <xdr:cNvPr id="2057" name="AutoShape 442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762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1877</xdr:row>
      <xdr:rowOff>0</xdr:rowOff>
    </xdr:from>
    <xdr:to>
      <xdr:col>4</xdr:col>
      <xdr:colOff>304800</xdr:colOff>
      <xdr:row>1878</xdr:row>
      <xdr:rowOff>114300</xdr:rowOff>
    </xdr:to>
    <xdr:sp macro="" textlink="">
      <xdr:nvSpPr>
        <xdr:cNvPr id="2058" name="AutoShape 443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152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1877</xdr:row>
      <xdr:rowOff>0</xdr:rowOff>
    </xdr:from>
    <xdr:to>
      <xdr:col>5</xdr:col>
      <xdr:colOff>304800</xdr:colOff>
      <xdr:row>1878</xdr:row>
      <xdr:rowOff>114300</xdr:rowOff>
    </xdr:to>
    <xdr:sp macro="" textlink="">
      <xdr:nvSpPr>
        <xdr:cNvPr id="2059" name="AutoShape 444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152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1879</xdr:row>
      <xdr:rowOff>0</xdr:rowOff>
    </xdr:from>
    <xdr:to>
      <xdr:col>4</xdr:col>
      <xdr:colOff>304800</xdr:colOff>
      <xdr:row>1880</xdr:row>
      <xdr:rowOff>114300</xdr:rowOff>
    </xdr:to>
    <xdr:sp macro="" textlink="">
      <xdr:nvSpPr>
        <xdr:cNvPr id="2060" name="AutoShape 445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54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1879</xdr:row>
      <xdr:rowOff>0</xdr:rowOff>
    </xdr:from>
    <xdr:to>
      <xdr:col>5</xdr:col>
      <xdr:colOff>304800</xdr:colOff>
      <xdr:row>1880</xdr:row>
      <xdr:rowOff>114300</xdr:rowOff>
    </xdr:to>
    <xdr:sp macro="" textlink="">
      <xdr:nvSpPr>
        <xdr:cNvPr id="2061" name="AutoShape 446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54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1881</xdr:row>
      <xdr:rowOff>0</xdr:rowOff>
    </xdr:from>
    <xdr:to>
      <xdr:col>4</xdr:col>
      <xdr:colOff>304800</xdr:colOff>
      <xdr:row>1882</xdr:row>
      <xdr:rowOff>114300</xdr:rowOff>
    </xdr:to>
    <xdr:sp macro="" textlink="">
      <xdr:nvSpPr>
        <xdr:cNvPr id="2062" name="AutoShape 447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93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1881</xdr:row>
      <xdr:rowOff>0</xdr:rowOff>
    </xdr:from>
    <xdr:to>
      <xdr:col>5</xdr:col>
      <xdr:colOff>304800</xdr:colOff>
      <xdr:row>1882</xdr:row>
      <xdr:rowOff>114300</xdr:rowOff>
    </xdr:to>
    <xdr:sp macro="" textlink="">
      <xdr:nvSpPr>
        <xdr:cNvPr id="2063" name="AutoShape 448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93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1883</xdr:row>
      <xdr:rowOff>0</xdr:rowOff>
    </xdr:from>
    <xdr:to>
      <xdr:col>4</xdr:col>
      <xdr:colOff>304800</xdr:colOff>
      <xdr:row>1884</xdr:row>
      <xdr:rowOff>152400</xdr:rowOff>
    </xdr:to>
    <xdr:sp macro="" textlink="">
      <xdr:nvSpPr>
        <xdr:cNvPr id="2064" name="AutoShape 449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32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1883</xdr:row>
      <xdr:rowOff>0</xdr:rowOff>
    </xdr:from>
    <xdr:to>
      <xdr:col>5</xdr:col>
      <xdr:colOff>304800</xdr:colOff>
      <xdr:row>1884</xdr:row>
      <xdr:rowOff>152400</xdr:rowOff>
    </xdr:to>
    <xdr:sp macro="" textlink="">
      <xdr:nvSpPr>
        <xdr:cNvPr id="2065" name="AutoShape 450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32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1885</xdr:row>
      <xdr:rowOff>0</xdr:rowOff>
    </xdr:from>
    <xdr:to>
      <xdr:col>4</xdr:col>
      <xdr:colOff>304800</xdr:colOff>
      <xdr:row>1886</xdr:row>
      <xdr:rowOff>114300</xdr:rowOff>
    </xdr:to>
    <xdr:sp macro="" textlink="">
      <xdr:nvSpPr>
        <xdr:cNvPr id="2066" name="AutoShape 451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71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1885</xdr:row>
      <xdr:rowOff>0</xdr:rowOff>
    </xdr:from>
    <xdr:to>
      <xdr:col>5</xdr:col>
      <xdr:colOff>304800</xdr:colOff>
      <xdr:row>1886</xdr:row>
      <xdr:rowOff>114300</xdr:rowOff>
    </xdr:to>
    <xdr:sp macro="" textlink="">
      <xdr:nvSpPr>
        <xdr:cNvPr id="2067" name="AutoShape 452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71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1887</xdr:row>
      <xdr:rowOff>0</xdr:rowOff>
    </xdr:from>
    <xdr:to>
      <xdr:col>4</xdr:col>
      <xdr:colOff>304800</xdr:colOff>
      <xdr:row>1888</xdr:row>
      <xdr:rowOff>114300</xdr:rowOff>
    </xdr:to>
    <xdr:sp macro="" textlink="">
      <xdr:nvSpPr>
        <xdr:cNvPr id="2068" name="AutoShape 453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10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1887</xdr:row>
      <xdr:rowOff>0</xdr:rowOff>
    </xdr:from>
    <xdr:to>
      <xdr:col>5</xdr:col>
      <xdr:colOff>304800</xdr:colOff>
      <xdr:row>1888</xdr:row>
      <xdr:rowOff>114300</xdr:rowOff>
    </xdr:to>
    <xdr:sp macro="" textlink="">
      <xdr:nvSpPr>
        <xdr:cNvPr id="2069" name="AutoShape 454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10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1889</xdr:row>
      <xdr:rowOff>0</xdr:rowOff>
    </xdr:from>
    <xdr:to>
      <xdr:col>4</xdr:col>
      <xdr:colOff>304800</xdr:colOff>
      <xdr:row>1890</xdr:row>
      <xdr:rowOff>114300</xdr:rowOff>
    </xdr:to>
    <xdr:sp macro="" textlink="">
      <xdr:nvSpPr>
        <xdr:cNvPr id="2070" name="AutoShape 455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49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1889</xdr:row>
      <xdr:rowOff>0</xdr:rowOff>
    </xdr:from>
    <xdr:to>
      <xdr:col>5</xdr:col>
      <xdr:colOff>304800</xdr:colOff>
      <xdr:row>1890</xdr:row>
      <xdr:rowOff>114300</xdr:rowOff>
    </xdr:to>
    <xdr:sp macro="" textlink="">
      <xdr:nvSpPr>
        <xdr:cNvPr id="2071" name="AutoShape 456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49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1891</xdr:row>
      <xdr:rowOff>0</xdr:rowOff>
    </xdr:from>
    <xdr:to>
      <xdr:col>4</xdr:col>
      <xdr:colOff>304800</xdr:colOff>
      <xdr:row>1892</xdr:row>
      <xdr:rowOff>152400</xdr:rowOff>
    </xdr:to>
    <xdr:sp macro="" textlink="">
      <xdr:nvSpPr>
        <xdr:cNvPr id="2072" name="AutoShape 457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886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1891</xdr:row>
      <xdr:rowOff>0</xdr:rowOff>
    </xdr:from>
    <xdr:to>
      <xdr:col>5</xdr:col>
      <xdr:colOff>304800</xdr:colOff>
      <xdr:row>1892</xdr:row>
      <xdr:rowOff>152400</xdr:rowOff>
    </xdr:to>
    <xdr:sp macro="" textlink="">
      <xdr:nvSpPr>
        <xdr:cNvPr id="2073" name="AutoShape 458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886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1893</xdr:row>
      <xdr:rowOff>0</xdr:rowOff>
    </xdr:from>
    <xdr:to>
      <xdr:col>4</xdr:col>
      <xdr:colOff>304800</xdr:colOff>
      <xdr:row>1894</xdr:row>
      <xdr:rowOff>114300</xdr:rowOff>
    </xdr:to>
    <xdr:sp macro="" textlink="">
      <xdr:nvSpPr>
        <xdr:cNvPr id="2074" name="AutoShape 459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276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1893</xdr:row>
      <xdr:rowOff>0</xdr:rowOff>
    </xdr:from>
    <xdr:to>
      <xdr:col>5</xdr:col>
      <xdr:colOff>304800</xdr:colOff>
      <xdr:row>1894</xdr:row>
      <xdr:rowOff>114300</xdr:rowOff>
    </xdr:to>
    <xdr:sp macro="" textlink="">
      <xdr:nvSpPr>
        <xdr:cNvPr id="2075" name="AutoShape 460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276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1895</xdr:row>
      <xdr:rowOff>0</xdr:rowOff>
    </xdr:from>
    <xdr:to>
      <xdr:col>4</xdr:col>
      <xdr:colOff>304800</xdr:colOff>
      <xdr:row>1896</xdr:row>
      <xdr:rowOff>114300</xdr:rowOff>
    </xdr:to>
    <xdr:sp macro="" textlink="">
      <xdr:nvSpPr>
        <xdr:cNvPr id="2076" name="AutoShape 461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1895</xdr:row>
      <xdr:rowOff>0</xdr:rowOff>
    </xdr:from>
    <xdr:to>
      <xdr:col>5</xdr:col>
      <xdr:colOff>304800</xdr:colOff>
      <xdr:row>1896</xdr:row>
      <xdr:rowOff>114300</xdr:rowOff>
    </xdr:to>
    <xdr:sp macro="" textlink="">
      <xdr:nvSpPr>
        <xdr:cNvPr id="2077" name="AutoShape 462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1897</xdr:row>
      <xdr:rowOff>0</xdr:rowOff>
    </xdr:from>
    <xdr:to>
      <xdr:col>4</xdr:col>
      <xdr:colOff>304800</xdr:colOff>
      <xdr:row>1898</xdr:row>
      <xdr:rowOff>114300</xdr:rowOff>
    </xdr:to>
    <xdr:sp macro="" textlink="">
      <xdr:nvSpPr>
        <xdr:cNvPr id="2078" name="AutoShape 463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057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1897</xdr:row>
      <xdr:rowOff>0</xdr:rowOff>
    </xdr:from>
    <xdr:to>
      <xdr:col>5</xdr:col>
      <xdr:colOff>304800</xdr:colOff>
      <xdr:row>1898</xdr:row>
      <xdr:rowOff>114300</xdr:rowOff>
    </xdr:to>
    <xdr:sp macro="" textlink="">
      <xdr:nvSpPr>
        <xdr:cNvPr id="2079" name="AutoShape 464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057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1899</xdr:row>
      <xdr:rowOff>0</xdr:rowOff>
    </xdr:from>
    <xdr:to>
      <xdr:col>4</xdr:col>
      <xdr:colOff>304800</xdr:colOff>
      <xdr:row>1900</xdr:row>
      <xdr:rowOff>114300</xdr:rowOff>
    </xdr:to>
    <xdr:sp macro="" textlink="">
      <xdr:nvSpPr>
        <xdr:cNvPr id="2080" name="AutoShape 465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44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1899</xdr:row>
      <xdr:rowOff>0</xdr:rowOff>
    </xdr:from>
    <xdr:to>
      <xdr:col>5</xdr:col>
      <xdr:colOff>304800</xdr:colOff>
      <xdr:row>1900</xdr:row>
      <xdr:rowOff>114300</xdr:rowOff>
    </xdr:to>
    <xdr:sp macro="" textlink="">
      <xdr:nvSpPr>
        <xdr:cNvPr id="2081" name="AutoShape 466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44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1901</xdr:row>
      <xdr:rowOff>0</xdr:rowOff>
    </xdr:from>
    <xdr:to>
      <xdr:col>4</xdr:col>
      <xdr:colOff>304800</xdr:colOff>
      <xdr:row>1902</xdr:row>
      <xdr:rowOff>114300</xdr:rowOff>
    </xdr:to>
    <xdr:sp macro="" textlink="">
      <xdr:nvSpPr>
        <xdr:cNvPr id="2082" name="AutoShape 467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83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1901</xdr:row>
      <xdr:rowOff>0</xdr:rowOff>
    </xdr:from>
    <xdr:to>
      <xdr:col>5</xdr:col>
      <xdr:colOff>304800</xdr:colOff>
      <xdr:row>1902</xdr:row>
      <xdr:rowOff>114300</xdr:rowOff>
    </xdr:to>
    <xdr:sp macro="" textlink="">
      <xdr:nvSpPr>
        <xdr:cNvPr id="2083" name="AutoShape 468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83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1903</xdr:row>
      <xdr:rowOff>0</xdr:rowOff>
    </xdr:from>
    <xdr:to>
      <xdr:col>4</xdr:col>
      <xdr:colOff>304800</xdr:colOff>
      <xdr:row>1904</xdr:row>
      <xdr:rowOff>114300</xdr:rowOff>
    </xdr:to>
    <xdr:sp macro="" textlink="">
      <xdr:nvSpPr>
        <xdr:cNvPr id="2084" name="AutoShape 469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229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1903</xdr:row>
      <xdr:rowOff>0</xdr:rowOff>
    </xdr:from>
    <xdr:to>
      <xdr:col>5</xdr:col>
      <xdr:colOff>304800</xdr:colOff>
      <xdr:row>1904</xdr:row>
      <xdr:rowOff>114300</xdr:rowOff>
    </xdr:to>
    <xdr:sp macro="" textlink="">
      <xdr:nvSpPr>
        <xdr:cNvPr id="2085" name="AutoShape 470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229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1905</xdr:row>
      <xdr:rowOff>0</xdr:rowOff>
    </xdr:from>
    <xdr:to>
      <xdr:col>4</xdr:col>
      <xdr:colOff>304800</xdr:colOff>
      <xdr:row>1906</xdr:row>
      <xdr:rowOff>114300</xdr:rowOff>
    </xdr:to>
    <xdr:sp macro="" textlink="">
      <xdr:nvSpPr>
        <xdr:cNvPr id="2086" name="AutoShape 471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62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1905</xdr:row>
      <xdr:rowOff>0</xdr:rowOff>
    </xdr:from>
    <xdr:to>
      <xdr:col>5</xdr:col>
      <xdr:colOff>304800</xdr:colOff>
      <xdr:row>1906</xdr:row>
      <xdr:rowOff>114300</xdr:rowOff>
    </xdr:to>
    <xdr:sp macro="" textlink="">
      <xdr:nvSpPr>
        <xdr:cNvPr id="2087" name="AutoShape 472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62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1907</xdr:row>
      <xdr:rowOff>0</xdr:rowOff>
    </xdr:from>
    <xdr:to>
      <xdr:col>4</xdr:col>
      <xdr:colOff>304800</xdr:colOff>
      <xdr:row>1908</xdr:row>
      <xdr:rowOff>114300</xdr:rowOff>
    </xdr:to>
    <xdr:sp macro="" textlink="">
      <xdr:nvSpPr>
        <xdr:cNvPr id="2088" name="AutoShape 473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01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1907</xdr:row>
      <xdr:rowOff>0</xdr:rowOff>
    </xdr:from>
    <xdr:to>
      <xdr:col>5</xdr:col>
      <xdr:colOff>304800</xdr:colOff>
      <xdr:row>1908</xdr:row>
      <xdr:rowOff>114300</xdr:rowOff>
    </xdr:to>
    <xdr:sp macro="" textlink="">
      <xdr:nvSpPr>
        <xdr:cNvPr id="2089" name="AutoShape 474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01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1909</xdr:row>
      <xdr:rowOff>0</xdr:rowOff>
    </xdr:from>
    <xdr:to>
      <xdr:col>4</xdr:col>
      <xdr:colOff>304800</xdr:colOff>
      <xdr:row>1910</xdr:row>
      <xdr:rowOff>114300</xdr:rowOff>
    </xdr:to>
    <xdr:sp macro="" textlink="">
      <xdr:nvSpPr>
        <xdr:cNvPr id="2090" name="AutoShape 475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40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1909</xdr:row>
      <xdr:rowOff>0</xdr:rowOff>
    </xdr:from>
    <xdr:to>
      <xdr:col>5</xdr:col>
      <xdr:colOff>304800</xdr:colOff>
      <xdr:row>1910</xdr:row>
      <xdr:rowOff>114300</xdr:rowOff>
    </xdr:to>
    <xdr:sp macro="" textlink="">
      <xdr:nvSpPr>
        <xdr:cNvPr id="2091" name="AutoShape 476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40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1911</xdr:row>
      <xdr:rowOff>0</xdr:rowOff>
    </xdr:from>
    <xdr:to>
      <xdr:col>4</xdr:col>
      <xdr:colOff>304800</xdr:colOff>
      <xdr:row>1912</xdr:row>
      <xdr:rowOff>114300</xdr:rowOff>
    </xdr:to>
    <xdr:sp macro="" textlink="">
      <xdr:nvSpPr>
        <xdr:cNvPr id="2092" name="AutoShape 477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79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1911</xdr:row>
      <xdr:rowOff>0</xdr:rowOff>
    </xdr:from>
    <xdr:to>
      <xdr:col>5</xdr:col>
      <xdr:colOff>304800</xdr:colOff>
      <xdr:row>1912</xdr:row>
      <xdr:rowOff>114300</xdr:rowOff>
    </xdr:to>
    <xdr:sp macro="" textlink="">
      <xdr:nvSpPr>
        <xdr:cNvPr id="2093" name="AutoShape 478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79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1913</xdr:row>
      <xdr:rowOff>0</xdr:rowOff>
    </xdr:from>
    <xdr:to>
      <xdr:col>4</xdr:col>
      <xdr:colOff>304800</xdr:colOff>
      <xdr:row>1914</xdr:row>
      <xdr:rowOff>76200</xdr:rowOff>
    </xdr:to>
    <xdr:sp macro="" textlink="">
      <xdr:nvSpPr>
        <xdr:cNvPr id="2094" name="AutoShape 479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918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1913</xdr:row>
      <xdr:rowOff>0</xdr:rowOff>
    </xdr:from>
    <xdr:to>
      <xdr:col>5</xdr:col>
      <xdr:colOff>304800</xdr:colOff>
      <xdr:row>1914</xdr:row>
      <xdr:rowOff>76200</xdr:rowOff>
    </xdr:to>
    <xdr:sp macro="" textlink="">
      <xdr:nvSpPr>
        <xdr:cNvPr id="2095" name="AutoShape 480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918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1915</xdr:row>
      <xdr:rowOff>0</xdr:rowOff>
    </xdr:from>
    <xdr:to>
      <xdr:col>4</xdr:col>
      <xdr:colOff>304800</xdr:colOff>
      <xdr:row>1916</xdr:row>
      <xdr:rowOff>114300</xdr:rowOff>
    </xdr:to>
    <xdr:sp macro="" textlink="">
      <xdr:nvSpPr>
        <xdr:cNvPr id="2096" name="AutoShape 481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9610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1915</xdr:row>
      <xdr:rowOff>0</xdr:rowOff>
    </xdr:from>
    <xdr:to>
      <xdr:col>5</xdr:col>
      <xdr:colOff>304800</xdr:colOff>
      <xdr:row>1916</xdr:row>
      <xdr:rowOff>114300</xdr:rowOff>
    </xdr:to>
    <xdr:sp macro="" textlink="">
      <xdr:nvSpPr>
        <xdr:cNvPr id="2097" name="AutoShape 482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9610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1917</xdr:row>
      <xdr:rowOff>0</xdr:rowOff>
    </xdr:from>
    <xdr:to>
      <xdr:col>4</xdr:col>
      <xdr:colOff>304800</xdr:colOff>
      <xdr:row>1918</xdr:row>
      <xdr:rowOff>152400</xdr:rowOff>
    </xdr:to>
    <xdr:sp macro="" textlink="">
      <xdr:nvSpPr>
        <xdr:cNvPr id="2098" name="AutoShape 483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000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1917</xdr:row>
      <xdr:rowOff>0</xdr:rowOff>
    </xdr:from>
    <xdr:to>
      <xdr:col>5</xdr:col>
      <xdr:colOff>304800</xdr:colOff>
      <xdr:row>1918</xdr:row>
      <xdr:rowOff>152400</xdr:rowOff>
    </xdr:to>
    <xdr:sp macro="" textlink="">
      <xdr:nvSpPr>
        <xdr:cNvPr id="2099" name="AutoShape 484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000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1919</xdr:row>
      <xdr:rowOff>0</xdr:rowOff>
    </xdr:from>
    <xdr:to>
      <xdr:col>4</xdr:col>
      <xdr:colOff>304800</xdr:colOff>
      <xdr:row>1920</xdr:row>
      <xdr:rowOff>114300</xdr:rowOff>
    </xdr:to>
    <xdr:sp macro="" textlink="">
      <xdr:nvSpPr>
        <xdr:cNvPr id="2100" name="AutoShape 485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0391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1919</xdr:row>
      <xdr:rowOff>0</xdr:rowOff>
    </xdr:from>
    <xdr:to>
      <xdr:col>5</xdr:col>
      <xdr:colOff>304800</xdr:colOff>
      <xdr:row>1920</xdr:row>
      <xdr:rowOff>114300</xdr:rowOff>
    </xdr:to>
    <xdr:sp macro="" textlink="">
      <xdr:nvSpPr>
        <xdr:cNvPr id="2101" name="AutoShape 486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0391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1921</xdr:row>
      <xdr:rowOff>0</xdr:rowOff>
    </xdr:from>
    <xdr:to>
      <xdr:col>4</xdr:col>
      <xdr:colOff>304800</xdr:colOff>
      <xdr:row>1922</xdr:row>
      <xdr:rowOff>76200</xdr:rowOff>
    </xdr:to>
    <xdr:sp macro="" textlink="">
      <xdr:nvSpPr>
        <xdr:cNvPr id="2102" name="AutoShape 487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078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1921</xdr:row>
      <xdr:rowOff>0</xdr:rowOff>
    </xdr:from>
    <xdr:to>
      <xdr:col>5</xdr:col>
      <xdr:colOff>304800</xdr:colOff>
      <xdr:row>1922</xdr:row>
      <xdr:rowOff>76200</xdr:rowOff>
    </xdr:to>
    <xdr:sp macro="" textlink="">
      <xdr:nvSpPr>
        <xdr:cNvPr id="2103" name="AutoShape 488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078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1923</xdr:row>
      <xdr:rowOff>0</xdr:rowOff>
    </xdr:from>
    <xdr:to>
      <xdr:col>4</xdr:col>
      <xdr:colOff>304800</xdr:colOff>
      <xdr:row>1924</xdr:row>
      <xdr:rowOff>114300</xdr:rowOff>
    </xdr:to>
    <xdr:sp macro="" textlink="">
      <xdr:nvSpPr>
        <xdr:cNvPr id="2104" name="AutoShape 489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121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1923</xdr:row>
      <xdr:rowOff>0</xdr:rowOff>
    </xdr:from>
    <xdr:to>
      <xdr:col>5</xdr:col>
      <xdr:colOff>304800</xdr:colOff>
      <xdr:row>1924</xdr:row>
      <xdr:rowOff>114300</xdr:rowOff>
    </xdr:to>
    <xdr:sp macro="" textlink="">
      <xdr:nvSpPr>
        <xdr:cNvPr id="2105" name="AutoShape 490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121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1925</xdr:row>
      <xdr:rowOff>0</xdr:rowOff>
    </xdr:from>
    <xdr:to>
      <xdr:col>4</xdr:col>
      <xdr:colOff>304800</xdr:colOff>
      <xdr:row>1926</xdr:row>
      <xdr:rowOff>114300</xdr:rowOff>
    </xdr:to>
    <xdr:sp macro="" textlink="">
      <xdr:nvSpPr>
        <xdr:cNvPr id="2106" name="AutoShape 491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160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1925</xdr:row>
      <xdr:rowOff>0</xdr:rowOff>
    </xdr:from>
    <xdr:to>
      <xdr:col>5</xdr:col>
      <xdr:colOff>304800</xdr:colOff>
      <xdr:row>1926</xdr:row>
      <xdr:rowOff>114300</xdr:rowOff>
    </xdr:to>
    <xdr:sp macro="" textlink="">
      <xdr:nvSpPr>
        <xdr:cNvPr id="2107" name="AutoShape 492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160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1927</xdr:row>
      <xdr:rowOff>0</xdr:rowOff>
    </xdr:from>
    <xdr:to>
      <xdr:col>4</xdr:col>
      <xdr:colOff>304800</xdr:colOff>
      <xdr:row>1928</xdr:row>
      <xdr:rowOff>114300</xdr:rowOff>
    </xdr:to>
    <xdr:sp macro="" textlink="">
      <xdr:nvSpPr>
        <xdr:cNvPr id="2108" name="AutoShape 493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199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1927</xdr:row>
      <xdr:rowOff>0</xdr:rowOff>
    </xdr:from>
    <xdr:to>
      <xdr:col>5</xdr:col>
      <xdr:colOff>304800</xdr:colOff>
      <xdr:row>1928</xdr:row>
      <xdr:rowOff>114300</xdr:rowOff>
    </xdr:to>
    <xdr:sp macro="" textlink="">
      <xdr:nvSpPr>
        <xdr:cNvPr id="2109" name="AutoShape 494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199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1929</xdr:row>
      <xdr:rowOff>0</xdr:rowOff>
    </xdr:from>
    <xdr:to>
      <xdr:col>4</xdr:col>
      <xdr:colOff>304800</xdr:colOff>
      <xdr:row>1930</xdr:row>
      <xdr:rowOff>114300</xdr:rowOff>
    </xdr:to>
    <xdr:sp macro="" textlink="">
      <xdr:nvSpPr>
        <xdr:cNvPr id="2110" name="AutoShape 495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238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1929</xdr:row>
      <xdr:rowOff>0</xdr:rowOff>
    </xdr:from>
    <xdr:to>
      <xdr:col>5</xdr:col>
      <xdr:colOff>304800</xdr:colOff>
      <xdr:row>1930</xdr:row>
      <xdr:rowOff>114300</xdr:rowOff>
    </xdr:to>
    <xdr:sp macro="" textlink="">
      <xdr:nvSpPr>
        <xdr:cNvPr id="2111" name="AutoShape 496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238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1931</xdr:row>
      <xdr:rowOff>0</xdr:rowOff>
    </xdr:from>
    <xdr:to>
      <xdr:col>4</xdr:col>
      <xdr:colOff>304800</xdr:colOff>
      <xdr:row>1932</xdr:row>
      <xdr:rowOff>114300</xdr:rowOff>
    </xdr:to>
    <xdr:sp macro="" textlink="">
      <xdr:nvSpPr>
        <xdr:cNvPr id="2112" name="AutoShape 497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277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1931</xdr:row>
      <xdr:rowOff>0</xdr:rowOff>
    </xdr:from>
    <xdr:to>
      <xdr:col>5</xdr:col>
      <xdr:colOff>304800</xdr:colOff>
      <xdr:row>1932</xdr:row>
      <xdr:rowOff>114300</xdr:rowOff>
    </xdr:to>
    <xdr:sp macro="" textlink="">
      <xdr:nvSpPr>
        <xdr:cNvPr id="2113" name="AutoShape 498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277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1933</xdr:row>
      <xdr:rowOff>0</xdr:rowOff>
    </xdr:from>
    <xdr:to>
      <xdr:col>4</xdr:col>
      <xdr:colOff>304800</xdr:colOff>
      <xdr:row>1934</xdr:row>
      <xdr:rowOff>76200</xdr:rowOff>
    </xdr:to>
    <xdr:sp macro="" textlink="">
      <xdr:nvSpPr>
        <xdr:cNvPr id="2114" name="AutoShape 499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316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1933</xdr:row>
      <xdr:rowOff>0</xdr:rowOff>
    </xdr:from>
    <xdr:to>
      <xdr:col>5</xdr:col>
      <xdr:colOff>304800</xdr:colOff>
      <xdr:row>1934</xdr:row>
      <xdr:rowOff>76200</xdr:rowOff>
    </xdr:to>
    <xdr:sp macro="" textlink="">
      <xdr:nvSpPr>
        <xdr:cNvPr id="2115" name="AutoShape 500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316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1935</xdr:row>
      <xdr:rowOff>0</xdr:rowOff>
    </xdr:from>
    <xdr:to>
      <xdr:col>4</xdr:col>
      <xdr:colOff>304800</xdr:colOff>
      <xdr:row>1936</xdr:row>
      <xdr:rowOff>76200</xdr:rowOff>
    </xdr:to>
    <xdr:sp macro="" textlink="">
      <xdr:nvSpPr>
        <xdr:cNvPr id="2116" name="AutoShape 501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3592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1935</xdr:row>
      <xdr:rowOff>0</xdr:rowOff>
    </xdr:from>
    <xdr:to>
      <xdr:col>5</xdr:col>
      <xdr:colOff>304800</xdr:colOff>
      <xdr:row>1936</xdr:row>
      <xdr:rowOff>76200</xdr:rowOff>
    </xdr:to>
    <xdr:sp macro="" textlink="">
      <xdr:nvSpPr>
        <xdr:cNvPr id="2117" name="AutoShape 502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3592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1937</xdr:row>
      <xdr:rowOff>0</xdr:rowOff>
    </xdr:from>
    <xdr:to>
      <xdr:col>4</xdr:col>
      <xdr:colOff>304800</xdr:colOff>
      <xdr:row>1938</xdr:row>
      <xdr:rowOff>114300</xdr:rowOff>
    </xdr:to>
    <xdr:sp macro="" textlink="">
      <xdr:nvSpPr>
        <xdr:cNvPr id="2118" name="AutoShape 503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402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1937</xdr:row>
      <xdr:rowOff>0</xdr:rowOff>
    </xdr:from>
    <xdr:to>
      <xdr:col>5</xdr:col>
      <xdr:colOff>304800</xdr:colOff>
      <xdr:row>1938</xdr:row>
      <xdr:rowOff>114300</xdr:rowOff>
    </xdr:to>
    <xdr:sp macro="" textlink="">
      <xdr:nvSpPr>
        <xdr:cNvPr id="2119" name="AutoShape 504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402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1939</xdr:row>
      <xdr:rowOff>0</xdr:rowOff>
    </xdr:from>
    <xdr:to>
      <xdr:col>4</xdr:col>
      <xdr:colOff>304800</xdr:colOff>
      <xdr:row>1940</xdr:row>
      <xdr:rowOff>152400</xdr:rowOff>
    </xdr:to>
    <xdr:sp macro="" textlink="">
      <xdr:nvSpPr>
        <xdr:cNvPr id="2120" name="AutoShape 505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1939</xdr:row>
      <xdr:rowOff>0</xdr:rowOff>
    </xdr:from>
    <xdr:to>
      <xdr:col>5</xdr:col>
      <xdr:colOff>304800</xdr:colOff>
      <xdr:row>1940</xdr:row>
      <xdr:rowOff>152400</xdr:rowOff>
    </xdr:to>
    <xdr:sp macro="" textlink="">
      <xdr:nvSpPr>
        <xdr:cNvPr id="2121" name="AutoShape 506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1941</xdr:row>
      <xdr:rowOff>0</xdr:rowOff>
    </xdr:from>
    <xdr:to>
      <xdr:col>4</xdr:col>
      <xdr:colOff>304800</xdr:colOff>
      <xdr:row>1942</xdr:row>
      <xdr:rowOff>114300</xdr:rowOff>
    </xdr:to>
    <xdr:sp macro="" textlink="">
      <xdr:nvSpPr>
        <xdr:cNvPr id="2122" name="AutoShape 507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4801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1941</xdr:row>
      <xdr:rowOff>0</xdr:rowOff>
    </xdr:from>
    <xdr:to>
      <xdr:col>5</xdr:col>
      <xdr:colOff>304800</xdr:colOff>
      <xdr:row>1942</xdr:row>
      <xdr:rowOff>114300</xdr:rowOff>
    </xdr:to>
    <xdr:sp macro="" textlink="">
      <xdr:nvSpPr>
        <xdr:cNvPr id="2123" name="AutoShape 508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4801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1943</xdr:row>
      <xdr:rowOff>0</xdr:rowOff>
    </xdr:from>
    <xdr:to>
      <xdr:col>4</xdr:col>
      <xdr:colOff>304800</xdr:colOff>
      <xdr:row>1944</xdr:row>
      <xdr:rowOff>114300</xdr:rowOff>
    </xdr:to>
    <xdr:sp macro="" textlink="">
      <xdr:nvSpPr>
        <xdr:cNvPr id="2124" name="AutoShape 509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519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1943</xdr:row>
      <xdr:rowOff>0</xdr:rowOff>
    </xdr:from>
    <xdr:to>
      <xdr:col>5</xdr:col>
      <xdr:colOff>304800</xdr:colOff>
      <xdr:row>1944</xdr:row>
      <xdr:rowOff>114300</xdr:rowOff>
    </xdr:to>
    <xdr:sp macro="" textlink="">
      <xdr:nvSpPr>
        <xdr:cNvPr id="2125" name="AutoShape 510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519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1945</xdr:row>
      <xdr:rowOff>0</xdr:rowOff>
    </xdr:from>
    <xdr:to>
      <xdr:col>4</xdr:col>
      <xdr:colOff>304800</xdr:colOff>
      <xdr:row>1946</xdr:row>
      <xdr:rowOff>114300</xdr:rowOff>
    </xdr:to>
    <xdr:sp macro="" textlink="">
      <xdr:nvSpPr>
        <xdr:cNvPr id="2126" name="AutoShape 511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558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1945</xdr:row>
      <xdr:rowOff>0</xdr:rowOff>
    </xdr:from>
    <xdr:to>
      <xdr:col>5</xdr:col>
      <xdr:colOff>304800</xdr:colOff>
      <xdr:row>1946</xdr:row>
      <xdr:rowOff>114300</xdr:rowOff>
    </xdr:to>
    <xdr:sp macro="" textlink="">
      <xdr:nvSpPr>
        <xdr:cNvPr id="2127" name="AutoShape 512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558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1947</xdr:row>
      <xdr:rowOff>0</xdr:rowOff>
    </xdr:from>
    <xdr:to>
      <xdr:col>4</xdr:col>
      <xdr:colOff>304800</xdr:colOff>
      <xdr:row>1948</xdr:row>
      <xdr:rowOff>114300</xdr:rowOff>
    </xdr:to>
    <xdr:sp macro="" textlink="">
      <xdr:nvSpPr>
        <xdr:cNvPr id="2128" name="AutoShape 513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5973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1947</xdr:row>
      <xdr:rowOff>0</xdr:rowOff>
    </xdr:from>
    <xdr:to>
      <xdr:col>5</xdr:col>
      <xdr:colOff>304800</xdr:colOff>
      <xdr:row>1948</xdr:row>
      <xdr:rowOff>114300</xdr:rowOff>
    </xdr:to>
    <xdr:sp macro="" textlink="">
      <xdr:nvSpPr>
        <xdr:cNvPr id="2129" name="AutoShape 514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5973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1949</xdr:row>
      <xdr:rowOff>0</xdr:rowOff>
    </xdr:from>
    <xdr:to>
      <xdr:col>4</xdr:col>
      <xdr:colOff>304800</xdr:colOff>
      <xdr:row>1950</xdr:row>
      <xdr:rowOff>114300</xdr:rowOff>
    </xdr:to>
    <xdr:sp macro="" textlink="">
      <xdr:nvSpPr>
        <xdr:cNvPr id="2130" name="AutoShape 515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636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1949</xdr:row>
      <xdr:rowOff>0</xdr:rowOff>
    </xdr:from>
    <xdr:to>
      <xdr:col>5</xdr:col>
      <xdr:colOff>304800</xdr:colOff>
      <xdr:row>1950</xdr:row>
      <xdr:rowOff>114300</xdr:rowOff>
    </xdr:to>
    <xdr:sp macro="" textlink="">
      <xdr:nvSpPr>
        <xdr:cNvPr id="2131" name="AutoShape 516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636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1951</xdr:row>
      <xdr:rowOff>0</xdr:rowOff>
    </xdr:from>
    <xdr:to>
      <xdr:col>4</xdr:col>
      <xdr:colOff>304800</xdr:colOff>
      <xdr:row>1952</xdr:row>
      <xdr:rowOff>114300</xdr:rowOff>
    </xdr:to>
    <xdr:sp macro="" textlink="">
      <xdr:nvSpPr>
        <xdr:cNvPr id="2132" name="AutoShape 517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6754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1951</xdr:row>
      <xdr:rowOff>0</xdr:rowOff>
    </xdr:from>
    <xdr:to>
      <xdr:col>5</xdr:col>
      <xdr:colOff>304800</xdr:colOff>
      <xdr:row>1952</xdr:row>
      <xdr:rowOff>114300</xdr:rowOff>
    </xdr:to>
    <xdr:sp macro="" textlink="">
      <xdr:nvSpPr>
        <xdr:cNvPr id="2133" name="AutoShape 518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6754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1953</xdr:row>
      <xdr:rowOff>0</xdr:rowOff>
    </xdr:from>
    <xdr:to>
      <xdr:col>4</xdr:col>
      <xdr:colOff>304800</xdr:colOff>
      <xdr:row>1954</xdr:row>
      <xdr:rowOff>114300</xdr:rowOff>
    </xdr:to>
    <xdr:sp macro="" textlink="">
      <xdr:nvSpPr>
        <xdr:cNvPr id="2134" name="AutoShape 519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714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1953</xdr:row>
      <xdr:rowOff>0</xdr:rowOff>
    </xdr:from>
    <xdr:to>
      <xdr:col>5</xdr:col>
      <xdr:colOff>304800</xdr:colOff>
      <xdr:row>1954</xdr:row>
      <xdr:rowOff>114300</xdr:rowOff>
    </xdr:to>
    <xdr:sp macro="" textlink="">
      <xdr:nvSpPr>
        <xdr:cNvPr id="2135" name="AutoShape 520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714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1955</xdr:row>
      <xdr:rowOff>0</xdr:rowOff>
    </xdr:from>
    <xdr:to>
      <xdr:col>4</xdr:col>
      <xdr:colOff>304800</xdr:colOff>
      <xdr:row>1956</xdr:row>
      <xdr:rowOff>114300</xdr:rowOff>
    </xdr:to>
    <xdr:sp macro="" textlink="">
      <xdr:nvSpPr>
        <xdr:cNvPr id="2136" name="AutoShape 521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7535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1955</xdr:row>
      <xdr:rowOff>0</xdr:rowOff>
    </xdr:from>
    <xdr:to>
      <xdr:col>5</xdr:col>
      <xdr:colOff>304800</xdr:colOff>
      <xdr:row>1956</xdr:row>
      <xdr:rowOff>114300</xdr:rowOff>
    </xdr:to>
    <xdr:sp macro="" textlink="">
      <xdr:nvSpPr>
        <xdr:cNvPr id="2137" name="AutoShape 522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7535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1957</xdr:row>
      <xdr:rowOff>0</xdr:rowOff>
    </xdr:from>
    <xdr:to>
      <xdr:col>4</xdr:col>
      <xdr:colOff>304800</xdr:colOff>
      <xdr:row>1958</xdr:row>
      <xdr:rowOff>114300</xdr:rowOff>
    </xdr:to>
    <xdr:sp macro="" textlink="">
      <xdr:nvSpPr>
        <xdr:cNvPr id="2138" name="AutoShape 523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7926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1957</xdr:row>
      <xdr:rowOff>0</xdr:rowOff>
    </xdr:from>
    <xdr:to>
      <xdr:col>5</xdr:col>
      <xdr:colOff>304800</xdr:colOff>
      <xdr:row>1958</xdr:row>
      <xdr:rowOff>114300</xdr:rowOff>
    </xdr:to>
    <xdr:sp macro="" textlink="">
      <xdr:nvSpPr>
        <xdr:cNvPr id="2139" name="AutoShape 524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7926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1959</xdr:row>
      <xdr:rowOff>0</xdr:rowOff>
    </xdr:from>
    <xdr:to>
      <xdr:col>4</xdr:col>
      <xdr:colOff>304800</xdr:colOff>
      <xdr:row>1960</xdr:row>
      <xdr:rowOff>114300</xdr:rowOff>
    </xdr:to>
    <xdr:sp macro="" textlink="">
      <xdr:nvSpPr>
        <xdr:cNvPr id="2140" name="AutoShape 525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831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1959</xdr:row>
      <xdr:rowOff>0</xdr:rowOff>
    </xdr:from>
    <xdr:to>
      <xdr:col>5</xdr:col>
      <xdr:colOff>304800</xdr:colOff>
      <xdr:row>1960</xdr:row>
      <xdr:rowOff>114300</xdr:rowOff>
    </xdr:to>
    <xdr:sp macro="" textlink="">
      <xdr:nvSpPr>
        <xdr:cNvPr id="2141" name="AutoShape 526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831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1961</xdr:row>
      <xdr:rowOff>0</xdr:rowOff>
    </xdr:from>
    <xdr:to>
      <xdr:col>4</xdr:col>
      <xdr:colOff>304800</xdr:colOff>
      <xdr:row>1962</xdr:row>
      <xdr:rowOff>114300</xdr:rowOff>
    </xdr:to>
    <xdr:sp macro="" textlink="">
      <xdr:nvSpPr>
        <xdr:cNvPr id="2142" name="AutoShape 527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870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1961</xdr:row>
      <xdr:rowOff>0</xdr:rowOff>
    </xdr:from>
    <xdr:to>
      <xdr:col>5</xdr:col>
      <xdr:colOff>304800</xdr:colOff>
      <xdr:row>1962</xdr:row>
      <xdr:rowOff>114300</xdr:rowOff>
    </xdr:to>
    <xdr:sp macro="" textlink="">
      <xdr:nvSpPr>
        <xdr:cNvPr id="2143" name="AutoShape 528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870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1963</xdr:row>
      <xdr:rowOff>0</xdr:rowOff>
    </xdr:from>
    <xdr:to>
      <xdr:col>4</xdr:col>
      <xdr:colOff>304800</xdr:colOff>
      <xdr:row>1964</xdr:row>
      <xdr:rowOff>152400</xdr:rowOff>
    </xdr:to>
    <xdr:sp macro="" textlink="">
      <xdr:nvSpPr>
        <xdr:cNvPr id="2144" name="AutoShape 529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9135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1963</xdr:row>
      <xdr:rowOff>0</xdr:rowOff>
    </xdr:from>
    <xdr:to>
      <xdr:col>5</xdr:col>
      <xdr:colOff>304800</xdr:colOff>
      <xdr:row>1964</xdr:row>
      <xdr:rowOff>152400</xdr:rowOff>
    </xdr:to>
    <xdr:sp macro="" textlink="">
      <xdr:nvSpPr>
        <xdr:cNvPr id="2145" name="AutoShape 530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9135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1965</xdr:row>
      <xdr:rowOff>0</xdr:rowOff>
    </xdr:from>
    <xdr:to>
      <xdr:col>4</xdr:col>
      <xdr:colOff>304800</xdr:colOff>
      <xdr:row>1966</xdr:row>
      <xdr:rowOff>114300</xdr:rowOff>
    </xdr:to>
    <xdr:sp macro="" textlink="">
      <xdr:nvSpPr>
        <xdr:cNvPr id="2146" name="AutoShape 531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952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1965</xdr:row>
      <xdr:rowOff>0</xdr:rowOff>
    </xdr:from>
    <xdr:to>
      <xdr:col>5</xdr:col>
      <xdr:colOff>304800</xdr:colOff>
      <xdr:row>1966</xdr:row>
      <xdr:rowOff>114300</xdr:rowOff>
    </xdr:to>
    <xdr:sp macro="" textlink="">
      <xdr:nvSpPr>
        <xdr:cNvPr id="2147" name="AutoShape 532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952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1967</xdr:row>
      <xdr:rowOff>0</xdr:rowOff>
    </xdr:from>
    <xdr:to>
      <xdr:col>4</xdr:col>
      <xdr:colOff>304800</xdr:colOff>
      <xdr:row>1968</xdr:row>
      <xdr:rowOff>114300</xdr:rowOff>
    </xdr:to>
    <xdr:sp macro="" textlink="">
      <xdr:nvSpPr>
        <xdr:cNvPr id="2148" name="AutoShape 533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991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1967</xdr:row>
      <xdr:rowOff>0</xdr:rowOff>
    </xdr:from>
    <xdr:to>
      <xdr:col>5</xdr:col>
      <xdr:colOff>304800</xdr:colOff>
      <xdr:row>1968</xdr:row>
      <xdr:rowOff>114300</xdr:rowOff>
    </xdr:to>
    <xdr:sp macro="" textlink="">
      <xdr:nvSpPr>
        <xdr:cNvPr id="2149" name="AutoShape 534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991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1969</xdr:row>
      <xdr:rowOff>0</xdr:rowOff>
    </xdr:from>
    <xdr:to>
      <xdr:col>4</xdr:col>
      <xdr:colOff>304800</xdr:colOff>
      <xdr:row>1970</xdr:row>
      <xdr:rowOff>76200</xdr:rowOff>
    </xdr:to>
    <xdr:sp macro="" textlink="">
      <xdr:nvSpPr>
        <xdr:cNvPr id="2150" name="AutoShape 535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030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1969</xdr:row>
      <xdr:rowOff>0</xdr:rowOff>
    </xdr:from>
    <xdr:to>
      <xdr:col>5</xdr:col>
      <xdr:colOff>304800</xdr:colOff>
      <xdr:row>1970</xdr:row>
      <xdr:rowOff>76200</xdr:rowOff>
    </xdr:to>
    <xdr:sp macro="" textlink="">
      <xdr:nvSpPr>
        <xdr:cNvPr id="2151" name="AutoShape 536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030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1971</xdr:row>
      <xdr:rowOff>0</xdr:rowOff>
    </xdr:from>
    <xdr:to>
      <xdr:col>4</xdr:col>
      <xdr:colOff>304800</xdr:colOff>
      <xdr:row>1972</xdr:row>
      <xdr:rowOff>114300</xdr:rowOff>
    </xdr:to>
    <xdr:sp macro="" textlink="">
      <xdr:nvSpPr>
        <xdr:cNvPr id="2152" name="AutoShape 537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073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1971</xdr:row>
      <xdr:rowOff>0</xdr:rowOff>
    </xdr:from>
    <xdr:to>
      <xdr:col>5</xdr:col>
      <xdr:colOff>304800</xdr:colOff>
      <xdr:row>1972</xdr:row>
      <xdr:rowOff>114300</xdr:rowOff>
    </xdr:to>
    <xdr:sp macro="" textlink="">
      <xdr:nvSpPr>
        <xdr:cNvPr id="2153" name="AutoShape 538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073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1973</xdr:row>
      <xdr:rowOff>0</xdr:rowOff>
    </xdr:from>
    <xdr:to>
      <xdr:col>4</xdr:col>
      <xdr:colOff>304800</xdr:colOff>
      <xdr:row>1974</xdr:row>
      <xdr:rowOff>114300</xdr:rowOff>
    </xdr:to>
    <xdr:sp macro="" textlink="">
      <xdr:nvSpPr>
        <xdr:cNvPr id="2154" name="AutoShape 539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1126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1973</xdr:row>
      <xdr:rowOff>0</xdr:rowOff>
    </xdr:from>
    <xdr:to>
      <xdr:col>5</xdr:col>
      <xdr:colOff>304800</xdr:colOff>
      <xdr:row>1974</xdr:row>
      <xdr:rowOff>114300</xdr:rowOff>
    </xdr:to>
    <xdr:sp macro="" textlink="">
      <xdr:nvSpPr>
        <xdr:cNvPr id="2155" name="AutoShape 540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1126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1975</xdr:row>
      <xdr:rowOff>0</xdr:rowOff>
    </xdr:from>
    <xdr:to>
      <xdr:col>4</xdr:col>
      <xdr:colOff>304800</xdr:colOff>
      <xdr:row>1976</xdr:row>
      <xdr:rowOff>114300</xdr:rowOff>
    </xdr:to>
    <xdr:sp macro="" textlink="">
      <xdr:nvSpPr>
        <xdr:cNvPr id="2156" name="AutoShape 541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151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1975</xdr:row>
      <xdr:rowOff>0</xdr:rowOff>
    </xdr:from>
    <xdr:to>
      <xdr:col>5</xdr:col>
      <xdr:colOff>304800</xdr:colOff>
      <xdr:row>1976</xdr:row>
      <xdr:rowOff>114300</xdr:rowOff>
    </xdr:to>
    <xdr:sp macro="" textlink="">
      <xdr:nvSpPr>
        <xdr:cNvPr id="2157" name="AutoShape 542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151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1977</xdr:row>
      <xdr:rowOff>0</xdr:rowOff>
    </xdr:from>
    <xdr:to>
      <xdr:col>4</xdr:col>
      <xdr:colOff>304800</xdr:colOff>
      <xdr:row>1978</xdr:row>
      <xdr:rowOff>114300</xdr:rowOff>
    </xdr:to>
    <xdr:sp macro="" textlink="">
      <xdr:nvSpPr>
        <xdr:cNvPr id="2158" name="AutoShape 543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190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1977</xdr:row>
      <xdr:rowOff>0</xdr:rowOff>
    </xdr:from>
    <xdr:to>
      <xdr:col>5</xdr:col>
      <xdr:colOff>304800</xdr:colOff>
      <xdr:row>1978</xdr:row>
      <xdr:rowOff>114300</xdr:rowOff>
    </xdr:to>
    <xdr:sp macro="" textlink="">
      <xdr:nvSpPr>
        <xdr:cNvPr id="2159" name="AutoShape 544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190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1979</xdr:row>
      <xdr:rowOff>0</xdr:rowOff>
    </xdr:from>
    <xdr:to>
      <xdr:col>4</xdr:col>
      <xdr:colOff>304800</xdr:colOff>
      <xdr:row>1980</xdr:row>
      <xdr:rowOff>114300</xdr:rowOff>
    </xdr:to>
    <xdr:sp macro="" textlink="">
      <xdr:nvSpPr>
        <xdr:cNvPr id="2160" name="AutoShape 545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2298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1979</xdr:row>
      <xdr:rowOff>0</xdr:rowOff>
    </xdr:from>
    <xdr:to>
      <xdr:col>5</xdr:col>
      <xdr:colOff>304800</xdr:colOff>
      <xdr:row>1980</xdr:row>
      <xdr:rowOff>114300</xdr:rowOff>
    </xdr:to>
    <xdr:sp macro="" textlink="">
      <xdr:nvSpPr>
        <xdr:cNvPr id="2161" name="AutoShape 546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2298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1981</xdr:row>
      <xdr:rowOff>0</xdr:rowOff>
    </xdr:from>
    <xdr:to>
      <xdr:col>4</xdr:col>
      <xdr:colOff>304800</xdr:colOff>
      <xdr:row>1982</xdr:row>
      <xdr:rowOff>152400</xdr:rowOff>
    </xdr:to>
    <xdr:sp macro="" textlink="">
      <xdr:nvSpPr>
        <xdr:cNvPr id="2162" name="AutoShape 547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268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1981</xdr:row>
      <xdr:rowOff>0</xdr:rowOff>
    </xdr:from>
    <xdr:to>
      <xdr:col>5</xdr:col>
      <xdr:colOff>304800</xdr:colOff>
      <xdr:row>1982</xdr:row>
      <xdr:rowOff>152400</xdr:rowOff>
    </xdr:to>
    <xdr:sp macro="" textlink="">
      <xdr:nvSpPr>
        <xdr:cNvPr id="2163" name="AutoShape 548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268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1983</xdr:row>
      <xdr:rowOff>0</xdr:rowOff>
    </xdr:from>
    <xdr:to>
      <xdr:col>4</xdr:col>
      <xdr:colOff>304800</xdr:colOff>
      <xdr:row>1984</xdr:row>
      <xdr:rowOff>114300</xdr:rowOff>
    </xdr:to>
    <xdr:sp macro="" textlink="">
      <xdr:nvSpPr>
        <xdr:cNvPr id="2164" name="AutoShape 549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3079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1983</xdr:row>
      <xdr:rowOff>0</xdr:rowOff>
    </xdr:from>
    <xdr:to>
      <xdr:col>5</xdr:col>
      <xdr:colOff>304800</xdr:colOff>
      <xdr:row>1984</xdr:row>
      <xdr:rowOff>114300</xdr:rowOff>
    </xdr:to>
    <xdr:sp macro="" textlink="">
      <xdr:nvSpPr>
        <xdr:cNvPr id="2165" name="AutoShape 550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3079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1985</xdr:row>
      <xdr:rowOff>0</xdr:rowOff>
    </xdr:from>
    <xdr:to>
      <xdr:col>4</xdr:col>
      <xdr:colOff>304800</xdr:colOff>
      <xdr:row>1986</xdr:row>
      <xdr:rowOff>114300</xdr:rowOff>
    </xdr:to>
    <xdr:sp macro="" textlink="">
      <xdr:nvSpPr>
        <xdr:cNvPr id="2166" name="AutoShape 551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34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1985</xdr:row>
      <xdr:rowOff>0</xdr:rowOff>
    </xdr:from>
    <xdr:to>
      <xdr:col>5</xdr:col>
      <xdr:colOff>304800</xdr:colOff>
      <xdr:row>1986</xdr:row>
      <xdr:rowOff>114300</xdr:rowOff>
    </xdr:to>
    <xdr:sp macro="" textlink="">
      <xdr:nvSpPr>
        <xdr:cNvPr id="2167" name="AutoShape 552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34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1987</xdr:row>
      <xdr:rowOff>0</xdr:rowOff>
    </xdr:from>
    <xdr:to>
      <xdr:col>4</xdr:col>
      <xdr:colOff>304800</xdr:colOff>
      <xdr:row>1988</xdr:row>
      <xdr:rowOff>114300</xdr:rowOff>
    </xdr:to>
    <xdr:sp macro="" textlink="">
      <xdr:nvSpPr>
        <xdr:cNvPr id="2168" name="AutoShape 553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3860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1987</xdr:row>
      <xdr:rowOff>0</xdr:rowOff>
    </xdr:from>
    <xdr:to>
      <xdr:col>5</xdr:col>
      <xdr:colOff>304800</xdr:colOff>
      <xdr:row>1988</xdr:row>
      <xdr:rowOff>114300</xdr:rowOff>
    </xdr:to>
    <xdr:sp macro="" textlink="">
      <xdr:nvSpPr>
        <xdr:cNvPr id="2169" name="AutoShape 554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3860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1989</xdr:row>
      <xdr:rowOff>0</xdr:rowOff>
    </xdr:from>
    <xdr:to>
      <xdr:col>4</xdr:col>
      <xdr:colOff>304800</xdr:colOff>
      <xdr:row>1990</xdr:row>
      <xdr:rowOff>114300</xdr:rowOff>
    </xdr:to>
    <xdr:sp macro="" textlink="">
      <xdr:nvSpPr>
        <xdr:cNvPr id="2170" name="AutoShape 555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4250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1989</xdr:row>
      <xdr:rowOff>0</xdr:rowOff>
    </xdr:from>
    <xdr:to>
      <xdr:col>5</xdr:col>
      <xdr:colOff>304800</xdr:colOff>
      <xdr:row>1990</xdr:row>
      <xdr:rowOff>114300</xdr:rowOff>
    </xdr:to>
    <xdr:sp macro="" textlink="">
      <xdr:nvSpPr>
        <xdr:cNvPr id="2171" name="AutoShape 556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4250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1991</xdr:row>
      <xdr:rowOff>0</xdr:rowOff>
    </xdr:from>
    <xdr:to>
      <xdr:col>4</xdr:col>
      <xdr:colOff>304800</xdr:colOff>
      <xdr:row>1992</xdr:row>
      <xdr:rowOff>76200</xdr:rowOff>
    </xdr:to>
    <xdr:sp macro="" textlink="">
      <xdr:nvSpPr>
        <xdr:cNvPr id="2172" name="AutoShape 557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464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1991</xdr:row>
      <xdr:rowOff>0</xdr:rowOff>
    </xdr:from>
    <xdr:to>
      <xdr:col>5</xdr:col>
      <xdr:colOff>304800</xdr:colOff>
      <xdr:row>1992</xdr:row>
      <xdr:rowOff>76200</xdr:rowOff>
    </xdr:to>
    <xdr:sp macro="" textlink="">
      <xdr:nvSpPr>
        <xdr:cNvPr id="2173" name="AutoShape 558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464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1993</xdr:row>
      <xdr:rowOff>0</xdr:rowOff>
    </xdr:from>
    <xdr:to>
      <xdr:col>4</xdr:col>
      <xdr:colOff>304800</xdr:colOff>
      <xdr:row>1994</xdr:row>
      <xdr:rowOff>152400</xdr:rowOff>
    </xdr:to>
    <xdr:sp macro="" textlink="">
      <xdr:nvSpPr>
        <xdr:cNvPr id="2174" name="AutoShape 559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5069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1993</xdr:row>
      <xdr:rowOff>0</xdr:rowOff>
    </xdr:from>
    <xdr:to>
      <xdr:col>5</xdr:col>
      <xdr:colOff>304800</xdr:colOff>
      <xdr:row>1994</xdr:row>
      <xdr:rowOff>152400</xdr:rowOff>
    </xdr:to>
    <xdr:sp macro="" textlink="">
      <xdr:nvSpPr>
        <xdr:cNvPr id="2175" name="AutoShape 560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5069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1995</xdr:row>
      <xdr:rowOff>0</xdr:rowOff>
    </xdr:from>
    <xdr:to>
      <xdr:col>4</xdr:col>
      <xdr:colOff>304800</xdr:colOff>
      <xdr:row>1996</xdr:row>
      <xdr:rowOff>114300</xdr:rowOff>
    </xdr:to>
    <xdr:sp macro="" textlink="">
      <xdr:nvSpPr>
        <xdr:cNvPr id="2176" name="AutoShape 561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546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1995</xdr:row>
      <xdr:rowOff>0</xdr:rowOff>
    </xdr:from>
    <xdr:to>
      <xdr:col>5</xdr:col>
      <xdr:colOff>304800</xdr:colOff>
      <xdr:row>1996</xdr:row>
      <xdr:rowOff>114300</xdr:rowOff>
    </xdr:to>
    <xdr:sp macro="" textlink="">
      <xdr:nvSpPr>
        <xdr:cNvPr id="2177" name="AutoShape 562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546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1997</xdr:row>
      <xdr:rowOff>0</xdr:rowOff>
    </xdr:from>
    <xdr:to>
      <xdr:col>4</xdr:col>
      <xdr:colOff>304800</xdr:colOff>
      <xdr:row>1998</xdr:row>
      <xdr:rowOff>114300</xdr:rowOff>
    </xdr:to>
    <xdr:sp macro="" textlink="">
      <xdr:nvSpPr>
        <xdr:cNvPr id="2178" name="AutoShape 563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585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1997</xdr:row>
      <xdr:rowOff>0</xdr:rowOff>
    </xdr:from>
    <xdr:to>
      <xdr:col>5</xdr:col>
      <xdr:colOff>304800</xdr:colOff>
      <xdr:row>1998</xdr:row>
      <xdr:rowOff>114300</xdr:rowOff>
    </xdr:to>
    <xdr:sp macro="" textlink="">
      <xdr:nvSpPr>
        <xdr:cNvPr id="2179" name="AutoShape 564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585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1999</xdr:row>
      <xdr:rowOff>0</xdr:rowOff>
    </xdr:from>
    <xdr:to>
      <xdr:col>4</xdr:col>
      <xdr:colOff>304800</xdr:colOff>
      <xdr:row>2000</xdr:row>
      <xdr:rowOff>114300</xdr:rowOff>
    </xdr:to>
    <xdr:sp macro="" textlink="">
      <xdr:nvSpPr>
        <xdr:cNvPr id="2180" name="AutoShape 565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624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1999</xdr:row>
      <xdr:rowOff>0</xdr:rowOff>
    </xdr:from>
    <xdr:to>
      <xdr:col>5</xdr:col>
      <xdr:colOff>304800</xdr:colOff>
      <xdr:row>2000</xdr:row>
      <xdr:rowOff>114300</xdr:rowOff>
    </xdr:to>
    <xdr:sp macro="" textlink="">
      <xdr:nvSpPr>
        <xdr:cNvPr id="2181" name="AutoShape 566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624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2001</xdr:row>
      <xdr:rowOff>0</xdr:rowOff>
    </xdr:from>
    <xdr:to>
      <xdr:col>4</xdr:col>
      <xdr:colOff>304800</xdr:colOff>
      <xdr:row>2002</xdr:row>
      <xdr:rowOff>114300</xdr:rowOff>
    </xdr:to>
    <xdr:sp macro="" textlink="">
      <xdr:nvSpPr>
        <xdr:cNvPr id="2182" name="AutoShape 567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663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2001</xdr:row>
      <xdr:rowOff>0</xdr:rowOff>
    </xdr:from>
    <xdr:to>
      <xdr:col>5</xdr:col>
      <xdr:colOff>304800</xdr:colOff>
      <xdr:row>2002</xdr:row>
      <xdr:rowOff>114300</xdr:rowOff>
    </xdr:to>
    <xdr:sp macro="" textlink="">
      <xdr:nvSpPr>
        <xdr:cNvPr id="2183" name="AutoShape 568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663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2003</xdr:row>
      <xdr:rowOff>0</xdr:rowOff>
    </xdr:from>
    <xdr:to>
      <xdr:col>4</xdr:col>
      <xdr:colOff>304800</xdr:colOff>
      <xdr:row>2004</xdr:row>
      <xdr:rowOff>114300</xdr:rowOff>
    </xdr:to>
    <xdr:sp macro="" textlink="">
      <xdr:nvSpPr>
        <xdr:cNvPr id="2184" name="AutoShape 569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7022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2003</xdr:row>
      <xdr:rowOff>0</xdr:rowOff>
    </xdr:from>
    <xdr:to>
      <xdr:col>5</xdr:col>
      <xdr:colOff>304800</xdr:colOff>
      <xdr:row>2004</xdr:row>
      <xdr:rowOff>114300</xdr:rowOff>
    </xdr:to>
    <xdr:sp macro="" textlink="">
      <xdr:nvSpPr>
        <xdr:cNvPr id="2185" name="AutoShape 570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7022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2005</xdr:row>
      <xdr:rowOff>0</xdr:rowOff>
    </xdr:from>
    <xdr:to>
      <xdr:col>4</xdr:col>
      <xdr:colOff>304800</xdr:colOff>
      <xdr:row>2006</xdr:row>
      <xdr:rowOff>114300</xdr:rowOff>
    </xdr:to>
    <xdr:sp macro="" textlink="">
      <xdr:nvSpPr>
        <xdr:cNvPr id="2186" name="AutoShape 571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741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2005</xdr:row>
      <xdr:rowOff>0</xdr:rowOff>
    </xdr:from>
    <xdr:to>
      <xdr:col>5</xdr:col>
      <xdr:colOff>304800</xdr:colOff>
      <xdr:row>2006</xdr:row>
      <xdr:rowOff>114300</xdr:rowOff>
    </xdr:to>
    <xdr:sp macro="" textlink="">
      <xdr:nvSpPr>
        <xdr:cNvPr id="2187" name="AutoShape 572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741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2007</xdr:row>
      <xdr:rowOff>0</xdr:rowOff>
    </xdr:from>
    <xdr:to>
      <xdr:col>4</xdr:col>
      <xdr:colOff>304800</xdr:colOff>
      <xdr:row>2008</xdr:row>
      <xdr:rowOff>114300</xdr:rowOff>
    </xdr:to>
    <xdr:sp macro="" textlink="">
      <xdr:nvSpPr>
        <xdr:cNvPr id="2188" name="AutoShape 573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780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2007</xdr:row>
      <xdr:rowOff>0</xdr:rowOff>
    </xdr:from>
    <xdr:to>
      <xdr:col>5</xdr:col>
      <xdr:colOff>304800</xdr:colOff>
      <xdr:row>2008</xdr:row>
      <xdr:rowOff>114300</xdr:rowOff>
    </xdr:to>
    <xdr:sp macro="" textlink="">
      <xdr:nvSpPr>
        <xdr:cNvPr id="2189" name="AutoShape 574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780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2009</xdr:row>
      <xdr:rowOff>0</xdr:rowOff>
    </xdr:from>
    <xdr:to>
      <xdr:col>4</xdr:col>
      <xdr:colOff>304800</xdr:colOff>
      <xdr:row>2010</xdr:row>
      <xdr:rowOff>114300</xdr:rowOff>
    </xdr:to>
    <xdr:sp macro="" textlink="">
      <xdr:nvSpPr>
        <xdr:cNvPr id="2190" name="AutoShape 575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819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2009</xdr:row>
      <xdr:rowOff>0</xdr:rowOff>
    </xdr:from>
    <xdr:to>
      <xdr:col>5</xdr:col>
      <xdr:colOff>304800</xdr:colOff>
      <xdr:row>2010</xdr:row>
      <xdr:rowOff>114300</xdr:rowOff>
    </xdr:to>
    <xdr:sp macro="" textlink="">
      <xdr:nvSpPr>
        <xdr:cNvPr id="2191" name="AutoShape 576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819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2011</xdr:row>
      <xdr:rowOff>0</xdr:rowOff>
    </xdr:from>
    <xdr:to>
      <xdr:col>4</xdr:col>
      <xdr:colOff>304800</xdr:colOff>
      <xdr:row>2012</xdr:row>
      <xdr:rowOff>114300</xdr:rowOff>
    </xdr:to>
    <xdr:sp macro="" textlink="">
      <xdr:nvSpPr>
        <xdr:cNvPr id="2192" name="AutoShape 577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858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2011</xdr:row>
      <xdr:rowOff>0</xdr:rowOff>
    </xdr:from>
    <xdr:to>
      <xdr:col>5</xdr:col>
      <xdr:colOff>304800</xdr:colOff>
      <xdr:row>2012</xdr:row>
      <xdr:rowOff>114300</xdr:rowOff>
    </xdr:to>
    <xdr:sp macro="" textlink="">
      <xdr:nvSpPr>
        <xdr:cNvPr id="2193" name="AutoShape 578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858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2013</xdr:row>
      <xdr:rowOff>0</xdr:rowOff>
    </xdr:from>
    <xdr:to>
      <xdr:col>4</xdr:col>
      <xdr:colOff>304800</xdr:colOff>
      <xdr:row>2014</xdr:row>
      <xdr:rowOff>114300</xdr:rowOff>
    </xdr:to>
    <xdr:sp macro="" textlink="">
      <xdr:nvSpPr>
        <xdr:cNvPr id="2194" name="AutoShape 579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8975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2013</xdr:row>
      <xdr:rowOff>0</xdr:rowOff>
    </xdr:from>
    <xdr:to>
      <xdr:col>5</xdr:col>
      <xdr:colOff>304800</xdr:colOff>
      <xdr:row>2014</xdr:row>
      <xdr:rowOff>114300</xdr:rowOff>
    </xdr:to>
    <xdr:sp macro="" textlink="">
      <xdr:nvSpPr>
        <xdr:cNvPr id="2195" name="AutoShape 580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8975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2015</xdr:row>
      <xdr:rowOff>0</xdr:rowOff>
    </xdr:from>
    <xdr:to>
      <xdr:col>4</xdr:col>
      <xdr:colOff>304800</xdr:colOff>
      <xdr:row>2016</xdr:row>
      <xdr:rowOff>114300</xdr:rowOff>
    </xdr:to>
    <xdr:sp macro="" textlink="">
      <xdr:nvSpPr>
        <xdr:cNvPr id="2196" name="AutoShape 581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9365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2015</xdr:row>
      <xdr:rowOff>0</xdr:rowOff>
    </xdr:from>
    <xdr:to>
      <xdr:col>5</xdr:col>
      <xdr:colOff>304800</xdr:colOff>
      <xdr:row>2016</xdr:row>
      <xdr:rowOff>114300</xdr:rowOff>
    </xdr:to>
    <xdr:sp macro="" textlink="">
      <xdr:nvSpPr>
        <xdr:cNvPr id="2197" name="AutoShape 582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9365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2017</xdr:row>
      <xdr:rowOff>0</xdr:rowOff>
    </xdr:from>
    <xdr:to>
      <xdr:col>4</xdr:col>
      <xdr:colOff>304800</xdr:colOff>
      <xdr:row>2018</xdr:row>
      <xdr:rowOff>114300</xdr:rowOff>
    </xdr:to>
    <xdr:sp macro="" textlink="">
      <xdr:nvSpPr>
        <xdr:cNvPr id="2198" name="AutoShape 583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975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2017</xdr:row>
      <xdr:rowOff>0</xdr:rowOff>
    </xdr:from>
    <xdr:to>
      <xdr:col>5</xdr:col>
      <xdr:colOff>304800</xdr:colOff>
      <xdr:row>2018</xdr:row>
      <xdr:rowOff>114300</xdr:rowOff>
    </xdr:to>
    <xdr:sp macro="" textlink="">
      <xdr:nvSpPr>
        <xdr:cNvPr id="2199" name="AutoShape 584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975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2019</xdr:row>
      <xdr:rowOff>0</xdr:rowOff>
    </xdr:from>
    <xdr:to>
      <xdr:col>4</xdr:col>
      <xdr:colOff>304800</xdr:colOff>
      <xdr:row>2020</xdr:row>
      <xdr:rowOff>114300</xdr:rowOff>
    </xdr:to>
    <xdr:sp macro="" textlink="">
      <xdr:nvSpPr>
        <xdr:cNvPr id="2200" name="AutoShape 585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014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2019</xdr:row>
      <xdr:rowOff>0</xdr:rowOff>
    </xdr:from>
    <xdr:to>
      <xdr:col>5</xdr:col>
      <xdr:colOff>304800</xdr:colOff>
      <xdr:row>2020</xdr:row>
      <xdr:rowOff>114300</xdr:rowOff>
    </xdr:to>
    <xdr:sp macro="" textlink="">
      <xdr:nvSpPr>
        <xdr:cNvPr id="2201" name="AutoShape 586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014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2021</xdr:row>
      <xdr:rowOff>0</xdr:rowOff>
    </xdr:from>
    <xdr:to>
      <xdr:col>4</xdr:col>
      <xdr:colOff>304800</xdr:colOff>
      <xdr:row>2022</xdr:row>
      <xdr:rowOff>114300</xdr:rowOff>
    </xdr:to>
    <xdr:sp macro="" textlink="">
      <xdr:nvSpPr>
        <xdr:cNvPr id="2202" name="AutoShape 587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0537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2021</xdr:row>
      <xdr:rowOff>0</xdr:rowOff>
    </xdr:from>
    <xdr:to>
      <xdr:col>5</xdr:col>
      <xdr:colOff>304800</xdr:colOff>
      <xdr:row>2022</xdr:row>
      <xdr:rowOff>114300</xdr:rowOff>
    </xdr:to>
    <xdr:sp macro="" textlink="">
      <xdr:nvSpPr>
        <xdr:cNvPr id="2203" name="AutoShape 588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0537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2023</xdr:row>
      <xdr:rowOff>0</xdr:rowOff>
    </xdr:from>
    <xdr:to>
      <xdr:col>4</xdr:col>
      <xdr:colOff>304800</xdr:colOff>
      <xdr:row>2024</xdr:row>
      <xdr:rowOff>114300</xdr:rowOff>
    </xdr:to>
    <xdr:sp macro="" textlink="">
      <xdr:nvSpPr>
        <xdr:cNvPr id="2204" name="AutoShape 589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0927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2023</xdr:row>
      <xdr:rowOff>0</xdr:rowOff>
    </xdr:from>
    <xdr:to>
      <xdr:col>5</xdr:col>
      <xdr:colOff>304800</xdr:colOff>
      <xdr:row>2024</xdr:row>
      <xdr:rowOff>114300</xdr:rowOff>
    </xdr:to>
    <xdr:sp macro="" textlink="">
      <xdr:nvSpPr>
        <xdr:cNvPr id="2205" name="AutoShape 590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0927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2025</xdr:row>
      <xdr:rowOff>0</xdr:rowOff>
    </xdr:from>
    <xdr:to>
      <xdr:col>4</xdr:col>
      <xdr:colOff>304800</xdr:colOff>
      <xdr:row>2026</xdr:row>
      <xdr:rowOff>114300</xdr:rowOff>
    </xdr:to>
    <xdr:sp macro="" textlink="">
      <xdr:nvSpPr>
        <xdr:cNvPr id="2206" name="AutoShape 591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131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2025</xdr:row>
      <xdr:rowOff>0</xdr:rowOff>
    </xdr:from>
    <xdr:to>
      <xdr:col>5</xdr:col>
      <xdr:colOff>304800</xdr:colOff>
      <xdr:row>2026</xdr:row>
      <xdr:rowOff>114300</xdr:rowOff>
    </xdr:to>
    <xdr:sp macro="" textlink="">
      <xdr:nvSpPr>
        <xdr:cNvPr id="2207" name="AutoShape 592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131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2027</xdr:row>
      <xdr:rowOff>0</xdr:rowOff>
    </xdr:from>
    <xdr:to>
      <xdr:col>4</xdr:col>
      <xdr:colOff>304800</xdr:colOff>
      <xdr:row>2028</xdr:row>
      <xdr:rowOff>114300</xdr:rowOff>
    </xdr:to>
    <xdr:sp macro="" textlink="">
      <xdr:nvSpPr>
        <xdr:cNvPr id="2208" name="AutoShape 593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170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2027</xdr:row>
      <xdr:rowOff>0</xdr:rowOff>
    </xdr:from>
    <xdr:to>
      <xdr:col>5</xdr:col>
      <xdr:colOff>304800</xdr:colOff>
      <xdr:row>2028</xdr:row>
      <xdr:rowOff>114300</xdr:rowOff>
    </xdr:to>
    <xdr:sp macro="" textlink="">
      <xdr:nvSpPr>
        <xdr:cNvPr id="2209" name="AutoShape 594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170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2029</xdr:row>
      <xdr:rowOff>0</xdr:rowOff>
    </xdr:from>
    <xdr:to>
      <xdr:col>4</xdr:col>
      <xdr:colOff>304800</xdr:colOff>
      <xdr:row>2030</xdr:row>
      <xdr:rowOff>114300</xdr:rowOff>
    </xdr:to>
    <xdr:sp macro="" textlink="">
      <xdr:nvSpPr>
        <xdr:cNvPr id="2210" name="AutoShape 595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209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2029</xdr:row>
      <xdr:rowOff>0</xdr:rowOff>
    </xdr:from>
    <xdr:to>
      <xdr:col>5</xdr:col>
      <xdr:colOff>304800</xdr:colOff>
      <xdr:row>2030</xdr:row>
      <xdr:rowOff>114300</xdr:rowOff>
    </xdr:to>
    <xdr:sp macro="" textlink="">
      <xdr:nvSpPr>
        <xdr:cNvPr id="2211" name="AutoShape 596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209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2031</xdr:row>
      <xdr:rowOff>0</xdr:rowOff>
    </xdr:from>
    <xdr:to>
      <xdr:col>4</xdr:col>
      <xdr:colOff>304800</xdr:colOff>
      <xdr:row>2032</xdr:row>
      <xdr:rowOff>114300</xdr:rowOff>
    </xdr:to>
    <xdr:sp macro="" textlink="">
      <xdr:nvSpPr>
        <xdr:cNvPr id="2212" name="AutoShape 597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248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2031</xdr:row>
      <xdr:rowOff>0</xdr:rowOff>
    </xdr:from>
    <xdr:to>
      <xdr:col>5</xdr:col>
      <xdr:colOff>304800</xdr:colOff>
      <xdr:row>2032</xdr:row>
      <xdr:rowOff>114300</xdr:rowOff>
    </xdr:to>
    <xdr:sp macro="" textlink="">
      <xdr:nvSpPr>
        <xdr:cNvPr id="2213" name="AutoShape 598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248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2033</xdr:row>
      <xdr:rowOff>0</xdr:rowOff>
    </xdr:from>
    <xdr:to>
      <xdr:col>4</xdr:col>
      <xdr:colOff>304800</xdr:colOff>
      <xdr:row>2034</xdr:row>
      <xdr:rowOff>114300</xdr:rowOff>
    </xdr:to>
    <xdr:sp macro="" textlink="">
      <xdr:nvSpPr>
        <xdr:cNvPr id="2214" name="AutoShape 599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288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2033</xdr:row>
      <xdr:rowOff>0</xdr:rowOff>
    </xdr:from>
    <xdr:to>
      <xdr:col>5</xdr:col>
      <xdr:colOff>304800</xdr:colOff>
      <xdr:row>2034</xdr:row>
      <xdr:rowOff>114300</xdr:rowOff>
    </xdr:to>
    <xdr:sp macro="" textlink="">
      <xdr:nvSpPr>
        <xdr:cNvPr id="2215" name="AutoShape 600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288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2035</xdr:row>
      <xdr:rowOff>0</xdr:rowOff>
    </xdr:from>
    <xdr:to>
      <xdr:col>4</xdr:col>
      <xdr:colOff>304800</xdr:colOff>
      <xdr:row>2036</xdr:row>
      <xdr:rowOff>114300</xdr:rowOff>
    </xdr:to>
    <xdr:sp macro="" textlink="">
      <xdr:nvSpPr>
        <xdr:cNvPr id="2216" name="AutoShape 601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3270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2035</xdr:row>
      <xdr:rowOff>0</xdr:rowOff>
    </xdr:from>
    <xdr:to>
      <xdr:col>5</xdr:col>
      <xdr:colOff>304800</xdr:colOff>
      <xdr:row>2036</xdr:row>
      <xdr:rowOff>114300</xdr:rowOff>
    </xdr:to>
    <xdr:sp macro="" textlink="">
      <xdr:nvSpPr>
        <xdr:cNvPr id="2217" name="AutoShape 602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3270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2037</xdr:row>
      <xdr:rowOff>0</xdr:rowOff>
    </xdr:from>
    <xdr:to>
      <xdr:col>4</xdr:col>
      <xdr:colOff>304800</xdr:colOff>
      <xdr:row>2038</xdr:row>
      <xdr:rowOff>114300</xdr:rowOff>
    </xdr:to>
    <xdr:sp macro="" textlink="">
      <xdr:nvSpPr>
        <xdr:cNvPr id="2218" name="AutoShape 603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366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2037</xdr:row>
      <xdr:rowOff>0</xdr:rowOff>
    </xdr:from>
    <xdr:to>
      <xdr:col>5</xdr:col>
      <xdr:colOff>304800</xdr:colOff>
      <xdr:row>2038</xdr:row>
      <xdr:rowOff>114300</xdr:rowOff>
    </xdr:to>
    <xdr:sp macro="" textlink="">
      <xdr:nvSpPr>
        <xdr:cNvPr id="2219" name="AutoShape 604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366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2039</xdr:row>
      <xdr:rowOff>0</xdr:rowOff>
    </xdr:from>
    <xdr:to>
      <xdr:col>4</xdr:col>
      <xdr:colOff>304800</xdr:colOff>
      <xdr:row>2040</xdr:row>
      <xdr:rowOff>114300</xdr:rowOff>
    </xdr:to>
    <xdr:sp macro="" textlink="">
      <xdr:nvSpPr>
        <xdr:cNvPr id="2220" name="AutoShape 605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405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2039</xdr:row>
      <xdr:rowOff>0</xdr:rowOff>
    </xdr:from>
    <xdr:to>
      <xdr:col>5</xdr:col>
      <xdr:colOff>304800</xdr:colOff>
      <xdr:row>2040</xdr:row>
      <xdr:rowOff>114300</xdr:rowOff>
    </xdr:to>
    <xdr:sp macro="" textlink="">
      <xdr:nvSpPr>
        <xdr:cNvPr id="2221" name="AutoShape 606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405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2041</xdr:row>
      <xdr:rowOff>0</xdr:rowOff>
    </xdr:from>
    <xdr:to>
      <xdr:col>4</xdr:col>
      <xdr:colOff>304800</xdr:colOff>
      <xdr:row>2042</xdr:row>
      <xdr:rowOff>114300</xdr:rowOff>
    </xdr:to>
    <xdr:sp macro="" textlink="">
      <xdr:nvSpPr>
        <xdr:cNvPr id="2222" name="AutoShape 607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444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2041</xdr:row>
      <xdr:rowOff>0</xdr:rowOff>
    </xdr:from>
    <xdr:to>
      <xdr:col>5</xdr:col>
      <xdr:colOff>304800</xdr:colOff>
      <xdr:row>2042</xdr:row>
      <xdr:rowOff>114300</xdr:rowOff>
    </xdr:to>
    <xdr:sp macro="" textlink="">
      <xdr:nvSpPr>
        <xdr:cNvPr id="2223" name="AutoShape 608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444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2043</xdr:row>
      <xdr:rowOff>0</xdr:rowOff>
    </xdr:from>
    <xdr:to>
      <xdr:col>4</xdr:col>
      <xdr:colOff>304800</xdr:colOff>
      <xdr:row>2044</xdr:row>
      <xdr:rowOff>114300</xdr:rowOff>
    </xdr:to>
    <xdr:sp macro="" textlink="">
      <xdr:nvSpPr>
        <xdr:cNvPr id="2224" name="AutoShape 609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483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2043</xdr:row>
      <xdr:rowOff>0</xdr:rowOff>
    </xdr:from>
    <xdr:to>
      <xdr:col>5</xdr:col>
      <xdr:colOff>304800</xdr:colOff>
      <xdr:row>2044</xdr:row>
      <xdr:rowOff>114300</xdr:rowOff>
    </xdr:to>
    <xdr:sp macro="" textlink="">
      <xdr:nvSpPr>
        <xdr:cNvPr id="2225" name="AutoShape 610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483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2045</xdr:row>
      <xdr:rowOff>0</xdr:rowOff>
    </xdr:from>
    <xdr:to>
      <xdr:col>4</xdr:col>
      <xdr:colOff>304800</xdr:colOff>
      <xdr:row>2046</xdr:row>
      <xdr:rowOff>114300</xdr:rowOff>
    </xdr:to>
    <xdr:sp macro="" textlink="">
      <xdr:nvSpPr>
        <xdr:cNvPr id="2226" name="AutoShape 611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522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2045</xdr:row>
      <xdr:rowOff>0</xdr:rowOff>
    </xdr:from>
    <xdr:to>
      <xdr:col>5</xdr:col>
      <xdr:colOff>304800</xdr:colOff>
      <xdr:row>2046</xdr:row>
      <xdr:rowOff>114300</xdr:rowOff>
    </xdr:to>
    <xdr:sp macro="" textlink="">
      <xdr:nvSpPr>
        <xdr:cNvPr id="2227" name="AutoShape 612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522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2047</xdr:row>
      <xdr:rowOff>0</xdr:rowOff>
    </xdr:from>
    <xdr:to>
      <xdr:col>4</xdr:col>
      <xdr:colOff>304800</xdr:colOff>
      <xdr:row>2048</xdr:row>
      <xdr:rowOff>114300</xdr:rowOff>
    </xdr:to>
    <xdr:sp macro="" textlink="">
      <xdr:nvSpPr>
        <xdr:cNvPr id="2228" name="AutoShape 613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561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2047</xdr:row>
      <xdr:rowOff>0</xdr:rowOff>
    </xdr:from>
    <xdr:to>
      <xdr:col>5</xdr:col>
      <xdr:colOff>304800</xdr:colOff>
      <xdr:row>2048</xdr:row>
      <xdr:rowOff>114300</xdr:rowOff>
    </xdr:to>
    <xdr:sp macro="" textlink="">
      <xdr:nvSpPr>
        <xdr:cNvPr id="2229" name="AutoShape 614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561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2049</xdr:row>
      <xdr:rowOff>0</xdr:rowOff>
    </xdr:from>
    <xdr:to>
      <xdr:col>4</xdr:col>
      <xdr:colOff>304800</xdr:colOff>
      <xdr:row>2050</xdr:row>
      <xdr:rowOff>114300</xdr:rowOff>
    </xdr:to>
    <xdr:sp macro="" textlink="">
      <xdr:nvSpPr>
        <xdr:cNvPr id="2230" name="AutoShape 615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600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2049</xdr:row>
      <xdr:rowOff>0</xdr:rowOff>
    </xdr:from>
    <xdr:to>
      <xdr:col>5</xdr:col>
      <xdr:colOff>304800</xdr:colOff>
      <xdr:row>2050</xdr:row>
      <xdr:rowOff>114300</xdr:rowOff>
    </xdr:to>
    <xdr:sp macro="" textlink="">
      <xdr:nvSpPr>
        <xdr:cNvPr id="2231" name="AutoShape 616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600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2051</xdr:row>
      <xdr:rowOff>0</xdr:rowOff>
    </xdr:from>
    <xdr:to>
      <xdr:col>4</xdr:col>
      <xdr:colOff>304800</xdr:colOff>
      <xdr:row>2052</xdr:row>
      <xdr:rowOff>114300</xdr:rowOff>
    </xdr:to>
    <xdr:sp macro="" textlink="">
      <xdr:nvSpPr>
        <xdr:cNvPr id="2232" name="AutoShape 617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639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2051</xdr:row>
      <xdr:rowOff>0</xdr:rowOff>
    </xdr:from>
    <xdr:to>
      <xdr:col>5</xdr:col>
      <xdr:colOff>304800</xdr:colOff>
      <xdr:row>2052</xdr:row>
      <xdr:rowOff>114300</xdr:rowOff>
    </xdr:to>
    <xdr:sp macro="" textlink="">
      <xdr:nvSpPr>
        <xdr:cNvPr id="2233" name="AutoShape 618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639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2053</xdr:row>
      <xdr:rowOff>0</xdr:rowOff>
    </xdr:from>
    <xdr:to>
      <xdr:col>4</xdr:col>
      <xdr:colOff>304800</xdr:colOff>
      <xdr:row>2054</xdr:row>
      <xdr:rowOff>114300</xdr:rowOff>
    </xdr:to>
    <xdr:sp macro="" textlink="">
      <xdr:nvSpPr>
        <xdr:cNvPr id="2234" name="AutoShape 619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678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2053</xdr:row>
      <xdr:rowOff>0</xdr:rowOff>
    </xdr:from>
    <xdr:to>
      <xdr:col>5</xdr:col>
      <xdr:colOff>304800</xdr:colOff>
      <xdr:row>2054</xdr:row>
      <xdr:rowOff>114300</xdr:rowOff>
    </xdr:to>
    <xdr:sp macro="" textlink="">
      <xdr:nvSpPr>
        <xdr:cNvPr id="2235" name="AutoShape 620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678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2055</xdr:row>
      <xdr:rowOff>0</xdr:rowOff>
    </xdr:from>
    <xdr:to>
      <xdr:col>4</xdr:col>
      <xdr:colOff>304800</xdr:colOff>
      <xdr:row>2056</xdr:row>
      <xdr:rowOff>114300</xdr:rowOff>
    </xdr:to>
    <xdr:sp macro="" textlink="">
      <xdr:nvSpPr>
        <xdr:cNvPr id="2236" name="AutoShape 621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717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2055</xdr:row>
      <xdr:rowOff>0</xdr:rowOff>
    </xdr:from>
    <xdr:to>
      <xdr:col>5</xdr:col>
      <xdr:colOff>304800</xdr:colOff>
      <xdr:row>2056</xdr:row>
      <xdr:rowOff>114300</xdr:rowOff>
    </xdr:to>
    <xdr:sp macro="" textlink="">
      <xdr:nvSpPr>
        <xdr:cNvPr id="2237" name="AutoShape 622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717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2057</xdr:row>
      <xdr:rowOff>0</xdr:rowOff>
    </xdr:from>
    <xdr:to>
      <xdr:col>4</xdr:col>
      <xdr:colOff>304800</xdr:colOff>
      <xdr:row>2058</xdr:row>
      <xdr:rowOff>114300</xdr:rowOff>
    </xdr:to>
    <xdr:sp macro="" textlink="">
      <xdr:nvSpPr>
        <xdr:cNvPr id="2238" name="AutoShape 623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7566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2057</xdr:row>
      <xdr:rowOff>0</xdr:rowOff>
    </xdr:from>
    <xdr:to>
      <xdr:col>5</xdr:col>
      <xdr:colOff>304800</xdr:colOff>
      <xdr:row>2058</xdr:row>
      <xdr:rowOff>114300</xdr:rowOff>
    </xdr:to>
    <xdr:sp macro="" textlink="">
      <xdr:nvSpPr>
        <xdr:cNvPr id="2239" name="AutoShape 624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7566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2059</xdr:row>
      <xdr:rowOff>0</xdr:rowOff>
    </xdr:from>
    <xdr:to>
      <xdr:col>4</xdr:col>
      <xdr:colOff>304800</xdr:colOff>
      <xdr:row>2060</xdr:row>
      <xdr:rowOff>114300</xdr:rowOff>
    </xdr:to>
    <xdr:sp macro="" textlink="">
      <xdr:nvSpPr>
        <xdr:cNvPr id="2240" name="AutoShape 625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7957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2059</xdr:row>
      <xdr:rowOff>0</xdr:rowOff>
    </xdr:from>
    <xdr:to>
      <xdr:col>5</xdr:col>
      <xdr:colOff>304800</xdr:colOff>
      <xdr:row>2060</xdr:row>
      <xdr:rowOff>114300</xdr:rowOff>
    </xdr:to>
    <xdr:sp macro="" textlink="">
      <xdr:nvSpPr>
        <xdr:cNvPr id="2241" name="AutoShape 626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7957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2061</xdr:row>
      <xdr:rowOff>0</xdr:rowOff>
    </xdr:from>
    <xdr:to>
      <xdr:col>4</xdr:col>
      <xdr:colOff>304800</xdr:colOff>
      <xdr:row>2062</xdr:row>
      <xdr:rowOff>114300</xdr:rowOff>
    </xdr:to>
    <xdr:sp macro="" textlink="">
      <xdr:nvSpPr>
        <xdr:cNvPr id="2242" name="AutoShape 627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834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2061</xdr:row>
      <xdr:rowOff>0</xdr:rowOff>
    </xdr:from>
    <xdr:to>
      <xdr:col>5</xdr:col>
      <xdr:colOff>304800</xdr:colOff>
      <xdr:row>2062</xdr:row>
      <xdr:rowOff>114300</xdr:rowOff>
    </xdr:to>
    <xdr:sp macro="" textlink="">
      <xdr:nvSpPr>
        <xdr:cNvPr id="2243" name="AutoShape 628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834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2063</xdr:row>
      <xdr:rowOff>0</xdr:rowOff>
    </xdr:from>
    <xdr:to>
      <xdr:col>4</xdr:col>
      <xdr:colOff>304800</xdr:colOff>
      <xdr:row>2064</xdr:row>
      <xdr:rowOff>114300</xdr:rowOff>
    </xdr:to>
    <xdr:sp macro="" textlink="">
      <xdr:nvSpPr>
        <xdr:cNvPr id="2244" name="AutoShape 629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873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2063</xdr:row>
      <xdr:rowOff>0</xdr:rowOff>
    </xdr:from>
    <xdr:to>
      <xdr:col>5</xdr:col>
      <xdr:colOff>304800</xdr:colOff>
      <xdr:row>2064</xdr:row>
      <xdr:rowOff>114300</xdr:rowOff>
    </xdr:to>
    <xdr:sp macro="" textlink="">
      <xdr:nvSpPr>
        <xdr:cNvPr id="2245" name="AutoShape 630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873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2065</xdr:row>
      <xdr:rowOff>0</xdr:rowOff>
    </xdr:from>
    <xdr:to>
      <xdr:col>4</xdr:col>
      <xdr:colOff>304800</xdr:colOff>
      <xdr:row>2066</xdr:row>
      <xdr:rowOff>114300</xdr:rowOff>
    </xdr:to>
    <xdr:sp macro="" textlink="">
      <xdr:nvSpPr>
        <xdr:cNvPr id="2246" name="AutoShape 631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91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2065</xdr:row>
      <xdr:rowOff>0</xdr:rowOff>
    </xdr:from>
    <xdr:to>
      <xdr:col>5</xdr:col>
      <xdr:colOff>304800</xdr:colOff>
      <xdr:row>2066</xdr:row>
      <xdr:rowOff>114300</xdr:rowOff>
    </xdr:to>
    <xdr:sp macro="" textlink="">
      <xdr:nvSpPr>
        <xdr:cNvPr id="2247" name="AutoShape 632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91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2067</xdr:row>
      <xdr:rowOff>0</xdr:rowOff>
    </xdr:from>
    <xdr:to>
      <xdr:col>4</xdr:col>
      <xdr:colOff>304800</xdr:colOff>
      <xdr:row>2068</xdr:row>
      <xdr:rowOff>76200</xdr:rowOff>
    </xdr:to>
    <xdr:sp macro="" textlink="">
      <xdr:nvSpPr>
        <xdr:cNvPr id="2248" name="AutoShape 633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951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2067</xdr:row>
      <xdr:rowOff>0</xdr:rowOff>
    </xdr:from>
    <xdr:to>
      <xdr:col>5</xdr:col>
      <xdr:colOff>304800</xdr:colOff>
      <xdr:row>2068</xdr:row>
      <xdr:rowOff>76200</xdr:rowOff>
    </xdr:to>
    <xdr:sp macro="" textlink="">
      <xdr:nvSpPr>
        <xdr:cNvPr id="2249" name="AutoShape 634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951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2069</xdr:row>
      <xdr:rowOff>0</xdr:rowOff>
    </xdr:from>
    <xdr:to>
      <xdr:col>4</xdr:col>
      <xdr:colOff>304800</xdr:colOff>
      <xdr:row>2070</xdr:row>
      <xdr:rowOff>114300</xdr:rowOff>
    </xdr:to>
    <xdr:sp macro="" textlink="">
      <xdr:nvSpPr>
        <xdr:cNvPr id="2250" name="AutoShape 635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994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2069</xdr:row>
      <xdr:rowOff>0</xdr:rowOff>
    </xdr:from>
    <xdr:to>
      <xdr:col>5</xdr:col>
      <xdr:colOff>304800</xdr:colOff>
      <xdr:row>2070</xdr:row>
      <xdr:rowOff>114300</xdr:rowOff>
    </xdr:to>
    <xdr:sp macro="" textlink="">
      <xdr:nvSpPr>
        <xdr:cNvPr id="2251" name="AutoShape 636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994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2071</xdr:row>
      <xdr:rowOff>0</xdr:rowOff>
    </xdr:from>
    <xdr:to>
      <xdr:col>4</xdr:col>
      <xdr:colOff>304800</xdr:colOff>
      <xdr:row>2072</xdr:row>
      <xdr:rowOff>114300</xdr:rowOff>
    </xdr:to>
    <xdr:sp macro="" textlink="">
      <xdr:nvSpPr>
        <xdr:cNvPr id="2252" name="AutoShape 637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0338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2071</xdr:row>
      <xdr:rowOff>0</xdr:rowOff>
    </xdr:from>
    <xdr:to>
      <xdr:col>5</xdr:col>
      <xdr:colOff>304800</xdr:colOff>
      <xdr:row>2072</xdr:row>
      <xdr:rowOff>114300</xdr:rowOff>
    </xdr:to>
    <xdr:sp macro="" textlink="">
      <xdr:nvSpPr>
        <xdr:cNvPr id="2253" name="AutoShape 638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0338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2073</xdr:row>
      <xdr:rowOff>0</xdr:rowOff>
    </xdr:from>
    <xdr:to>
      <xdr:col>4</xdr:col>
      <xdr:colOff>304800</xdr:colOff>
      <xdr:row>2074</xdr:row>
      <xdr:rowOff>114300</xdr:rowOff>
    </xdr:to>
    <xdr:sp macro="" textlink="">
      <xdr:nvSpPr>
        <xdr:cNvPr id="2254" name="AutoShape 639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072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2073</xdr:row>
      <xdr:rowOff>0</xdr:rowOff>
    </xdr:from>
    <xdr:to>
      <xdr:col>5</xdr:col>
      <xdr:colOff>304800</xdr:colOff>
      <xdr:row>2074</xdr:row>
      <xdr:rowOff>114300</xdr:rowOff>
    </xdr:to>
    <xdr:sp macro="" textlink="">
      <xdr:nvSpPr>
        <xdr:cNvPr id="2255" name="AutoShape 640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072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2075</xdr:row>
      <xdr:rowOff>0</xdr:rowOff>
    </xdr:from>
    <xdr:to>
      <xdr:col>4</xdr:col>
      <xdr:colOff>304800</xdr:colOff>
      <xdr:row>2076</xdr:row>
      <xdr:rowOff>114300</xdr:rowOff>
    </xdr:to>
    <xdr:sp macro="" textlink="">
      <xdr:nvSpPr>
        <xdr:cNvPr id="2256" name="AutoShape 641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1119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2075</xdr:row>
      <xdr:rowOff>0</xdr:rowOff>
    </xdr:from>
    <xdr:to>
      <xdr:col>5</xdr:col>
      <xdr:colOff>304800</xdr:colOff>
      <xdr:row>2076</xdr:row>
      <xdr:rowOff>114300</xdr:rowOff>
    </xdr:to>
    <xdr:sp macro="" textlink="">
      <xdr:nvSpPr>
        <xdr:cNvPr id="2257" name="AutoShape 642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1119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2077</xdr:row>
      <xdr:rowOff>0</xdr:rowOff>
    </xdr:from>
    <xdr:to>
      <xdr:col>4</xdr:col>
      <xdr:colOff>304800</xdr:colOff>
      <xdr:row>2078</xdr:row>
      <xdr:rowOff>114300</xdr:rowOff>
    </xdr:to>
    <xdr:sp macro="" textlink="">
      <xdr:nvSpPr>
        <xdr:cNvPr id="2258" name="AutoShape 643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1509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2077</xdr:row>
      <xdr:rowOff>0</xdr:rowOff>
    </xdr:from>
    <xdr:to>
      <xdr:col>5</xdr:col>
      <xdr:colOff>304800</xdr:colOff>
      <xdr:row>2078</xdr:row>
      <xdr:rowOff>114300</xdr:rowOff>
    </xdr:to>
    <xdr:sp macro="" textlink="">
      <xdr:nvSpPr>
        <xdr:cNvPr id="2259" name="AutoShape 644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1509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2079</xdr:row>
      <xdr:rowOff>0</xdr:rowOff>
    </xdr:from>
    <xdr:to>
      <xdr:col>4</xdr:col>
      <xdr:colOff>304800</xdr:colOff>
      <xdr:row>2080</xdr:row>
      <xdr:rowOff>114300</xdr:rowOff>
    </xdr:to>
    <xdr:sp macro="" textlink="">
      <xdr:nvSpPr>
        <xdr:cNvPr id="2260" name="AutoShape 645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190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2079</xdr:row>
      <xdr:rowOff>0</xdr:rowOff>
    </xdr:from>
    <xdr:to>
      <xdr:col>5</xdr:col>
      <xdr:colOff>304800</xdr:colOff>
      <xdr:row>2080</xdr:row>
      <xdr:rowOff>114300</xdr:rowOff>
    </xdr:to>
    <xdr:sp macro="" textlink="">
      <xdr:nvSpPr>
        <xdr:cNvPr id="2261" name="AutoShape 646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190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2081</xdr:row>
      <xdr:rowOff>0</xdr:rowOff>
    </xdr:from>
    <xdr:to>
      <xdr:col>4</xdr:col>
      <xdr:colOff>304800</xdr:colOff>
      <xdr:row>2082</xdr:row>
      <xdr:rowOff>114300</xdr:rowOff>
    </xdr:to>
    <xdr:sp macro="" textlink="">
      <xdr:nvSpPr>
        <xdr:cNvPr id="2262" name="AutoShape 647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229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2081</xdr:row>
      <xdr:rowOff>0</xdr:rowOff>
    </xdr:from>
    <xdr:to>
      <xdr:col>5</xdr:col>
      <xdr:colOff>304800</xdr:colOff>
      <xdr:row>2082</xdr:row>
      <xdr:rowOff>114300</xdr:rowOff>
    </xdr:to>
    <xdr:sp macro="" textlink="">
      <xdr:nvSpPr>
        <xdr:cNvPr id="2263" name="AutoShape 648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229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2083</xdr:row>
      <xdr:rowOff>0</xdr:rowOff>
    </xdr:from>
    <xdr:to>
      <xdr:col>4</xdr:col>
      <xdr:colOff>304800</xdr:colOff>
      <xdr:row>2084</xdr:row>
      <xdr:rowOff>114300</xdr:rowOff>
    </xdr:to>
    <xdr:sp macro="" textlink="">
      <xdr:nvSpPr>
        <xdr:cNvPr id="2264" name="AutoShape 649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2681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2083</xdr:row>
      <xdr:rowOff>0</xdr:rowOff>
    </xdr:from>
    <xdr:to>
      <xdr:col>5</xdr:col>
      <xdr:colOff>304800</xdr:colOff>
      <xdr:row>2084</xdr:row>
      <xdr:rowOff>114300</xdr:rowOff>
    </xdr:to>
    <xdr:sp macro="" textlink="">
      <xdr:nvSpPr>
        <xdr:cNvPr id="2265" name="AutoShape 650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2681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2085</xdr:row>
      <xdr:rowOff>0</xdr:rowOff>
    </xdr:from>
    <xdr:to>
      <xdr:col>4</xdr:col>
      <xdr:colOff>304800</xdr:colOff>
      <xdr:row>2086</xdr:row>
      <xdr:rowOff>114300</xdr:rowOff>
    </xdr:to>
    <xdr:sp macro="" textlink="">
      <xdr:nvSpPr>
        <xdr:cNvPr id="2266" name="AutoShape 651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307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2085</xdr:row>
      <xdr:rowOff>0</xdr:rowOff>
    </xdr:from>
    <xdr:to>
      <xdr:col>5</xdr:col>
      <xdr:colOff>304800</xdr:colOff>
      <xdr:row>2086</xdr:row>
      <xdr:rowOff>114300</xdr:rowOff>
    </xdr:to>
    <xdr:sp macro="" textlink="">
      <xdr:nvSpPr>
        <xdr:cNvPr id="2267" name="AutoShape 652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307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2087</xdr:row>
      <xdr:rowOff>0</xdr:rowOff>
    </xdr:from>
    <xdr:to>
      <xdr:col>4</xdr:col>
      <xdr:colOff>304800</xdr:colOff>
      <xdr:row>2088</xdr:row>
      <xdr:rowOff>76200</xdr:rowOff>
    </xdr:to>
    <xdr:sp macro="" textlink="">
      <xdr:nvSpPr>
        <xdr:cNvPr id="2268" name="AutoShape 653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3462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2087</xdr:row>
      <xdr:rowOff>0</xdr:rowOff>
    </xdr:from>
    <xdr:to>
      <xdr:col>5</xdr:col>
      <xdr:colOff>304800</xdr:colOff>
      <xdr:row>2088</xdr:row>
      <xdr:rowOff>76200</xdr:rowOff>
    </xdr:to>
    <xdr:sp macro="" textlink="">
      <xdr:nvSpPr>
        <xdr:cNvPr id="2269" name="AutoShape 654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3462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2089</xdr:row>
      <xdr:rowOff>0</xdr:rowOff>
    </xdr:from>
    <xdr:to>
      <xdr:col>4</xdr:col>
      <xdr:colOff>304800</xdr:colOff>
      <xdr:row>2090</xdr:row>
      <xdr:rowOff>152400</xdr:rowOff>
    </xdr:to>
    <xdr:sp macro="" textlink="">
      <xdr:nvSpPr>
        <xdr:cNvPr id="2270" name="AutoShape 655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389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2089</xdr:row>
      <xdr:rowOff>0</xdr:rowOff>
    </xdr:from>
    <xdr:to>
      <xdr:col>5</xdr:col>
      <xdr:colOff>304800</xdr:colOff>
      <xdr:row>2090</xdr:row>
      <xdr:rowOff>152400</xdr:rowOff>
    </xdr:to>
    <xdr:sp macro="" textlink="">
      <xdr:nvSpPr>
        <xdr:cNvPr id="2271" name="AutoShape 656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389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2091</xdr:row>
      <xdr:rowOff>0</xdr:rowOff>
    </xdr:from>
    <xdr:to>
      <xdr:col>4</xdr:col>
      <xdr:colOff>304800</xdr:colOff>
      <xdr:row>2092</xdr:row>
      <xdr:rowOff>114300</xdr:rowOff>
    </xdr:to>
    <xdr:sp macro="" textlink="">
      <xdr:nvSpPr>
        <xdr:cNvPr id="2272" name="AutoShape 657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4281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2091</xdr:row>
      <xdr:rowOff>0</xdr:rowOff>
    </xdr:from>
    <xdr:to>
      <xdr:col>5</xdr:col>
      <xdr:colOff>304800</xdr:colOff>
      <xdr:row>2092</xdr:row>
      <xdr:rowOff>114300</xdr:rowOff>
    </xdr:to>
    <xdr:sp macro="" textlink="">
      <xdr:nvSpPr>
        <xdr:cNvPr id="2273" name="AutoShape 658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4281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2093</xdr:row>
      <xdr:rowOff>0</xdr:rowOff>
    </xdr:from>
    <xdr:to>
      <xdr:col>4</xdr:col>
      <xdr:colOff>304800</xdr:colOff>
      <xdr:row>2094</xdr:row>
      <xdr:rowOff>114300</xdr:rowOff>
    </xdr:to>
    <xdr:sp macro="" textlink="">
      <xdr:nvSpPr>
        <xdr:cNvPr id="2274" name="AutoShape 659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4672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2093</xdr:row>
      <xdr:rowOff>0</xdr:rowOff>
    </xdr:from>
    <xdr:to>
      <xdr:col>5</xdr:col>
      <xdr:colOff>304800</xdr:colOff>
      <xdr:row>2094</xdr:row>
      <xdr:rowOff>114300</xdr:rowOff>
    </xdr:to>
    <xdr:sp macro="" textlink="">
      <xdr:nvSpPr>
        <xdr:cNvPr id="2275" name="AutoShape 660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4672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2095</xdr:row>
      <xdr:rowOff>0</xdr:rowOff>
    </xdr:from>
    <xdr:to>
      <xdr:col>4</xdr:col>
      <xdr:colOff>304800</xdr:colOff>
      <xdr:row>2096</xdr:row>
      <xdr:rowOff>152400</xdr:rowOff>
    </xdr:to>
    <xdr:sp macro="" textlink="">
      <xdr:nvSpPr>
        <xdr:cNvPr id="2276" name="AutoShape 661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50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2095</xdr:row>
      <xdr:rowOff>0</xdr:rowOff>
    </xdr:from>
    <xdr:to>
      <xdr:col>5</xdr:col>
      <xdr:colOff>304800</xdr:colOff>
      <xdr:row>2096</xdr:row>
      <xdr:rowOff>152400</xdr:rowOff>
    </xdr:to>
    <xdr:sp macro="" textlink="">
      <xdr:nvSpPr>
        <xdr:cNvPr id="2277" name="AutoShape 662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50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2097</xdr:row>
      <xdr:rowOff>0</xdr:rowOff>
    </xdr:from>
    <xdr:to>
      <xdr:col>4</xdr:col>
      <xdr:colOff>304800</xdr:colOff>
      <xdr:row>2098</xdr:row>
      <xdr:rowOff>76200</xdr:rowOff>
    </xdr:to>
    <xdr:sp macro="" textlink="">
      <xdr:nvSpPr>
        <xdr:cNvPr id="2278" name="AutoShape 663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545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2097</xdr:row>
      <xdr:rowOff>0</xdr:rowOff>
    </xdr:from>
    <xdr:to>
      <xdr:col>5</xdr:col>
      <xdr:colOff>304800</xdr:colOff>
      <xdr:row>2098</xdr:row>
      <xdr:rowOff>76200</xdr:rowOff>
    </xdr:to>
    <xdr:sp macro="" textlink="">
      <xdr:nvSpPr>
        <xdr:cNvPr id="2279" name="AutoShape 664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545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2099</xdr:row>
      <xdr:rowOff>0</xdr:rowOff>
    </xdr:from>
    <xdr:to>
      <xdr:col>4</xdr:col>
      <xdr:colOff>304800</xdr:colOff>
      <xdr:row>2100</xdr:row>
      <xdr:rowOff>114300</xdr:rowOff>
    </xdr:to>
    <xdr:sp macro="" textlink="">
      <xdr:nvSpPr>
        <xdr:cNvPr id="2280" name="AutoShape 665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588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2099</xdr:row>
      <xdr:rowOff>0</xdr:rowOff>
    </xdr:from>
    <xdr:to>
      <xdr:col>5</xdr:col>
      <xdr:colOff>304800</xdr:colOff>
      <xdr:row>2100</xdr:row>
      <xdr:rowOff>114300</xdr:rowOff>
    </xdr:to>
    <xdr:sp macro="" textlink="">
      <xdr:nvSpPr>
        <xdr:cNvPr id="2281" name="AutoShape 666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588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2101</xdr:row>
      <xdr:rowOff>0</xdr:rowOff>
    </xdr:from>
    <xdr:to>
      <xdr:col>4</xdr:col>
      <xdr:colOff>304800</xdr:colOff>
      <xdr:row>2102</xdr:row>
      <xdr:rowOff>114300</xdr:rowOff>
    </xdr:to>
    <xdr:sp macro="" textlink="">
      <xdr:nvSpPr>
        <xdr:cNvPr id="2282" name="AutoShape 667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627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2101</xdr:row>
      <xdr:rowOff>0</xdr:rowOff>
    </xdr:from>
    <xdr:to>
      <xdr:col>5</xdr:col>
      <xdr:colOff>304800</xdr:colOff>
      <xdr:row>2102</xdr:row>
      <xdr:rowOff>114300</xdr:rowOff>
    </xdr:to>
    <xdr:sp macro="" textlink="">
      <xdr:nvSpPr>
        <xdr:cNvPr id="2283" name="AutoShape 668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627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2103</xdr:row>
      <xdr:rowOff>0</xdr:rowOff>
    </xdr:from>
    <xdr:to>
      <xdr:col>4</xdr:col>
      <xdr:colOff>304800</xdr:colOff>
      <xdr:row>2104</xdr:row>
      <xdr:rowOff>114300</xdr:rowOff>
    </xdr:to>
    <xdr:sp macro="" textlink="">
      <xdr:nvSpPr>
        <xdr:cNvPr id="2284" name="AutoShape 669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666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2103</xdr:row>
      <xdr:rowOff>0</xdr:rowOff>
    </xdr:from>
    <xdr:to>
      <xdr:col>5</xdr:col>
      <xdr:colOff>304800</xdr:colOff>
      <xdr:row>2104</xdr:row>
      <xdr:rowOff>114300</xdr:rowOff>
    </xdr:to>
    <xdr:sp macro="" textlink="">
      <xdr:nvSpPr>
        <xdr:cNvPr id="2285" name="AutoShape 670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666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2105</xdr:row>
      <xdr:rowOff>0</xdr:rowOff>
    </xdr:from>
    <xdr:to>
      <xdr:col>4</xdr:col>
      <xdr:colOff>304800</xdr:colOff>
      <xdr:row>2106</xdr:row>
      <xdr:rowOff>114300</xdr:rowOff>
    </xdr:to>
    <xdr:sp macro="" textlink="">
      <xdr:nvSpPr>
        <xdr:cNvPr id="2286" name="AutoShape 671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705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2105</xdr:row>
      <xdr:rowOff>0</xdr:rowOff>
    </xdr:from>
    <xdr:to>
      <xdr:col>5</xdr:col>
      <xdr:colOff>304800</xdr:colOff>
      <xdr:row>2106</xdr:row>
      <xdr:rowOff>114300</xdr:rowOff>
    </xdr:to>
    <xdr:sp macro="" textlink="">
      <xdr:nvSpPr>
        <xdr:cNvPr id="2287" name="AutoShape 672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705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2107</xdr:row>
      <xdr:rowOff>0</xdr:rowOff>
    </xdr:from>
    <xdr:to>
      <xdr:col>4</xdr:col>
      <xdr:colOff>304800</xdr:colOff>
      <xdr:row>2108</xdr:row>
      <xdr:rowOff>114300</xdr:rowOff>
    </xdr:to>
    <xdr:sp macro="" textlink="">
      <xdr:nvSpPr>
        <xdr:cNvPr id="2288" name="AutoShape 673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744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2107</xdr:row>
      <xdr:rowOff>0</xdr:rowOff>
    </xdr:from>
    <xdr:to>
      <xdr:col>5</xdr:col>
      <xdr:colOff>304800</xdr:colOff>
      <xdr:row>2108</xdr:row>
      <xdr:rowOff>114300</xdr:rowOff>
    </xdr:to>
    <xdr:sp macro="" textlink="">
      <xdr:nvSpPr>
        <xdr:cNvPr id="2289" name="AutoShape 674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744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2109</xdr:row>
      <xdr:rowOff>0</xdr:rowOff>
    </xdr:from>
    <xdr:to>
      <xdr:col>4</xdr:col>
      <xdr:colOff>304800</xdr:colOff>
      <xdr:row>2110</xdr:row>
      <xdr:rowOff>114300</xdr:rowOff>
    </xdr:to>
    <xdr:sp macro="" textlink="">
      <xdr:nvSpPr>
        <xdr:cNvPr id="2290" name="AutoShape 675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7834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2109</xdr:row>
      <xdr:rowOff>0</xdr:rowOff>
    </xdr:from>
    <xdr:to>
      <xdr:col>5</xdr:col>
      <xdr:colOff>304800</xdr:colOff>
      <xdr:row>2110</xdr:row>
      <xdr:rowOff>114300</xdr:rowOff>
    </xdr:to>
    <xdr:sp macro="" textlink="">
      <xdr:nvSpPr>
        <xdr:cNvPr id="2291" name="AutoShape 676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7834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2111</xdr:row>
      <xdr:rowOff>0</xdr:rowOff>
    </xdr:from>
    <xdr:to>
      <xdr:col>4</xdr:col>
      <xdr:colOff>304800</xdr:colOff>
      <xdr:row>2112</xdr:row>
      <xdr:rowOff>76200</xdr:rowOff>
    </xdr:to>
    <xdr:sp macro="" textlink="">
      <xdr:nvSpPr>
        <xdr:cNvPr id="2292" name="AutoShape 677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822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2111</xdr:row>
      <xdr:rowOff>0</xdr:rowOff>
    </xdr:from>
    <xdr:to>
      <xdr:col>5</xdr:col>
      <xdr:colOff>304800</xdr:colOff>
      <xdr:row>2112</xdr:row>
      <xdr:rowOff>76200</xdr:rowOff>
    </xdr:to>
    <xdr:sp macro="" textlink="">
      <xdr:nvSpPr>
        <xdr:cNvPr id="2293" name="AutoShape 678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822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2113</xdr:row>
      <xdr:rowOff>0</xdr:rowOff>
    </xdr:from>
    <xdr:to>
      <xdr:col>4</xdr:col>
      <xdr:colOff>304800</xdr:colOff>
      <xdr:row>2114</xdr:row>
      <xdr:rowOff>76200</xdr:rowOff>
    </xdr:to>
    <xdr:sp macro="" textlink="">
      <xdr:nvSpPr>
        <xdr:cNvPr id="2294" name="AutoShape 679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865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2113</xdr:row>
      <xdr:rowOff>0</xdr:rowOff>
    </xdr:from>
    <xdr:to>
      <xdr:col>5</xdr:col>
      <xdr:colOff>304800</xdr:colOff>
      <xdr:row>2114</xdr:row>
      <xdr:rowOff>76200</xdr:rowOff>
    </xdr:to>
    <xdr:sp macro="" textlink="">
      <xdr:nvSpPr>
        <xdr:cNvPr id="2295" name="AutoShape 680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865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2115</xdr:row>
      <xdr:rowOff>0</xdr:rowOff>
    </xdr:from>
    <xdr:to>
      <xdr:col>4</xdr:col>
      <xdr:colOff>304800</xdr:colOff>
      <xdr:row>2116</xdr:row>
      <xdr:rowOff>114300</xdr:rowOff>
    </xdr:to>
    <xdr:sp macro="" textlink="">
      <xdr:nvSpPr>
        <xdr:cNvPr id="2296" name="AutoShape 681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9082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2115</xdr:row>
      <xdr:rowOff>0</xdr:rowOff>
    </xdr:from>
    <xdr:to>
      <xdr:col>5</xdr:col>
      <xdr:colOff>304800</xdr:colOff>
      <xdr:row>2116</xdr:row>
      <xdr:rowOff>114300</xdr:rowOff>
    </xdr:to>
    <xdr:sp macro="" textlink="">
      <xdr:nvSpPr>
        <xdr:cNvPr id="2297" name="AutoShape 682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9082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2117</xdr:row>
      <xdr:rowOff>0</xdr:rowOff>
    </xdr:from>
    <xdr:to>
      <xdr:col>4</xdr:col>
      <xdr:colOff>304800</xdr:colOff>
      <xdr:row>2118</xdr:row>
      <xdr:rowOff>114300</xdr:rowOff>
    </xdr:to>
    <xdr:sp macro="" textlink="">
      <xdr:nvSpPr>
        <xdr:cNvPr id="2298" name="AutoShape 683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9472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2117</xdr:row>
      <xdr:rowOff>0</xdr:rowOff>
    </xdr:from>
    <xdr:to>
      <xdr:col>5</xdr:col>
      <xdr:colOff>304800</xdr:colOff>
      <xdr:row>2118</xdr:row>
      <xdr:rowOff>114300</xdr:rowOff>
    </xdr:to>
    <xdr:sp macro="" textlink="">
      <xdr:nvSpPr>
        <xdr:cNvPr id="2299" name="AutoShape 684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9472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2119</xdr:row>
      <xdr:rowOff>0</xdr:rowOff>
    </xdr:from>
    <xdr:to>
      <xdr:col>4</xdr:col>
      <xdr:colOff>304800</xdr:colOff>
      <xdr:row>2120</xdr:row>
      <xdr:rowOff>114300</xdr:rowOff>
    </xdr:to>
    <xdr:sp macro="" textlink="">
      <xdr:nvSpPr>
        <xdr:cNvPr id="2300" name="AutoShape 685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9863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2119</xdr:row>
      <xdr:rowOff>0</xdr:rowOff>
    </xdr:from>
    <xdr:to>
      <xdr:col>5</xdr:col>
      <xdr:colOff>304800</xdr:colOff>
      <xdr:row>2120</xdr:row>
      <xdr:rowOff>114300</xdr:rowOff>
    </xdr:to>
    <xdr:sp macro="" textlink="">
      <xdr:nvSpPr>
        <xdr:cNvPr id="2301" name="AutoShape 686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9863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2121</xdr:row>
      <xdr:rowOff>0</xdr:rowOff>
    </xdr:from>
    <xdr:to>
      <xdr:col>4</xdr:col>
      <xdr:colOff>304800</xdr:colOff>
      <xdr:row>2122</xdr:row>
      <xdr:rowOff>114300</xdr:rowOff>
    </xdr:to>
    <xdr:sp macro="" textlink="">
      <xdr:nvSpPr>
        <xdr:cNvPr id="2302" name="AutoShape 687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025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2121</xdr:row>
      <xdr:rowOff>0</xdr:rowOff>
    </xdr:from>
    <xdr:to>
      <xdr:col>5</xdr:col>
      <xdr:colOff>304800</xdr:colOff>
      <xdr:row>2122</xdr:row>
      <xdr:rowOff>114300</xdr:rowOff>
    </xdr:to>
    <xdr:sp macro="" textlink="">
      <xdr:nvSpPr>
        <xdr:cNvPr id="2303" name="AutoShape 688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025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2123</xdr:row>
      <xdr:rowOff>0</xdr:rowOff>
    </xdr:from>
    <xdr:to>
      <xdr:col>4</xdr:col>
      <xdr:colOff>304800</xdr:colOff>
      <xdr:row>2124</xdr:row>
      <xdr:rowOff>114300</xdr:rowOff>
    </xdr:to>
    <xdr:sp macro="" textlink="">
      <xdr:nvSpPr>
        <xdr:cNvPr id="2304" name="AutoShape 689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064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2123</xdr:row>
      <xdr:rowOff>0</xdr:rowOff>
    </xdr:from>
    <xdr:to>
      <xdr:col>5</xdr:col>
      <xdr:colOff>304800</xdr:colOff>
      <xdr:row>2124</xdr:row>
      <xdr:rowOff>114300</xdr:rowOff>
    </xdr:to>
    <xdr:sp macro="" textlink="">
      <xdr:nvSpPr>
        <xdr:cNvPr id="2305" name="AutoShape 690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064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2125</xdr:row>
      <xdr:rowOff>0</xdr:rowOff>
    </xdr:from>
    <xdr:to>
      <xdr:col>4</xdr:col>
      <xdr:colOff>304800</xdr:colOff>
      <xdr:row>2126</xdr:row>
      <xdr:rowOff>114300</xdr:rowOff>
    </xdr:to>
    <xdr:sp macro="" textlink="">
      <xdr:nvSpPr>
        <xdr:cNvPr id="2306" name="AutoShape 691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103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2125</xdr:row>
      <xdr:rowOff>0</xdr:rowOff>
    </xdr:from>
    <xdr:to>
      <xdr:col>5</xdr:col>
      <xdr:colOff>304800</xdr:colOff>
      <xdr:row>2126</xdr:row>
      <xdr:rowOff>114300</xdr:rowOff>
    </xdr:to>
    <xdr:sp macro="" textlink="">
      <xdr:nvSpPr>
        <xdr:cNvPr id="2307" name="AutoShape 692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103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2127</xdr:row>
      <xdr:rowOff>0</xdr:rowOff>
    </xdr:from>
    <xdr:to>
      <xdr:col>4</xdr:col>
      <xdr:colOff>304800</xdr:colOff>
      <xdr:row>2128</xdr:row>
      <xdr:rowOff>114300</xdr:rowOff>
    </xdr:to>
    <xdr:sp macro="" textlink="">
      <xdr:nvSpPr>
        <xdr:cNvPr id="2308" name="AutoShape 693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142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2127</xdr:row>
      <xdr:rowOff>0</xdr:rowOff>
    </xdr:from>
    <xdr:to>
      <xdr:col>5</xdr:col>
      <xdr:colOff>304800</xdr:colOff>
      <xdr:row>2128</xdr:row>
      <xdr:rowOff>114300</xdr:rowOff>
    </xdr:to>
    <xdr:sp macro="" textlink="">
      <xdr:nvSpPr>
        <xdr:cNvPr id="2309" name="AutoShape 694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142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2129</xdr:row>
      <xdr:rowOff>0</xdr:rowOff>
    </xdr:from>
    <xdr:to>
      <xdr:col>4</xdr:col>
      <xdr:colOff>304800</xdr:colOff>
      <xdr:row>2130</xdr:row>
      <xdr:rowOff>152400</xdr:rowOff>
    </xdr:to>
    <xdr:sp macro="" textlink="">
      <xdr:nvSpPr>
        <xdr:cNvPr id="2310" name="AutoShape 695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18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2129</xdr:row>
      <xdr:rowOff>0</xdr:rowOff>
    </xdr:from>
    <xdr:to>
      <xdr:col>5</xdr:col>
      <xdr:colOff>304800</xdr:colOff>
      <xdr:row>2130</xdr:row>
      <xdr:rowOff>152400</xdr:rowOff>
    </xdr:to>
    <xdr:sp macro="" textlink="">
      <xdr:nvSpPr>
        <xdr:cNvPr id="2311" name="AutoShape 696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18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2131</xdr:row>
      <xdr:rowOff>0</xdr:rowOff>
    </xdr:from>
    <xdr:to>
      <xdr:col>4</xdr:col>
      <xdr:colOff>304800</xdr:colOff>
      <xdr:row>2132</xdr:row>
      <xdr:rowOff>114300</xdr:rowOff>
    </xdr:to>
    <xdr:sp macro="" textlink="">
      <xdr:nvSpPr>
        <xdr:cNvPr id="2312" name="AutoShape 697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2206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2131</xdr:row>
      <xdr:rowOff>0</xdr:rowOff>
    </xdr:from>
    <xdr:to>
      <xdr:col>5</xdr:col>
      <xdr:colOff>304800</xdr:colOff>
      <xdr:row>2132</xdr:row>
      <xdr:rowOff>114300</xdr:rowOff>
    </xdr:to>
    <xdr:sp macro="" textlink="">
      <xdr:nvSpPr>
        <xdr:cNvPr id="2313" name="AutoShape 698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2206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2133</xdr:row>
      <xdr:rowOff>0</xdr:rowOff>
    </xdr:from>
    <xdr:to>
      <xdr:col>4</xdr:col>
      <xdr:colOff>304800</xdr:colOff>
      <xdr:row>2134</xdr:row>
      <xdr:rowOff>114300</xdr:rowOff>
    </xdr:to>
    <xdr:sp macro="" textlink="">
      <xdr:nvSpPr>
        <xdr:cNvPr id="2314" name="AutoShape 699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259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2133</xdr:row>
      <xdr:rowOff>0</xdr:rowOff>
    </xdr:from>
    <xdr:to>
      <xdr:col>5</xdr:col>
      <xdr:colOff>304800</xdr:colOff>
      <xdr:row>2134</xdr:row>
      <xdr:rowOff>114300</xdr:rowOff>
    </xdr:to>
    <xdr:sp macro="" textlink="">
      <xdr:nvSpPr>
        <xdr:cNvPr id="2315" name="AutoShape 700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259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2135</xdr:row>
      <xdr:rowOff>0</xdr:rowOff>
    </xdr:from>
    <xdr:to>
      <xdr:col>4</xdr:col>
      <xdr:colOff>304800</xdr:colOff>
      <xdr:row>2136</xdr:row>
      <xdr:rowOff>114300</xdr:rowOff>
    </xdr:to>
    <xdr:sp macro="" textlink="">
      <xdr:nvSpPr>
        <xdr:cNvPr id="2316" name="AutoShape 701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298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2135</xdr:row>
      <xdr:rowOff>0</xdr:rowOff>
    </xdr:from>
    <xdr:to>
      <xdr:col>5</xdr:col>
      <xdr:colOff>304800</xdr:colOff>
      <xdr:row>2136</xdr:row>
      <xdr:rowOff>114300</xdr:rowOff>
    </xdr:to>
    <xdr:sp macro="" textlink="">
      <xdr:nvSpPr>
        <xdr:cNvPr id="2317" name="AutoShape 702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298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2137</xdr:row>
      <xdr:rowOff>0</xdr:rowOff>
    </xdr:from>
    <xdr:to>
      <xdr:col>4</xdr:col>
      <xdr:colOff>304800</xdr:colOff>
      <xdr:row>2138</xdr:row>
      <xdr:rowOff>114300</xdr:rowOff>
    </xdr:to>
    <xdr:sp macro="" textlink="">
      <xdr:nvSpPr>
        <xdr:cNvPr id="2318" name="AutoShape 703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3378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2137</xdr:row>
      <xdr:rowOff>0</xdr:rowOff>
    </xdr:from>
    <xdr:to>
      <xdr:col>5</xdr:col>
      <xdr:colOff>304800</xdr:colOff>
      <xdr:row>2138</xdr:row>
      <xdr:rowOff>114300</xdr:rowOff>
    </xdr:to>
    <xdr:sp macro="" textlink="">
      <xdr:nvSpPr>
        <xdr:cNvPr id="2319" name="AutoShape 704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3378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2139</xdr:row>
      <xdr:rowOff>0</xdr:rowOff>
    </xdr:from>
    <xdr:to>
      <xdr:col>4</xdr:col>
      <xdr:colOff>304800</xdr:colOff>
      <xdr:row>2140</xdr:row>
      <xdr:rowOff>114300</xdr:rowOff>
    </xdr:to>
    <xdr:sp macro="" textlink="">
      <xdr:nvSpPr>
        <xdr:cNvPr id="2320" name="AutoShape 705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3768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2139</xdr:row>
      <xdr:rowOff>0</xdr:rowOff>
    </xdr:from>
    <xdr:to>
      <xdr:col>5</xdr:col>
      <xdr:colOff>304800</xdr:colOff>
      <xdr:row>2140</xdr:row>
      <xdr:rowOff>114300</xdr:rowOff>
    </xdr:to>
    <xdr:sp macro="" textlink="">
      <xdr:nvSpPr>
        <xdr:cNvPr id="2321" name="AutoShape 706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3768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2141</xdr:row>
      <xdr:rowOff>0</xdr:rowOff>
    </xdr:from>
    <xdr:to>
      <xdr:col>4</xdr:col>
      <xdr:colOff>304800</xdr:colOff>
      <xdr:row>2142</xdr:row>
      <xdr:rowOff>152400</xdr:rowOff>
    </xdr:to>
    <xdr:sp macro="" textlink="">
      <xdr:nvSpPr>
        <xdr:cNvPr id="2322" name="AutoShape 707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4159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2141</xdr:row>
      <xdr:rowOff>0</xdr:rowOff>
    </xdr:from>
    <xdr:to>
      <xdr:col>5</xdr:col>
      <xdr:colOff>304800</xdr:colOff>
      <xdr:row>2142</xdr:row>
      <xdr:rowOff>152400</xdr:rowOff>
    </xdr:to>
    <xdr:sp macro="" textlink="">
      <xdr:nvSpPr>
        <xdr:cNvPr id="2323" name="AutoShape 708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4159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2143</xdr:row>
      <xdr:rowOff>0</xdr:rowOff>
    </xdr:from>
    <xdr:to>
      <xdr:col>4</xdr:col>
      <xdr:colOff>304800</xdr:colOff>
      <xdr:row>2144</xdr:row>
      <xdr:rowOff>76200</xdr:rowOff>
    </xdr:to>
    <xdr:sp macro="" textlink="">
      <xdr:nvSpPr>
        <xdr:cNvPr id="2324" name="AutoShape 709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454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2143</xdr:row>
      <xdr:rowOff>0</xdr:rowOff>
    </xdr:from>
    <xdr:to>
      <xdr:col>5</xdr:col>
      <xdr:colOff>304800</xdr:colOff>
      <xdr:row>2144</xdr:row>
      <xdr:rowOff>76200</xdr:rowOff>
    </xdr:to>
    <xdr:sp macro="" textlink="">
      <xdr:nvSpPr>
        <xdr:cNvPr id="2325" name="AutoShape 710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454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2145</xdr:row>
      <xdr:rowOff>0</xdr:rowOff>
    </xdr:from>
    <xdr:to>
      <xdr:col>4</xdr:col>
      <xdr:colOff>304800</xdr:colOff>
      <xdr:row>2146</xdr:row>
      <xdr:rowOff>114300</xdr:rowOff>
    </xdr:to>
    <xdr:sp macro="" textlink="">
      <xdr:nvSpPr>
        <xdr:cNvPr id="2326" name="AutoShape 711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4978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2145</xdr:row>
      <xdr:rowOff>0</xdr:rowOff>
    </xdr:from>
    <xdr:to>
      <xdr:col>5</xdr:col>
      <xdr:colOff>304800</xdr:colOff>
      <xdr:row>2146</xdr:row>
      <xdr:rowOff>114300</xdr:rowOff>
    </xdr:to>
    <xdr:sp macro="" textlink="">
      <xdr:nvSpPr>
        <xdr:cNvPr id="2327" name="AutoShape 712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4978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2147</xdr:row>
      <xdr:rowOff>0</xdr:rowOff>
    </xdr:from>
    <xdr:to>
      <xdr:col>4</xdr:col>
      <xdr:colOff>304800</xdr:colOff>
      <xdr:row>2148</xdr:row>
      <xdr:rowOff>152400</xdr:rowOff>
    </xdr:to>
    <xdr:sp macro="" textlink="">
      <xdr:nvSpPr>
        <xdr:cNvPr id="2328" name="AutoShape 713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536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2147</xdr:row>
      <xdr:rowOff>0</xdr:rowOff>
    </xdr:from>
    <xdr:to>
      <xdr:col>5</xdr:col>
      <xdr:colOff>304800</xdr:colOff>
      <xdr:row>2148</xdr:row>
      <xdr:rowOff>152400</xdr:rowOff>
    </xdr:to>
    <xdr:sp macro="" textlink="">
      <xdr:nvSpPr>
        <xdr:cNvPr id="2329" name="AutoShape 714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536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2149</xdr:row>
      <xdr:rowOff>0</xdr:rowOff>
    </xdr:from>
    <xdr:to>
      <xdr:col>4</xdr:col>
      <xdr:colOff>304800</xdr:colOff>
      <xdr:row>2150</xdr:row>
      <xdr:rowOff>114300</xdr:rowOff>
    </xdr:to>
    <xdr:sp macro="" textlink="">
      <xdr:nvSpPr>
        <xdr:cNvPr id="2330" name="AutoShape 715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575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2149</xdr:row>
      <xdr:rowOff>0</xdr:rowOff>
    </xdr:from>
    <xdr:to>
      <xdr:col>5</xdr:col>
      <xdr:colOff>304800</xdr:colOff>
      <xdr:row>2150</xdr:row>
      <xdr:rowOff>114300</xdr:rowOff>
    </xdr:to>
    <xdr:sp macro="" textlink="">
      <xdr:nvSpPr>
        <xdr:cNvPr id="2331" name="AutoShape 716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575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2151</xdr:row>
      <xdr:rowOff>0</xdr:rowOff>
    </xdr:from>
    <xdr:to>
      <xdr:col>4</xdr:col>
      <xdr:colOff>304800</xdr:colOff>
      <xdr:row>2152</xdr:row>
      <xdr:rowOff>152400</xdr:rowOff>
    </xdr:to>
    <xdr:sp macro="" textlink="">
      <xdr:nvSpPr>
        <xdr:cNvPr id="2332" name="AutoShape 717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614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2151</xdr:row>
      <xdr:rowOff>0</xdr:rowOff>
    </xdr:from>
    <xdr:to>
      <xdr:col>5</xdr:col>
      <xdr:colOff>304800</xdr:colOff>
      <xdr:row>2152</xdr:row>
      <xdr:rowOff>152400</xdr:rowOff>
    </xdr:to>
    <xdr:sp macro="" textlink="">
      <xdr:nvSpPr>
        <xdr:cNvPr id="2333" name="AutoShape 718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614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2153</xdr:row>
      <xdr:rowOff>0</xdr:rowOff>
    </xdr:from>
    <xdr:to>
      <xdr:col>4</xdr:col>
      <xdr:colOff>304800</xdr:colOff>
      <xdr:row>2154</xdr:row>
      <xdr:rowOff>76200</xdr:rowOff>
    </xdr:to>
    <xdr:sp macro="" textlink="">
      <xdr:nvSpPr>
        <xdr:cNvPr id="2334" name="AutoShape 719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654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2153</xdr:row>
      <xdr:rowOff>0</xdr:rowOff>
    </xdr:from>
    <xdr:to>
      <xdr:col>5</xdr:col>
      <xdr:colOff>304800</xdr:colOff>
      <xdr:row>2154</xdr:row>
      <xdr:rowOff>76200</xdr:rowOff>
    </xdr:to>
    <xdr:sp macro="" textlink="">
      <xdr:nvSpPr>
        <xdr:cNvPr id="2335" name="AutoShape 720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654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2155</xdr:row>
      <xdr:rowOff>0</xdr:rowOff>
    </xdr:from>
    <xdr:to>
      <xdr:col>4</xdr:col>
      <xdr:colOff>304800</xdr:colOff>
      <xdr:row>2156</xdr:row>
      <xdr:rowOff>114300</xdr:rowOff>
    </xdr:to>
    <xdr:sp macro="" textlink="">
      <xdr:nvSpPr>
        <xdr:cNvPr id="2336" name="AutoShape 721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696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2155</xdr:row>
      <xdr:rowOff>0</xdr:rowOff>
    </xdr:from>
    <xdr:to>
      <xdr:col>5</xdr:col>
      <xdr:colOff>304800</xdr:colOff>
      <xdr:row>2156</xdr:row>
      <xdr:rowOff>114300</xdr:rowOff>
    </xdr:to>
    <xdr:sp macro="" textlink="">
      <xdr:nvSpPr>
        <xdr:cNvPr id="2337" name="AutoShape 722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696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2157</xdr:row>
      <xdr:rowOff>0</xdr:rowOff>
    </xdr:from>
    <xdr:to>
      <xdr:col>4</xdr:col>
      <xdr:colOff>304800</xdr:colOff>
      <xdr:row>2158</xdr:row>
      <xdr:rowOff>114300</xdr:rowOff>
    </xdr:to>
    <xdr:sp macro="" textlink="">
      <xdr:nvSpPr>
        <xdr:cNvPr id="2338" name="AutoShape 723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735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2157</xdr:row>
      <xdr:rowOff>0</xdr:rowOff>
    </xdr:from>
    <xdr:to>
      <xdr:col>5</xdr:col>
      <xdr:colOff>304800</xdr:colOff>
      <xdr:row>2158</xdr:row>
      <xdr:rowOff>114300</xdr:rowOff>
    </xdr:to>
    <xdr:sp macro="" textlink="">
      <xdr:nvSpPr>
        <xdr:cNvPr id="2339" name="AutoShape 724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735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2159</xdr:row>
      <xdr:rowOff>0</xdr:rowOff>
    </xdr:from>
    <xdr:to>
      <xdr:col>4</xdr:col>
      <xdr:colOff>304800</xdr:colOff>
      <xdr:row>2160</xdr:row>
      <xdr:rowOff>76200</xdr:rowOff>
    </xdr:to>
    <xdr:sp macro="" textlink="">
      <xdr:nvSpPr>
        <xdr:cNvPr id="2340" name="AutoShape 725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775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2159</xdr:row>
      <xdr:rowOff>0</xdr:rowOff>
    </xdr:from>
    <xdr:to>
      <xdr:col>5</xdr:col>
      <xdr:colOff>304800</xdr:colOff>
      <xdr:row>2160</xdr:row>
      <xdr:rowOff>76200</xdr:rowOff>
    </xdr:to>
    <xdr:sp macro="" textlink="">
      <xdr:nvSpPr>
        <xdr:cNvPr id="2341" name="AutoShape 726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775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2161</xdr:row>
      <xdr:rowOff>0</xdr:rowOff>
    </xdr:from>
    <xdr:to>
      <xdr:col>4</xdr:col>
      <xdr:colOff>304800</xdr:colOff>
      <xdr:row>2162</xdr:row>
      <xdr:rowOff>114300</xdr:rowOff>
    </xdr:to>
    <xdr:sp macro="" textlink="">
      <xdr:nvSpPr>
        <xdr:cNvPr id="2342" name="AutoShape 727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817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2161</xdr:row>
      <xdr:rowOff>0</xdr:rowOff>
    </xdr:from>
    <xdr:to>
      <xdr:col>5</xdr:col>
      <xdr:colOff>304800</xdr:colOff>
      <xdr:row>2162</xdr:row>
      <xdr:rowOff>114300</xdr:rowOff>
    </xdr:to>
    <xdr:sp macro="" textlink="">
      <xdr:nvSpPr>
        <xdr:cNvPr id="2343" name="AutoShape 728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817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2163</xdr:row>
      <xdr:rowOff>0</xdr:rowOff>
    </xdr:from>
    <xdr:to>
      <xdr:col>4</xdr:col>
      <xdr:colOff>304800</xdr:colOff>
      <xdr:row>2164</xdr:row>
      <xdr:rowOff>114300</xdr:rowOff>
    </xdr:to>
    <xdr:sp macro="" textlink="">
      <xdr:nvSpPr>
        <xdr:cNvPr id="2344" name="AutoShape 729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856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2163</xdr:row>
      <xdr:rowOff>0</xdr:rowOff>
    </xdr:from>
    <xdr:to>
      <xdr:col>5</xdr:col>
      <xdr:colOff>304800</xdr:colOff>
      <xdr:row>2164</xdr:row>
      <xdr:rowOff>114300</xdr:rowOff>
    </xdr:to>
    <xdr:sp macro="" textlink="">
      <xdr:nvSpPr>
        <xdr:cNvPr id="2345" name="AutoShape 730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856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2165</xdr:row>
      <xdr:rowOff>0</xdr:rowOff>
    </xdr:from>
    <xdr:to>
      <xdr:col>4</xdr:col>
      <xdr:colOff>304800</xdr:colOff>
      <xdr:row>2166</xdr:row>
      <xdr:rowOff>114300</xdr:rowOff>
    </xdr:to>
    <xdr:sp macro="" textlink="">
      <xdr:nvSpPr>
        <xdr:cNvPr id="2346" name="AutoShape 731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895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2165</xdr:row>
      <xdr:rowOff>0</xdr:rowOff>
    </xdr:from>
    <xdr:to>
      <xdr:col>5</xdr:col>
      <xdr:colOff>304800</xdr:colOff>
      <xdr:row>2166</xdr:row>
      <xdr:rowOff>114300</xdr:rowOff>
    </xdr:to>
    <xdr:sp macro="" textlink="">
      <xdr:nvSpPr>
        <xdr:cNvPr id="2347" name="AutoShape 732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895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2167</xdr:row>
      <xdr:rowOff>0</xdr:rowOff>
    </xdr:from>
    <xdr:to>
      <xdr:col>4</xdr:col>
      <xdr:colOff>304800</xdr:colOff>
      <xdr:row>2168</xdr:row>
      <xdr:rowOff>114300</xdr:rowOff>
    </xdr:to>
    <xdr:sp macro="" textlink="">
      <xdr:nvSpPr>
        <xdr:cNvPr id="2348" name="AutoShape 733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9350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2167</xdr:row>
      <xdr:rowOff>0</xdr:rowOff>
    </xdr:from>
    <xdr:to>
      <xdr:col>5</xdr:col>
      <xdr:colOff>304800</xdr:colOff>
      <xdr:row>2168</xdr:row>
      <xdr:rowOff>114300</xdr:rowOff>
    </xdr:to>
    <xdr:sp macro="" textlink="">
      <xdr:nvSpPr>
        <xdr:cNvPr id="2349" name="AutoShape 734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9350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2169</xdr:row>
      <xdr:rowOff>0</xdr:rowOff>
    </xdr:from>
    <xdr:to>
      <xdr:col>4</xdr:col>
      <xdr:colOff>304800</xdr:colOff>
      <xdr:row>2170</xdr:row>
      <xdr:rowOff>152400</xdr:rowOff>
    </xdr:to>
    <xdr:sp macro="" textlink="">
      <xdr:nvSpPr>
        <xdr:cNvPr id="2350" name="AutoShape 735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974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2169</xdr:row>
      <xdr:rowOff>0</xdr:rowOff>
    </xdr:from>
    <xdr:to>
      <xdr:col>5</xdr:col>
      <xdr:colOff>304800</xdr:colOff>
      <xdr:row>2170</xdr:row>
      <xdr:rowOff>152400</xdr:rowOff>
    </xdr:to>
    <xdr:sp macro="" textlink="">
      <xdr:nvSpPr>
        <xdr:cNvPr id="2351" name="AutoShape 736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974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2171</xdr:row>
      <xdr:rowOff>0</xdr:rowOff>
    </xdr:from>
    <xdr:to>
      <xdr:col>4</xdr:col>
      <xdr:colOff>304800</xdr:colOff>
      <xdr:row>2172</xdr:row>
      <xdr:rowOff>152400</xdr:rowOff>
    </xdr:to>
    <xdr:sp macro="" textlink="">
      <xdr:nvSpPr>
        <xdr:cNvPr id="2352" name="AutoShape 737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013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2171</xdr:row>
      <xdr:rowOff>0</xdr:rowOff>
    </xdr:from>
    <xdr:to>
      <xdr:col>5</xdr:col>
      <xdr:colOff>304800</xdr:colOff>
      <xdr:row>2172</xdr:row>
      <xdr:rowOff>152400</xdr:rowOff>
    </xdr:to>
    <xdr:sp macro="" textlink="">
      <xdr:nvSpPr>
        <xdr:cNvPr id="2353" name="AutoShape 738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013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2173</xdr:row>
      <xdr:rowOff>0</xdr:rowOff>
    </xdr:from>
    <xdr:to>
      <xdr:col>4</xdr:col>
      <xdr:colOff>304800</xdr:colOff>
      <xdr:row>2174</xdr:row>
      <xdr:rowOff>114300</xdr:rowOff>
    </xdr:to>
    <xdr:sp macro="" textlink="">
      <xdr:nvSpPr>
        <xdr:cNvPr id="2354" name="AutoShape 739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0521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2173</xdr:row>
      <xdr:rowOff>0</xdr:rowOff>
    </xdr:from>
    <xdr:to>
      <xdr:col>5</xdr:col>
      <xdr:colOff>304800</xdr:colOff>
      <xdr:row>2174</xdr:row>
      <xdr:rowOff>114300</xdr:rowOff>
    </xdr:to>
    <xdr:sp macro="" textlink="">
      <xdr:nvSpPr>
        <xdr:cNvPr id="2355" name="AutoShape 740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0521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2175</xdr:row>
      <xdr:rowOff>0</xdr:rowOff>
    </xdr:from>
    <xdr:to>
      <xdr:col>4</xdr:col>
      <xdr:colOff>304800</xdr:colOff>
      <xdr:row>2176</xdr:row>
      <xdr:rowOff>76200</xdr:rowOff>
    </xdr:to>
    <xdr:sp macro="" textlink="">
      <xdr:nvSpPr>
        <xdr:cNvPr id="2356" name="AutoShape 741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091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2175</xdr:row>
      <xdr:rowOff>0</xdr:rowOff>
    </xdr:from>
    <xdr:to>
      <xdr:col>5</xdr:col>
      <xdr:colOff>304800</xdr:colOff>
      <xdr:row>2176</xdr:row>
      <xdr:rowOff>76200</xdr:rowOff>
    </xdr:to>
    <xdr:sp macro="" textlink="">
      <xdr:nvSpPr>
        <xdr:cNvPr id="2357" name="AutoShape 742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091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2177</xdr:row>
      <xdr:rowOff>0</xdr:rowOff>
    </xdr:from>
    <xdr:to>
      <xdr:col>4</xdr:col>
      <xdr:colOff>304800</xdr:colOff>
      <xdr:row>2178</xdr:row>
      <xdr:rowOff>114300</xdr:rowOff>
    </xdr:to>
    <xdr:sp macro="" textlink="">
      <xdr:nvSpPr>
        <xdr:cNvPr id="2358" name="AutoShape 743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134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2177</xdr:row>
      <xdr:rowOff>0</xdr:rowOff>
    </xdr:from>
    <xdr:to>
      <xdr:col>5</xdr:col>
      <xdr:colOff>304800</xdr:colOff>
      <xdr:row>2178</xdr:row>
      <xdr:rowOff>114300</xdr:rowOff>
    </xdr:to>
    <xdr:sp macro="" textlink="">
      <xdr:nvSpPr>
        <xdr:cNvPr id="2359" name="AutoShape 744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134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2179</xdr:row>
      <xdr:rowOff>0</xdr:rowOff>
    </xdr:from>
    <xdr:to>
      <xdr:col>4</xdr:col>
      <xdr:colOff>304800</xdr:colOff>
      <xdr:row>2180</xdr:row>
      <xdr:rowOff>114300</xdr:rowOff>
    </xdr:to>
    <xdr:sp macro="" textlink="">
      <xdr:nvSpPr>
        <xdr:cNvPr id="2360" name="AutoShape 745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1731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2179</xdr:row>
      <xdr:rowOff>0</xdr:rowOff>
    </xdr:from>
    <xdr:to>
      <xdr:col>5</xdr:col>
      <xdr:colOff>304800</xdr:colOff>
      <xdr:row>2180</xdr:row>
      <xdr:rowOff>114300</xdr:rowOff>
    </xdr:to>
    <xdr:sp macro="" textlink="">
      <xdr:nvSpPr>
        <xdr:cNvPr id="2361" name="AutoShape 746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1731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2181</xdr:row>
      <xdr:rowOff>0</xdr:rowOff>
    </xdr:from>
    <xdr:to>
      <xdr:col>4</xdr:col>
      <xdr:colOff>304800</xdr:colOff>
      <xdr:row>2182</xdr:row>
      <xdr:rowOff>114300</xdr:rowOff>
    </xdr:to>
    <xdr:sp macro="" textlink="">
      <xdr:nvSpPr>
        <xdr:cNvPr id="2362" name="AutoShape 747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212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2181</xdr:row>
      <xdr:rowOff>0</xdr:rowOff>
    </xdr:from>
    <xdr:to>
      <xdr:col>5</xdr:col>
      <xdr:colOff>304800</xdr:colOff>
      <xdr:row>2182</xdr:row>
      <xdr:rowOff>114300</xdr:rowOff>
    </xdr:to>
    <xdr:sp macro="" textlink="">
      <xdr:nvSpPr>
        <xdr:cNvPr id="2363" name="AutoShape 748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212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2183</xdr:row>
      <xdr:rowOff>0</xdr:rowOff>
    </xdr:from>
    <xdr:to>
      <xdr:col>4</xdr:col>
      <xdr:colOff>304800</xdr:colOff>
      <xdr:row>2184</xdr:row>
      <xdr:rowOff>114300</xdr:rowOff>
    </xdr:to>
    <xdr:sp macro="" textlink="">
      <xdr:nvSpPr>
        <xdr:cNvPr id="2364" name="AutoShape 749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2512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2183</xdr:row>
      <xdr:rowOff>0</xdr:rowOff>
    </xdr:from>
    <xdr:to>
      <xdr:col>5</xdr:col>
      <xdr:colOff>304800</xdr:colOff>
      <xdr:row>2184</xdr:row>
      <xdr:rowOff>114300</xdr:rowOff>
    </xdr:to>
    <xdr:sp macro="" textlink="">
      <xdr:nvSpPr>
        <xdr:cNvPr id="2365" name="AutoShape 750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2512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2185</xdr:row>
      <xdr:rowOff>0</xdr:rowOff>
    </xdr:from>
    <xdr:to>
      <xdr:col>4</xdr:col>
      <xdr:colOff>304800</xdr:colOff>
      <xdr:row>2186</xdr:row>
      <xdr:rowOff>114300</xdr:rowOff>
    </xdr:to>
    <xdr:sp macro="" textlink="">
      <xdr:nvSpPr>
        <xdr:cNvPr id="2366" name="AutoShape 751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290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2185</xdr:row>
      <xdr:rowOff>0</xdr:rowOff>
    </xdr:from>
    <xdr:to>
      <xdr:col>5</xdr:col>
      <xdr:colOff>304800</xdr:colOff>
      <xdr:row>2186</xdr:row>
      <xdr:rowOff>114300</xdr:rowOff>
    </xdr:to>
    <xdr:sp macro="" textlink="">
      <xdr:nvSpPr>
        <xdr:cNvPr id="2367" name="AutoShape 752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290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2187</xdr:row>
      <xdr:rowOff>0</xdr:rowOff>
    </xdr:from>
    <xdr:to>
      <xdr:col>4</xdr:col>
      <xdr:colOff>304800</xdr:colOff>
      <xdr:row>2188</xdr:row>
      <xdr:rowOff>114300</xdr:rowOff>
    </xdr:to>
    <xdr:sp macro="" textlink="">
      <xdr:nvSpPr>
        <xdr:cNvPr id="2368" name="AutoShape 753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329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2187</xdr:row>
      <xdr:rowOff>0</xdr:rowOff>
    </xdr:from>
    <xdr:to>
      <xdr:col>5</xdr:col>
      <xdr:colOff>304800</xdr:colOff>
      <xdr:row>2188</xdr:row>
      <xdr:rowOff>114300</xdr:rowOff>
    </xdr:to>
    <xdr:sp macro="" textlink="">
      <xdr:nvSpPr>
        <xdr:cNvPr id="2369" name="AutoShape 754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329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2189</xdr:row>
      <xdr:rowOff>0</xdr:rowOff>
    </xdr:from>
    <xdr:to>
      <xdr:col>4</xdr:col>
      <xdr:colOff>304800</xdr:colOff>
      <xdr:row>2190</xdr:row>
      <xdr:rowOff>76200</xdr:rowOff>
    </xdr:to>
    <xdr:sp macro="" textlink="">
      <xdr:nvSpPr>
        <xdr:cNvPr id="2370" name="AutoShape 755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368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2189</xdr:row>
      <xdr:rowOff>0</xdr:rowOff>
    </xdr:from>
    <xdr:to>
      <xdr:col>5</xdr:col>
      <xdr:colOff>304800</xdr:colOff>
      <xdr:row>2190</xdr:row>
      <xdr:rowOff>76200</xdr:rowOff>
    </xdr:to>
    <xdr:sp macro="" textlink="">
      <xdr:nvSpPr>
        <xdr:cNvPr id="2371" name="AutoShape 756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368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2191</xdr:row>
      <xdr:rowOff>0</xdr:rowOff>
    </xdr:from>
    <xdr:to>
      <xdr:col>4</xdr:col>
      <xdr:colOff>304800</xdr:colOff>
      <xdr:row>2192</xdr:row>
      <xdr:rowOff>114300</xdr:rowOff>
    </xdr:to>
    <xdr:sp macro="" textlink="">
      <xdr:nvSpPr>
        <xdr:cNvPr id="2372" name="AutoShape 757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411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2191</xdr:row>
      <xdr:rowOff>0</xdr:rowOff>
    </xdr:from>
    <xdr:to>
      <xdr:col>5</xdr:col>
      <xdr:colOff>304800</xdr:colOff>
      <xdr:row>2192</xdr:row>
      <xdr:rowOff>114300</xdr:rowOff>
    </xdr:to>
    <xdr:sp macro="" textlink="">
      <xdr:nvSpPr>
        <xdr:cNvPr id="2373" name="AutoShape 758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411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2193</xdr:row>
      <xdr:rowOff>0</xdr:rowOff>
    </xdr:from>
    <xdr:to>
      <xdr:col>4</xdr:col>
      <xdr:colOff>304800</xdr:colOff>
      <xdr:row>2194</xdr:row>
      <xdr:rowOff>152400</xdr:rowOff>
    </xdr:to>
    <xdr:sp macro="" textlink="">
      <xdr:nvSpPr>
        <xdr:cNvPr id="2374" name="AutoShape 759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450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2193</xdr:row>
      <xdr:rowOff>0</xdr:rowOff>
    </xdr:from>
    <xdr:to>
      <xdr:col>5</xdr:col>
      <xdr:colOff>304800</xdr:colOff>
      <xdr:row>2194</xdr:row>
      <xdr:rowOff>152400</xdr:rowOff>
    </xdr:to>
    <xdr:sp macro="" textlink="">
      <xdr:nvSpPr>
        <xdr:cNvPr id="2375" name="AutoShape 760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450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2195</xdr:row>
      <xdr:rowOff>0</xdr:rowOff>
    </xdr:from>
    <xdr:to>
      <xdr:col>4</xdr:col>
      <xdr:colOff>304800</xdr:colOff>
      <xdr:row>2196</xdr:row>
      <xdr:rowOff>114300</xdr:rowOff>
    </xdr:to>
    <xdr:sp macro="" textlink="">
      <xdr:nvSpPr>
        <xdr:cNvPr id="2376" name="AutoShape 761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489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2195</xdr:row>
      <xdr:rowOff>0</xdr:rowOff>
    </xdr:from>
    <xdr:to>
      <xdr:col>5</xdr:col>
      <xdr:colOff>304800</xdr:colOff>
      <xdr:row>2196</xdr:row>
      <xdr:rowOff>114300</xdr:rowOff>
    </xdr:to>
    <xdr:sp macro="" textlink="">
      <xdr:nvSpPr>
        <xdr:cNvPr id="2377" name="AutoShape 762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489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2197</xdr:row>
      <xdr:rowOff>0</xdr:rowOff>
    </xdr:from>
    <xdr:to>
      <xdr:col>4</xdr:col>
      <xdr:colOff>304800</xdr:colOff>
      <xdr:row>2198</xdr:row>
      <xdr:rowOff>114300</xdr:rowOff>
    </xdr:to>
    <xdr:sp macro="" textlink="">
      <xdr:nvSpPr>
        <xdr:cNvPr id="2378" name="AutoShape 763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5284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2197</xdr:row>
      <xdr:rowOff>0</xdr:rowOff>
    </xdr:from>
    <xdr:to>
      <xdr:col>5</xdr:col>
      <xdr:colOff>304800</xdr:colOff>
      <xdr:row>2198</xdr:row>
      <xdr:rowOff>114300</xdr:rowOff>
    </xdr:to>
    <xdr:sp macro="" textlink="">
      <xdr:nvSpPr>
        <xdr:cNvPr id="2379" name="AutoShape 764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5284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2199</xdr:row>
      <xdr:rowOff>0</xdr:rowOff>
    </xdr:from>
    <xdr:to>
      <xdr:col>4</xdr:col>
      <xdr:colOff>304800</xdr:colOff>
      <xdr:row>2200</xdr:row>
      <xdr:rowOff>114300</xdr:rowOff>
    </xdr:to>
    <xdr:sp macro="" textlink="">
      <xdr:nvSpPr>
        <xdr:cNvPr id="2380" name="AutoShape 765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567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2199</xdr:row>
      <xdr:rowOff>0</xdr:rowOff>
    </xdr:from>
    <xdr:to>
      <xdr:col>5</xdr:col>
      <xdr:colOff>304800</xdr:colOff>
      <xdr:row>2200</xdr:row>
      <xdr:rowOff>114300</xdr:rowOff>
    </xdr:to>
    <xdr:sp macro="" textlink="">
      <xdr:nvSpPr>
        <xdr:cNvPr id="2381" name="AutoShape 766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567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2201</xdr:row>
      <xdr:rowOff>0</xdr:rowOff>
    </xdr:from>
    <xdr:to>
      <xdr:col>4</xdr:col>
      <xdr:colOff>304800</xdr:colOff>
      <xdr:row>2202</xdr:row>
      <xdr:rowOff>76200</xdr:rowOff>
    </xdr:to>
    <xdr:sp macro="" textlink="">
      <xdr:nvSpPr>
        <xdr:cNvPr id="2382" name="AutoShape 767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606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2201</xdr:row>
      <xdr:rowOff>0</xdr:rowOff>
    </xdr:from>
    <xdr:to>
      <xdr:col>5</xdr:col>
      <xdr:colOff>304800</xdr:colOff>
      <xdr:row>2202</xdr:row>
      <xdr:rowOff>76200</xdr:rowOff>
    </xdr:to>
    <xdr:sp macro="" textlink="">
      <xdr:nvSpPr>
        <xdr:cNvPr id="2383" name="AutoShape 768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606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2203</xdr:row>
      <xdr:rowOff>0</xdr:rowOff>
    </xdr:from>
    <xdr:to>
      <xdr:col>4</xdr:col>
      <xdr:colOff>304800</xdr:colOff>
      <xdr:row>2204</xdr:row>
      <xdr:rowOff>152400</xdr:rowOff>
    </xdr:to>
    <xdr:sp macro="" textlink="">
      <xdr:nvSpPr>
        <xdr:cNvPr id="2384" name="AutoShape 769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649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2203</xdr:row>
      <xdr:rowOff>0</xdr:rowOff>
    </xdr:from>
    <xdr:to>
      <xdr:col>5</xdr:col>
      <xdr:colOff>304800</xdr:colOff>
      <xdr:row>2204</xdr:row>
      <xdr:rowOff>152400</xdr:rowOff>
    </xdr:to>
    <xdr:sp macro="" textlink="">
      <xdr:nvSpPr>
        <xdr:cNvPr id="2385" name="AutoShape 770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649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2205</xdr:row>
      <xdr:rowOff>0</xdr:rowOff>
    </xdr:from>
    <xdr:to>
      <xdr:col>4</xdr:col>
      <xdr:colOff>304800</xdr:colOff>
      <xdr:row>2206</xdr:row>
      <xdr:rowOff>76200</xdr:rowOff>
    </xdr:to>
    <xdr:sp macro="" textlink="">
      <xdr:nvSpPr>
        <xdr:cNvPr id="2386" name="AutoShape 771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6884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2205</xdr:row>
      <xdr:rowOff>0</xdr:rowOff>
    </xdr:from>
    <xdr:to>
      <xdr:col>5</xdr:col>
      <xdr:colOff>304800</xdr:colOff>
      <xdr:row>2206</xdr:row>
      <xdr:rowOff>76200</xdr:rowOff>
    </xdr:to>
    <xdr:sp macro="" textlink="">
      <xdr:nvSpPr>
        <xdr:cNvPr id="2387" name="AutoShape 772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6884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2207</xdr:row>
      <xdr:rowOff>0</xdr:rowOff>
    </xdr:from>
    <xdr:to>
      <xdr:col>4</xdr:col>
      <xdr:colOff>304800</xdr:colOff>
      <xdr:row>2208</xdr:row>
      <xdr:rowOff>114300</xdr:rowOff>
    </xdr:to>
    <xdr:sp macro="" textlink="">
      <xdr:nvSpPr>
        <xdr:cNvPr id="2388" name="AutoShape 773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731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2207</xdr:row>
      <xdr:rowOff>0</xdr:rowOff>
    </xdr:from>
    <xdr:to>
      <xdr:col>5</xdr:col>
      <xdr:colOff>304800</xdr:colOff>
      <xdr:row>2208</xdr:row>
      <xdr:rowOff>114300</xdr:rowOff>
    </xdr:to>
    <xdr:sp macro="" textlink="">
      <xdr:nvSpPr>
        <xdr:cNvPr id="2389" name="AutoShape 774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731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2209</xdr:row>
      <xdr:rowOff>0</xdr:rowOff>
    </xdr:from>
    <xdr:to>
      <xdr:col>4</xdr:col>
      <xdr:colOff>304800</xdr:colOff>
      <xdr:row>2210</xdr:row>
      <xdr:rowOff>152400</xdr:rowOff>
    </xdr:to>
    <xdr:sp macro="" textlink="">
      <xdr:nvSpPr>
        <xdr:cNvPr id="2390" name="AutoShape 775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770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2209</xdr:row>
      <xdr:rowOff>0</xdr:rowOff>
    </xdr:from>
    <xdr:to>
      <xdr:col>5</xdr:col>
      <xdr:colOff>304800</xdr:colOff>
      <xdr:row>2210</xdr:row>
      <xdr:rowOff>152400</xdr:rowOff>
    </xdr:to>
    <xdr:sp macro="" textlink="">
      <xdr:nvSpPr>
        <xdr:cNvPr id="2391" name="AutoShape 776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770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2211</xdr:row>
      <xdr:rowOff>0</xdr:rowOff>
    </xdr:from>
    <xdr:to>
      <xdr:col>4</xdr:col>
      <xdr:colOff>304800</xdr:colOff>
      <xdr:row>2212</xdr:row>
      <xdr:rowOff>114300</xdr:rowOff>
    </xdr:to>
    <xdr:sp macro="" textlink="">
      <xdr:nvSpPr>
        <xdr:cNvPr id="2392" name="AutoShape 777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809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2211</xdr:row>
      <xdr:rowOff>0</xdr:rowOff>
    </xdr:from>
    <xdr:to>
      <xdr:col>5</xdr:col>
      <xdr:colOff>304800</xdr:colOff>
      <xdr:row>2212</xdr:row>
      <xdr:rowOff>114300</xdr:rowOff>
    </xdr:to>
    <xdr:sp macro="" textlink="">
      <xdr:nvSpPr>
        <xdr:cNvPr id="2393" name="AutoShape 778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809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2213</xdr:row>
      <xdr:rowOff>0</xdr:rowOff>
    </xdr:from>
    <xdr:to>
      <xdr:col>4</xdr:col>
      <xdr:colOff>304800</xdr:colOff>
      <xdr:row>2214</xdr:row>
      <xdr:rowOff>114300</xdr:rowOff>
    </xdr:to>
    <xdr:sp macro="" textlink="">
      <xdr:nvSpPr>
        <xdr:cNvPr id="2394" name="AutoShape 779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848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2213</xdr:row>
      <xdr:rowOff>0</xdr:rowOff>
    </xdr:from>
    <xdr:to>
      <xdr:col>5</xdr:col>
      <xdr:colOff>304800</xdr:colOff>
      <xdr:row>2214</xdr:row>
      <xdr:rowOff>114300</xdr:rowOff>
    </xdr:to>
    <xdr:sp macro="" textlink="">
      <xdr:nvSpPr>
        <xdr:cNvPr id="2395" name="AutoShape 780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848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2215</xdr:row>
      <xdr:rowOff>0</xdr:rowOff>
    </xdr:from>
    <xdr:to>
      <xdr:col>4</xdr:col>
      <xdr:colOff>304800</xdr:colOff>
      <xdr:row>2216</xdr:row>
      <xdr:rowOff>114300</xdr:rowOff>
    </xdr:to>
    <xdr:sp macro="" textlink="">
      <xdr:nvSpPr>
        <xdr:cNvPr id="2396" name="AutoShape 781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887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2215</xdr:row>
      <xdr:rowOff>0</xdr:rowOff>
    </xdr:from>
    <xdr:to>
      <xdr:col>5</xdr:col>
      <xdr:colOff>304800</xdr:colOff>
      <xdr:row>2216</xdr:row>
      <xdr:rowOff>114300</xdr:rowOff>
    </xdr:to>
    <xdr:sp macro="" textlink="">
      <xdr:nvSpPr>
        <xdr:cNvPr id="2397" name="AutoShape 782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887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2217</xdr:row>
      <xdr:rowOff>0</xdr:rowOff>
    </xdr:from>
    <xdr:to>
      <xdr:col>4</xdr:col>
      <xdr:colOff>304800</xdr:colOff>
      <xdr:row>2218</xdr:row>
      <xdr:rowOff>114300</xdr:rowOff>
    </xdr:to>
    <xdr:sp macro="" textlink="">
      <xdr:nvSpPr>
        <xdr:cNvPr id="2398" name="AutoShape 783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926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2217</xdr:row>
      <xdr:rowOff>0</xdr:rowOff>
    </xdr:from>
    <xdr:to>
      <xdr:col>5</xdr:col>
      <xdr:colOff>304800</xdr:colOff>
      <xdr:row>2218</xdr:row>
      <xdr:rowOff>114300</xdr:rowOff>
    </xdr:to>
    <xdr:sp macro="" textlink="">
      <xdr:nvSpPr>
        <xdr:cNvPr id="2399" name="AutoShape 784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926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2219</xdr:row>
      <xdr:rowOff>0</xdr:rowOff>
    </xdr:from>
    <xdr:to>
      <xdr:col>4</xdr:col>
      <xdr:colOff>304800</xdr:colOff>
      <xdr:row>2220</xdr:row>
      <xdr:rowOff>114300</xdr:rowOff>
    </xdr:to>
    <xdr:sp macro="" textlink="">
      <xdr:nvSpPr>
        <xdr:cNvPr id="2400" name="AutoShape 785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9656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2219</xdr:row>
      <xdr:rowOff>0</xdr:rowOff>
    </xdr:from>
    <xdr:to>
      <xdr:col>5</xdr:col>
      <xdr:colOff>304800</xdr:colOff>
      <xdr:row>2220</xdr:row>
      <xdr:rowOff>114300</xdr:rowOff>
    </xdr:to>
    <xdr:sp macro="" textlink="">
      <xdr:nvSpPr>
        <xdr:cNvPr id="2401" name="AutoShape 786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9656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2221</xdr:row>
      <xdr:rowOff>0</xdr:rowOff>
    </xdr:from>
    <xdr:to>
      <xdr:col>4</xdr:col>
      <xdr:colOff>304800</xdr:colOff>
      <xdr:row>2222</xdr:row>
      <xdr:rowOff>152400</xdr:rowOff>
    </xdr:to>
    <xdr:sp macro="" textlink="">
      <xdr:nvSpPr>
        <xdr:cNvPr id="2402" name="AutoShape 787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0046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2221</xdr:row>
      <xdr:rowOff>0</xdr:rowOff>
    </xdr:from>
    <xdr:to>
      <xdr:col>5</xdr:col>
      <xdr:colOff>304800</xdr:colOff>
      <xdr:row>2222</xdr:row>
      <xdr:rowOff>152400</xdr:rowOff>
    </xdr:to>
    <xdr:sp macro="" textlink="">
      <xdr:nvSpPr>
        <xdr:cNvPr id="2403" name="AutoShape 788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0046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2223</xdr:row>
      <xdr:rowOff>0</xdr:rowOff>
    </xdr:from>
    <xdr:to>
      <xdr:col>4</xdr:col>
      <xdr:colOff>304800</xdr:colOff>
      <xdr:row>2224</xdr:row>
      <xdr:rowOff>114300</xdr:rowOff>
    </xdr:to>
    <xdr:sp macro="" textlink="">
      <xdr:nvSpPr>
        <xdr:cNvPr id="2404" name="AutoShape 789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043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2223</xdr:row>
      <xdr:rowOff>0</xdr:rowOff>
    </xdr:from>
    <xdr:to>
      <xdr:col>5</xdr:col>
      <xdr:colOff>304800</xdr:colOff>
      <xdr:row>2224</xdr:row>
      <xdr:rowOff>114300</xdr:rowOff>
    </xdr:to>
    <xdr:sp macro="" textlink="">
      <xdr:nvSpPr>
        <xdr:cNvPr id="2405" name="AutoShape 790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043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2225</xdr:row>
      <xdr:rowOff>0</xdr:rowOff>
    </xdr:from>
    <xdr:to>
      <xdr:col>4</xdr:col>
      <xdr:colOff>304800</xdr:colOff>
      <xdr:row>2226</xdr:row>
      <xdr:rowOff>114300</xdr:rowOff>
    </xdr:to>
    <xdr:sp macro="" textlink="">
      <xdr:nvSpPr>
        <xdr:cNvPr id="2406" name="AutoShape 791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0827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2225</xdr:row>
      <xdr:rowOff>0</xdr:rowOff>
    </xdr:from>
    <xdr:to>
      <xdr:col>5</xdr:col>
      <xdr:colOff>304800</xdr:colOff>
      <xdr:row>2226</xdr:row>
      <xdr:rowOff>114300</xdr:rowOff>
    </xdr:to>
    <xdr:sp macro="" textlink="">
      <xdr:nvSpPr>
        <xdr:cNvPr id="2407" name="AutoShape 792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0827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2227</xdr:row>
      <xdr:rowOff>0</xdr:rowOff>
    </xdr:from>
    <xdr:to>
      <xdr:col>4</xdr:col>
      <xdr:colOff>304800</xdr:colOff>
      <xdr:row>2228</xdr:row>
      <xdr:rowOff>114300</xdr:rowOff>
    </xdr:to>
    <xdr:sp macro="" textlink="">
      <xdr:nvSpPr>
        <xdr:cNvPr id="2408" name="AutoShape 793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121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2227</xdr:row>
      <xdr:rowOff>0</xdr:rowOff>
    </xdr:from>
    <xdr:to>
      <xdr:col>5</xdr:col>
      <xdr:colOff>304800</xdr:colOff>
      <xdr:row>2228</xdr:row>
      <xdr:rowOff>114300</xdr:rowOff>
    </xdr:to>
    <xdr:sp macro="" textlink="">
      <xdr:nvSpPr>
        <xdr:cNvPr id="2409" name="AutoShape 794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121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2229</xdr:row>
      <xdr:rowOff>0</xdr:rowOff>
    </xdr:from>
    <xdr:to>
      <xdr:col>4</xdr:col>
      <xdr:colOff>304800</xdr:colOff>
      <xdr:row>2230</xdr:row>
      <xdr:rowOff>114300</xdr:rowOff>
    </xdr:to>
    <xdr:sp macro="" textlink="">
      <xdr:nvSpPr>
        <xdr:cNvPr id="2410" name="AutoShape 795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160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2229</xdr:row>
      <xdr:rowOff>0</xdr:rowOff>
    </xdr:from>
    <xdr:to>
      <xdr:col>5</xdr:col>
      <xdr:colOff>304800</xdr:colOff>
      <xdr:row>2230</xdr:row>
      <xdr:rowOff>114300</xdr:rowOff>
    </xdr:to>
    <xdr:sp macro="" textlink="">
      <xdr:nvSpPr>
        <xdr:cNvPr id="2411" name="AutoShape 796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160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2231</xdr:row>
      <xdr:rowOff>0</xdr:rowOff>
    </xdr:from>
    <xdr:to>
      <xdr:col>4</xdr:col>
      <xdr:colOff>304800</xdr:colOff>
      <xdr:row>2232</xdr:row>
      <xdr:rowOff>114300</xdr:rowOff>
    </xdr:to>
    <xdr:sp macro="" textlink="">
      <xdr:nvSpPr>
        <xdr:cNvPr id="2412" name="AutoShape 797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1999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2231</xdr:row>
      <xdr:rowOff>0</xdr:rowOff>
    </xdr:from>
    <xdr:to>
      <xdr:col>5</xdr:col>
      <xdr:colOff>304800</xdr:colOff>
      <xdr:row>2232</xdr:row>
      <xdr:rowOff>114300</xdr:rowOff>
    </xdr:to>
    <xdr:sp macro="" textlink="">
      <xdr:nvSpPr>
        <xdr:cNvPr id="2413" name="AutoShape 798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1999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2233</xdr:row>
      <xdr:rowOff>0</xdr:rowOff>
    </xdr:from>
    <xdr:to>
      <xdr:col>4</xdr:col>
      <xdr:colOff>304800</xdr:colOff>
      <xdr:row>2234</xdr:row>
      <xdr:rowOff>152400</xdr:rowOff>
    </xdr:to>
    <xdr:sp macro="" textlink="">
      <xdr:nvSpPr>
        <xdr:cNvPr id="2414" name="AutoShape 799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239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2233</xdr:row>
      <xdr:rowOff>0</xdr:rowOff>
    </xdr:from>
    <xdr:to>
      <xdr:col>5</xdr:col>
      <xdr:colOff>304800</xdr:colOff>
      <xdr:row>2234</xdr:row>
      <xdr:rowOff>152400</xdr:rowOff>
    </xdr:to>
    <xdr:sp macro="" textlink="">
      <xdr:nvSpPr>
        <xdr:cNvPr id="2415" name="AutoShape 800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239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2235</xdr:row>
      <xdr:rowOff>0</xdr:rowOff>
    </xdr:from>
    <xdr:to>
      <xdr:col>4</xdr:col>
      <xdr:colOff>304800</xdr:colOff>
      <xdr:row>2236</xdr:row>
      <xdr:rowOff>114300</xdr:rowOff>
    </xdr:to>
    <xdr:sp macro="" textlink="">
      <xdr:nvSpPr>
        <xdr:cNvPr id="2416" name="AutoShape 801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278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2235</xdr:row>
      <xdr:rowOff>0</xdr:rowOff>
    </xdr:from>
    <xdr:to>
      <xdr:col>5</xdr:col>
      <xdr:colOff>304800</xdr:colOff>
      <xdr:row>2236</xdr:row>
      <xdr:rowOff>114300</xdr:rowOff>
    </xdr:to>
    <xdr:sp macro="" textlink="">
      <xdr:nvSpPr>
        <xdr:cNvPr id="2417" name="AutoShape 802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278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2237</xdr:row>
      <xdr:rowOff>0</xdr:rowOff>
    </xdr:from>
    <xdr:to>
      <xdr:col>4</xdr:col>
      <xdr:colOff>304800</xdr:colOff>
      <xdr:row>2238</xdr:row>
      <xdr:rowOff>114300</xdr:rowOff>
    </xdr:to>
    <xdr:sp macro="" textlink="">
      <xdr:nvSpPr>
        <xdr:cNvPr id="2418" name="AutoShape 803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317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2237</xdr:row>
      <xdr:rowOff>0</xdr:rowOff>
    </xdr:from>
    <xdr:to>
      <xdr:col>5</xdr:col>
      <xdr:colOff>304800</xdr:colOff>
      <xdr:row>2238</xdr:row>
      <xdr:rowOff>114300</xdr:rowOff>
    </xdr:to>
    <xdr:sp macro="" textlink="">
      <xdr:nvSpPr>
        <xdr:cNvPr id="2419" name="AutoShape 804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317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2239</xdr:row>
      <xdr:rowOff>0</xdr:rowOff>
    </xdr:from>
    <xdr:to>
      <xdr:col>4</xdr:col>
      <xdr:colOff>304800</xdr:colOff>
      <xdr:row>2240</xdr:row>
      <xdr:rowOff>114300</xdr:rowOff>
    </xdr:to>
    <xdr:sp macro="" textlink="">
      <xdr:nvSpPr>
        <xdr:cNvPr id="2420" name="AutoShape 805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356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2239</xdr:row>
      <xdr:rowOff>0</xdr:rowOff>
    </xdr:from>
    <xdr:to>
      <xdr:col>5</xdr:col>
      <xdr:colOff>304800</xdr:colOff>
      <xdr:row>2240</xdr:row>
      <xdr:rowOff>114300</xdr:rowOff>
    </xdr:to>
    <xdr:sp macro="" textlink="">
      <xdr:nvSpPr>
        <xdr:cNvPr id="2421" name="AutoShape 806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356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2241</xdr:row>
      <xdr:rowOff>0</xdr:rowOff>
    </xdr:from>
    <xdr:to>
      <xdr:col>4</xdr:col>
      <xdr:colOff>304800</xdr:colOff>
      <xdr:row>2242</xdr:row>
      <xdr:rowOff>114300</xdr:rowOff>
    </xdr:to>
    <xdr:sp macro="" textlink="">
      <xdr:nvSpPr>
        <xdr:cNvPr id="2422" name="AutoShape 807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395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2241</xdr:row>
      <xdr:rowOff>0</xdr:rowOff>
    </xdr:from>
    <xdr:to>
      <xdr:col>5</xdr:col>
      <xdr:colOff>304800</xdr:colOff>
      <xdr:row>2242</xdr:row>
      <xdr:rowOff>114300</xdr:rowOff>
    </xdr:to>
    <xdr:sp macro="" textlink="">
      <xdr:nvSpPr>
        <xdr:cNvPr id="2423" name="AutoShape 808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395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2243</xdr:row>
      <xdr:rowOff>0</xdr:rowOff>
    </xdr:from>
    <xdr:to>
      <xdr:col>4</xdr:col>
      <xdr:colOff>304800</xdr:colOff>
      <xdr:row>2244</xdr:row>
      <xdr:rowOff>114300</xdr:rowOff>
    </xdr:to>
    <xdr:sp macro="" textlink="">
      <xdr:nvSpPr>
        <xdr:cNvPr id="2424" name="AutoShape 809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4342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2243</xdr:row>
      <xdr:rowOff>0</xdr:rowOff>
    </xdr:from>
    <xdr:to>
      <xdr:col>5</xdr:col>
      <xdr:colOff>304800</xdr:colOff>
      <xdr:row>2244</xdr:row>
      <xdr:rowOff>114300</xdr:rowOff>
    </xdr:to>
    <xdr:sp macro="" textlink="">
      <xdr:nvSpPr>
        <xdr:cNvPr id="2425" name="AutoShape 810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4342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2245</xdr:row>
      <xdr:rowOff>0</xdr:rowOff>
    </xdr:from>
    <xdr:to>
      <xdr:col>4</xdr:col>
      <xdr:colOff>304800</xdr:colOff>
      <xdr:row>2246</xdr:row>
      <xdr:rowOff>114300</xdr:rowOff>
    </xdr:to>
    <xdr:sp macro="" textlink="">
      <xdr:nvSpPr>
        <xdr:cNvPr id="2426" name="AutoShape 811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473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2245</xdr:row>
      <xdr:rowOff>0</xdr:rowOff>
    </xdr:from>
    <xdr:to>
      <xdr:col>5</xdr:col>
      <xdr:colOff>304800</xdr:colOff>
      <xdr:row>2246</xdr:row>
      <xdr:rowOff>114300</xdr:rowOff>
    </xdr:to>
    <xdr:sp macro="" textlink="">
      <xdr:nvSpPr>
        <xdr:cNvPr id="2427" name="AutoShape 812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473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2247</xdr:row>
      <xdr:rowOff>0</xdr:rowOff>
    </xdr:from>
    <xdr:to>
      <xdr:col>4</xdr:col>
      <xdr:colOff>304800</xdr:colOff>
      <xdr:row>2248</xdr:row>
      <xdr:rowOff>114300</xdr:rowOff>
    </xdr:to>
    <xdr:sp macro="" textlink="">
      <xdr:nvSpPr>
        <xdr:cNvPr id="2428" name="AutoShape 813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51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2247</xdr:row>
      <xdr:rowOff>0</xdr:rowOff>
    </xdr:from>
    <xdr:to>
      <xdr:col>5</xdr:col>
      <xdr:colOff>304800</xdr:colOff>
      <xdr:row>2248</xdr:row>
      <xdr:rowOff>114300</xdr:rowOff>
    </xdr:to>
    <xdr:sp macro="" textlink="">
      <xdr:nvSpPr>
        <xdr:cNvPr id="2429" name="AutoShape 814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51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2249</xdr:row>
      <xdr:rowOff>0</xdr:rowOff>
    </xdr:from>
    <xdr:to>
      <xdr:col>4</xdr:col>
      <xdr:colOff>304800</xdr:colOff>
      <xdr:row>2250</xdr:row>
      <xdr:rowOff>114300</xdr:rowOff>
    </xdr:to>
    <xdr:sp macro="" textlink="">
      <xdr:nvSpPr>
        <xdr:cNvPr id="2430" name="AutoShape 815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551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2249</xdr:row>
      <xdr:rowOff>0</xdr:rowOff>
    </xdr:from>
    <xdr:to>
      <xdr:col>5</xdr:col>
      <xdr:colOff>304800</xdr:colOff>
      <xdr:row>2250</xdr:row>
      <xdr:rowOff>114300</xdr:rowOff>
    </xdr:to>
    <xdr:sp macro="" textlink="">
      <xdr:nvSpPr>
        <xdr:cNvPr id="2431" name="AutoShape 816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551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2251</xdr:row>
      <xdr:rowOff>0</xdr:rowOff>
    </xdr:from>
    <xdr:to>
      <xdr:col>4</xdr:col>
      <xdr:colOff>304800</xdr:colOff>
      <xdr:row>2252</xdr:row>
      <xdr:rowOff>152400</xdr:rowOff>
    </xdr:to>
    <xdr:sp macro="" textlink="">
      <xdr:nvSpPr>
        <xdr:cNvPr id="2432" name="AutoShape 817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590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2251</xdr:row>
      <xdr:rowOff>0</xdr:rowOff>
    </xdr:from>
    <xdr:to>
      <xdr:col>5</xdr:col>
      <xdr:colOff>304800</xdr:colOff>
      <xdr:row>2252</xdr:row>
      <xdr:rowOff>152400</xdr:rowOff>
    </xdr:to>
    <xdr:sp macro="" textlink="">
      <xdr:nvSpPr>
        <xdr:cNvPr id="2433" name="AutoShape 818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590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2253</xdr:row>
      <xdr:rowOff>0</xdr:rowOff>
    </xdr:from>
    <xdr:to>
      <xdr:col>4</xdr:col>
      <xdr:colOff>304800</xdr:colOff>
      <xdr:row>2254</xdr:row>
      <xdr:rowOff>114300</xdr:rowOff>
    </xdr:to>
    <xdr:sp macro="" textlink="">
      <xdr:nvSpPr>
        <xdr:cNvPr id="2434" name="AutoShape 819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6295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2253</xdr:row>
      <xdr:rowOff>0</xdr:rowOff>
    </xdr:from>
    <xdr:to>
      <xdr:col>5</xdr:col>
      <xdr:colOff>304800</xdr:colOff>
      <xdr:row>2254</xdr:row>
      <xdr:rowOff>114300</xdr:rowOff>
    </xdr:to>
    <xdr:sp macro="" textlink="">
      <xdr:nvSpPr>
        <xdr:cNvPr id="2435" name="AutoShape 820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6295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2255</xdr:row>
      <xdr:rowOff>0</xdr:rowOff>
    </xdr:from>
    <xdr:to>
      <xdr:col>4</xdr:col>
      <xdr:colOff>304800</xdr:colOff>
      <xdr:row>2256</xdr:row>
      <xdr:rowOff>114300</xdr:rowOff>
    </xdr:to>
    <xdr:sp macro="" textlink="">
      <xdr:nvSpPr>
        <xdr:cNvPr id="2436" name="AutoShape 821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6685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2255</xdr:row>
      <xdr:rowOff>0</xdr:rowOff>
    </xdr:from>
    <xdr:to>
      <xdr:col>5</xdr:col>
      <xdr:colOff>304800</xdr:colOff>
      <xdr:row>2256</xdr:row>
      <xdr:rowOff>114300</xdr:rowOff>
    </xdr:to>
    <xdr:sp macro="" textlink="">
      <xdr:nvSpPr>
        <xdr:cNvPr id="2437" name="AutoShape 822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6685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2257</xdr:row>
      <xdr:rowOff>0</xdr:rowOff>
    </xdr:from>
    <xdr:to>
      <xdr:col>4</xdr:col>
      <xdr:colOff>304800</xdr:colOff>
      <xdr:row>2258</xdr:row>
      <xdr:rowOff>114300</xdr:rowOff>
    </xdr:to>
    <xdr:sp macro="" textlink="">
      <xdr:nvSpPr>
        <xdr:cNvPr id="2438" name="AutoShape 823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707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2257</xdr:row>
      <xdr:rowOff>0</xdr:rowOff>
    </xdr:from>
    <xdr:to>
      <xdr:col>5</xdr:col>
      <xdr:colOff>304800</xdr:colOff>
      <xdr:row>2258</xdr:row>
      <xdr:rowOff>114300</xdr:rowOff>
    </xdr:to>
    <xdr:sp macro="" textlink="">
      <xdr:nvSpPr>
        <xdr:cNvPr id="2439" name="AutoShape 824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707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2259</xdr:row>
      <xdr:rowOff>0</xdr:rowOff>
    </xdr:from>
    <xdr:to>
      <xdr:col>4</xdr:col>
      <xdr:colOff>304800</xdr:colOff>
      <xdr:row>2260</xdr:row>
      <xdr:rowOff>76200</xdr:rowOff>
    </xdr:to>
    <xdr:sp macro="" textlink="">
      <xdr:nvSpPr>
        <xdr:cNvPr id="2440" name="AutoShape 825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7466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2259</xdr:row>
      <xdr:rowOff>0</xdr:rowOff>
    </xdr:from>
    <xdr:to>
      <xdr:col>5</xdr:col>
      <xdr:colOff>304800</xdr:colOff>
      <xdr:row>2260</xdr:row>
      <xdr:rowOff>76200</xdr:rowOff>
    </xdr:to>
    <xdr:sp macro="" textlink="">
      <xdr:nvSpPr>
        <xdr:cNvPr id="2441" name="AutoShape 826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7466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2261</xdr:row>
      <xdr:rowOff>0</xdr:rowOff>
    </xdr:from>
    <xdr:to>
      <xdr:col>4</xdr:col>
      <xdr:colOff>304800</xdr:colOff>
      <xdr:row>2262</xdr:row>
      <xdr:rowOff>114300</xdr:rowOff>
    </xdr:to>
    <xdr:sp macro="" textlink="">
      <xdr:nvSpPr>
        <xdr:cNvPr id="2442" name="AutoShape 827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789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2261</xdr:row>
      <xdr:rowOff>0</xdr:rowOff>
    </xdr:from>
    <xdr:to>
      <xdr:col>5</xdr:col>
      <xdr:colOff>304800</xdr:colOff>
      <xdr:row>2262</xdr:row>
      <xdr:rowOff>114300</xdr:rowOff>
    </xdr:to>
    <xdr:sp macro="" textlink="">
      <xdr:nvSpPr>
        <xdr:cNvPr id="2443" name="AutoShape 828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789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2263</xdr:row>
      <xdr:rowOff>0</xdr:rowOff>
    </xdr:from>
    <xdr:to>
      <xdr:col>4</xdr:col>
      <xdr:colOff>304800</xdr:colOff>
      <xdr:row>2264</xdr:row>
      <xdr:rowOff>114300</xdr:rowOff>
    </xdr:to>
    <xdr:sp macro="" textlink="">
      <xdr:nvSpPr>
        <xdr:cNvPr id="2444" name="AutoShape 829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8285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2263</xdr:row>
      <xdr:rowOff>0</xdr:rowOff>
    </xdr:from>
    <xdr:to>
      <xdr:col>5</xdr:col>
      <xdr:colOff>304800</xdr:colOff>
      <xdr:row>2264</xdr:row>
      <xdr:rowOff>114300</xdr:rowOff>
    </xdr:to>
    <xdr:sp macro="" textlink="">
      <xdr:nvSpPr>
        <xdr:cNvPr id="2445" name="AutoShape 830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8285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2265</xdr:row>
      <xdr:rowOff>0</xdr:rowOff>
    </xdr:from>
    <xdr:to>
      <xdr:col>4</xdr:col>
      <xdr:colOff>304800</xdr:colOff>
      <xdr:row>2266</xdr:row>
      <xdr:rowOff>114300</xdr:rowOff>
    </xdr:to>
    <xdr:sp macro="" textlink="">
      <xdr:nvSpPr>
        <xdr:cNvPr id="2446" name="AutoShape 831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867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2265</xdr:row>
      <xdr:rowOff>0</xdr:rowOff>
    </xdr:from>
    <xdr:to>
      <xdr:col>5</xdr:col>
      <xdr:colOff>304800</xdr:colOff>
      <xdr:row>2266</xdr:row>
      <xdr:rowOff>114300</xdr:rowOff>
    </xdr:to>
    <xdr:sp macro="" textlink="">
      <xdr:nvSpPr>
        <xdr:cNvPr id="2447" name="AutoShape 832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867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2267</xdr:row>
      <xdr:rowOff>0</xdr:rowOff>
    </xdr:from>
    <xdr:to>
      <xdr:col>4</xdr:col>
      <xdr:colOff>304800</xdr:colOff>
      <xdr:row>2268</xdr:row>
      <xdr:rowOff>152400</xdr:rowOff>
    </xdr:to>
    <xdr:sp macro="" textlink="">
      <xdr:nvSpPr>
        <xdr:cNvPr id="2448" name="AutoShape 833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906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2267</xdr:row>
      <xdr:rowOff>0</xdr:rowOff>
    </xdr:from>
    <xdr:to>
      <xdr:col>5</xdr:col>
      <xdr:colOff>304800</xdr:colOff>
      <xdr:row>2268</xdr:row>
      <xdr:rowOff>152400</xdr:rowOff>
    </xdr:to>
    <xdr:sp macro="" textlink="">
      <xdr:nvSpPr>
        <xdr:cNvPr id="2449" name="AutoShape 834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906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2269</xdr:row>
      <xdr:rowOff>0</xdr:rowOff>
    </xdr:from>
    <xdr:to>
      <xdr:col>4</xdr:col>
      <xdr:colOff>304800</xdr:colOff>
      <xdr:row>2270</xdr:row>
      <xdr:rowOff>152400</xdr:rowOff>
    </xdr:to>
    <xdr:sp macro="" textlink="">
      <xdr:nvSpPr>
        <xdr:cNvPr id="2450" name="AutoShape 835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9457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2269</xdr:row>
      <xdr:rowOff>0</xdr:rowOff>
    </xdr:from>
    <xdr:to>
      <xdr:col>5</xdr:col>
      <xdr:colOff>304800</xdr:colOff>
      <xdr:row>2270</xdr:row>
      <xdr:rowOff>152400</xdr:rowOff>
    </xdr:to>
    <xdr:sp macro="" textlink="">
      <xdr:nvSpPr>
        <xdr:cNvPr id="2451" name="AutoShape 836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9457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2271</xdr:row>
      <xdr:rowOff>0</xdr:rowOff>
    </xdr:from>
    <xdr:to>
      <xdr:col>4</xdr:col>
      <xdr:colOff>304800</xdr:colOff>
      <xdr:row>2272</xdr:row>
      <xdr:rowOff>114300</xdr:rowOff>
    </xdr:to>
    <xdr:sp macro="" textlink="">
      <xdr:nvSpPr>
        <xdr:cNvPr id="2452" name="AutoShape 837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984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2271</xdr:row>
      <xdr:rowOff>0</xdr:rowOff>
    </xdr:from>
    <xdr:to>
      <xdr:col>5</xdr:col>
      <xdr:colOff>304800</xdr:colOff>
      <xdr:row>2272</xdr:row>
      <xdr:rowOff>114300</xdr:rowOff>
    </xdr:to>
    <xdr:sp macro="" textlink="">
      <xdr:nvSpPr>
        <xdr:cNvPr id="2453" name="AutoShape 838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984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2273</xdr:row>
      <xdr:rowOff>0</xdr:rowOff>
    </xdr:from>
    <xdr:to>
      <xdr:col>4</xdr:col>
      <xdr:colOff>304800</xdr:colOff>
      <xdr:row>2274</xdr:row>
      <xdr:rowOff>114300</xdr:rowOff>
    </xdr:to>
    <xdr:sp macro="" textlink="">
      <xdr:nvSpPr>
        <xdr:cNvPr id="2454" name="AutoShape 839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023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2273</xdr:row>
      <xdr:rowOff>0</xdr:rowOff>
    </xdr:from>
    <xdr:to>
      <xdr:col>5</xdr:col>
      <xdr:colOff>304800</xdr:colOff>
      <xdr:row>2274</xdr:row>
      <xdr:rowOff>114300</xdr:rowOff>
    </xdr:to>
    <xdr:sp macro="" textlink="">
      <xdr:nvSpPr>
        <xdr:cNvPr id="2455" name="AutoShape 840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023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2275</xdr:row>
      <xdr:rowOff>0</xdr:rowOff>
    </xdr:from>
    <xdr:to>
      <xdr:col>4</xdr:col>
      <xdr:colOff>304800</xdr:colOff>
      <xdr:row>2276</xdr:row>
      <xdr:rowOff>114300</xdr:rowOff>
    </xdr:to>
    <xdr:sp macro="" textlink="">
      <xdr:nvSpPr>
        <xdr:cNvPr id="2456" name="AutoShape 841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062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2275</xdr:row>
      <xdr:rowOff>0</xdr:rowOff>
    </xdr:from>
    <xdr:to>
      <xdr:col>5</xdr:col>
      <xdr:colOff>304800</xdr:colOff>
      <xdr:row>2276</xdr:row>
      <xdr:rowOff>114300</xdr:rowOff>
    </xdr:to>
    <xdr:sp macro="" textlink="">
      <xdr:nvSpPr>
        <xdr:cNvPr id="2457" name="AutoShape 842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062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2277</xdr:row>
      <xdr:rowOff>0</xdr:rowOff>
    </xdr:from>
    <xdr:to>
      <xdr:col>4</xdr:col>
      <xdr:colOff>304800</xdr:colOff>
      <xdr:row>2278</xdr:row>
      <xdr:rowOff>152400</xdr:rowOff>
    </xdr:to>
    <xdr:sp macro="" textlink="">
      <xdr:nvSpPr>
        <xdr:cNvPr id="2458" name="AutoShape 843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101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2277</xdr:row>
      <xdr:rowOff>0</xdr:rowOff>
    </xdr:from>
    <xdr:to>
      <xdr:col>5</xdr:col>
      <xdr:colOff>304800</xdr:colOff>
      <xdr:row>2278</xdr:row>
      <xdr:rowOff>152400</xdr:rowOff>
    </xdr:to>
    <xdr:sp macro="" textlink="">
      <xdr:nvSpPr>
        <xdr:cNvPr id="2459" name="AutoShape 844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101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2279</xdr:row>
      <xdr:rowOff>0</xdr:rowOff>
    </xdr:from>
    <xdr:to>
      <xdr:col>4</xdr:col>
      <xdr:colOff>304800</xdr:colOff>
      <xdr:row>2280</xdr:row>
      <xdr:rowOff>76200</xdr:rowOff>
    </xdr:to>
    <xdr:sp macro="" textlink="">
      <xdr:nvSpPr>
        <xdr:cNvPr id="2460" name="AutoShape 845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1410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2279</xdr:row>
      <xdr:rowOff>0</xdr:rowOff>
    </xdr:from>
    <xdr:to>
      <xdr:col>5</xdr:col>
      <xdr:colOff>304800</xdr:colOff>
      <xdr:row>2280</xdr:row>
      <xdr:rowOff>76200</xdr:rowOff>
    </xdr:to>
    <xdr:sp macro="" textlink="">
      <xdr:nvSpPr>
        <xdr:cNvPr id="2461" name="AutoShape 846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1410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2281</xdr:row>
      <xdr:rowOff>0</xdr:rowOff>
    </xdr:from>
    <xdr:to>
      <xdr:col>4</xdr:col>
      <xdr:colOff>304800</xdr:colOff>
      <xdr:row>2282</xdr:row>
      <xdr:rowOff>114300</xdr:rowOff>
    </xdr:to>
    <xdr:sp macro="" textlink="">
      <xdr:nvSpPr>
        <xdr:cNvPr id="2462" name="AutoShape 847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183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2281</xdr:row>
      <xdr:rowOff>0</xdr:rowOff>
    </xdr:from>
    <xdr:to>
      <xdr:col>5</xdr:col>
      <xdr:colOff>304800</xdr:colOff>
      <xdr:row>2282</xdr:row>
      <xdr:rowOff>114300</xdr:rowOff>
    </xdr:to>
    <xdr:sp macro="" textlink="">
      <xdr:nvSpPr>
        <xdr:cNvPr id="2463" name="AutoShape 848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183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2283</xdr:row>
      <xdr:rowOff>0</xdr:rowOff>
    </xdr:from>
    <xdr:to>
      <xdr:col>4</xdr:col>
      <xdr:colOff>304800</xdr:colOff>
      <xdr:row>2284</xdr:row>
      <xdr:rowOff>114300</xdr:rowOff>
    </xdr:to>
    <xdr:sp macro="" textlink="">
      <xdr:nvSpPr>
        <xdr:cNvPr id="2464" name="AutoShape 849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2229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2283</xdr:row>
      <xdr:rowOff>0</xdr:rowOff>
    </xdr:from>
    <xdr:to>
      <xdr:col>5</xdr:col>
      <xdr:colOff>304800</xdr:colOff>
      <xdr:row>2284</xdr:row>
      <xdr:rowOff>114300</xdr:rowOff>
    </xdr:to>
    <xdr:sp macro="" textlink="">
      <xdr:nvSpPr>
        <xdr:cNvPr id="2465" name="AutoShape 850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2229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2285</xdr:row>
      <xdr:rowOff>0</xdr:rowOff>
    </xdr:from>
    <xdr:to>
      <xdr:col>4</xdr:col>
      <xdr:colOff>304800</xdr:colOff>
      <xdr:row>2286</xdr:row>
      <xdr:rowOff>114300</xdr:rowOff>
    </xdr:to>
    <xdr:sp macro="" textlink="">
      <xdr:nvSpPr>
        <xdr:cNvPr id="2466" name="AutoShape 851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261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2285</xdr:row>
      <xdr:rowOff>0</xdr:rowOff>
    </xdr:from>
    <xdr:to>
      <xdr:col>5</xdr:col>
      <xdr:colOff>304800</xdr:colOff>
      <xdr:row>2286</xdr:row>
      <xdr:rowOff>114300</xdr:rowOff>
    </xdr:to>
    <xdr:sp macro="" textlink="">
      <xdr:nvSpPr>
        <xdr:cNvPr id="2467" name="AutoShape 852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261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2287</xdr:row>
      <xdr:rowOff>0</xdr:rowOff>
    </xdr:from>
    <xdr:to>
      <xdr:col>4</xdr:col>
      <xdr:colOff>304800</xdr:colOff>
      <xdr:row>2288</xdr:row>
      <xdr:rowOff>152400</xdr:rowOff>
    </xdr:to>
    <xdr:sp macro="" textlink="">
      <xdr:nvSpPr>
        <xdr:cNvPr id="2468" name="AutoShape 853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3048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2287</xdr:row>
      <xdr:rowOff>0</xdr:rowOff>
    </xdr:from>
    <xdr:to>
      <xdr:col>5</xdr:col>
      <xdr:colOff>304800</xdr:colOff>
      <xdr:row>2288</xdr:row>
      <xdr:rowOff>152400</xdr:rowOff>
    </xdr:to>
    <xdr:sp macro="" textlink="">
      <xdr:nvSpPr>
        <xdr:cNvPr id="2469" name="AutoShape 854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3048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2289</xdr:row>
      <xdr:rowOff>0</xdr:rowOff>
    </xdr:from>
    <xdr:to>
      <xdr:col>4</xdr:col>
      <xdr:colOff>304800</xdr:colOff>
      <xdr:row>2290</xdr:row>
      <xdr:rowOff>114300</xdr:rowOff>
    </xdr:to>
    <xdr:sp macro="" textlink="">
      <xdr:nvSpPr>
        <xdr:cNvPr id="2470" name="AutoShape 855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343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2289</xdr:row>
      <xdr:rowOff>0</xdr:rowOff>
    </xdr:from>
    <xdr:to>
      <xdr:col>5</xdr:col>
      <xdr:colOff>304800</xdr:colOff>
      <xdr:row>2290</xdr:row>
      <xdr:rowOff>114300</xdr:rowOff>
    </xdr:to>
    <xdr:sp macro="" textlink="">
      <xdr:nvSpPr>
        <xdr:cNvPr id="2471" name="AutoShape 856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343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2291</xdr:row>
      <xdr:rowOff>0</xdr:rowOff>
    </xdr:from>
    <xdr:to>
      <xdr:col>4</xdr:col>
      <xdr:colOff>304800</xdr:colOff>
      <xdr:row>2292</xdr:row>
      <xdr:rowOff>114300</xdr:rowOff>
    </xdr:to>
    <xdr:sp macro="" textlink="">
      <xdr:nvSpPr>
        <xdr:cNvPr id="2472" name="AutoShape 857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382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2291</xdr:row>
      <xdr:rowOff>0</xdr:rowOff>
    </xdr:from>
    <xdr:to>
      <xdr:col>5</xdr:col>
      <xdr:colOff>304800</xdr:colOff>
      <xdr:row>2292</xdr:row>
      <xdr:rowOff>114300</xdr:rowOff>
    </xdr:to>
    <xdr:sp macro="" textlink="">
      <xdr:nvSpPr>
        <xdr:cNvPr id="2473" name="AutoShape 858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382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2293</xdr:row>
      <xdr:rowOff>0</xdr:rowOff>
    </xdr:from>
    <xdr:to>
      <xdr:col>4</xdr:col>
      <xdr:colOff>304800</xdr:colOff>
      <xdr:row>2294</xdr:row>
      <xdr:rowOff>114300</xdr:rowOff>
    </xdr:to>
    <xdr:sp macro="" textlink="">
      <xdr:nvSpPr>
        <xdr:cNvPr id="2474" name="AutoShape 859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422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2293</xdr:row>
      <xdr:rowOff>0</xdr:rowOff>
    </xdr:from>
    <xdr:to>
      <xdr:col>5</xdr:col>
      <xdr:colOff>304800</xdr:colOff>
      <xdr:row>2294</xdr:row>
      <xdr:rowOff>114300</xdr:rowOff>
    </xdr:to>
    <xdr:sp macro="" textlink="">
      <xdr:nvSpPr>
        <xdr:cNvPr id="2475" name="AutoShape 860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422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2295</xdr:row>
      <xdr:rowOff>0</xdr:rowOff>
    </xdr:from>
    <xdr:to>
      <xdr:col>4</xdr:col>
      <xdr:colOff>304800</xdr:colOff>
      <xdr:row>2296</xdr:row>
      <xdr:rowOff>114300</xdr:rowOff>
    </xdr:to>
    <xdr:sp macro="" textlink="">
      <xdr:nvSpPr>
        <xdr:cNvPr id="2476" name="AutoShape 861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4648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2295</xdr:row>
      <xdr:rowOff>0</xdr:rowOff>
    </xdr:from>
    <xdr:to>
      <xdr:col>5</xdr:col>
      <xdr:colOff>304800</xdr:colOff>
      <xdr:row>2296</xdr:row>
      <xdr:rowOff>114300</xdr:rowOff>
    </xdr:to>
    <xdr:sp macro="" textlink="">
      <xdr:nvSpPr>
        <xdr:cNvPr id="2477" name="AutoShape 862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4648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2297</xdr:row>
      <xdr:rowOff>0</xdr:rowOff>
    </xdr:from>
    <xdr:to>
      <xdr:col>4</xdr:col>
      <xdr:colOff>304800</xdr:colOff>
      <xdr:row>2298</xdr:row>
      <xdr:rowOff>114300</xdr:rowOff>
    </xdr:to>
    <xdr:sp macro="" textlink="">
      <xdr:nvSpPr>
        <xdr:cNvPr id="2478" name="AutoShape 863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503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2297</xdr:row>
      <xdr:rowOff>0</xdr:rowOff>
    </xdr:from>
    <xdr:to>
      <xdr:col>5</xdr:col>
      <xdr:colOff>304800</xdr:colOff>
      <xdr:row>2298</xdr:row>
      <xdr:rowOff>114300</xdr:rowOff>
    </xdr:to>
    <xdr:sp macro="" textlink="">
      <xdr:nvSpPr>
        <xdr:cNvPr id="2479" name="AutoShape 864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503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522" Type="http://schemas.openxmlformats.org/officeDocument/2006/relationships/hyperlink" Target="javascript:void(0);" TargetMode="External"/><Relationship Id="rId1827" Type="http://schemas.openxmlformats.org/officeDocument/2006/relationships/hyperlink" Target="javascript:void(0);" TargetMode="External"/><Relationship Id="rId21" Type="http://schemas.openxmlformats.org/officeDocument/2006/relationships/hyperlink" Target="javascript:void(0);" TargetMode="External"/><Relationship Id="rId2089" Type="http://schemas.openxmlformats.org/officeDocument/2006/relationships/hyperlink" Target="javascript:void(0);" TargetMode="External"/><Relationship Id="rId170" Type="http://schemas.openxmlformats.org/officeDocument/2006/relationships/hyperlink" Target="javascript:void(0);" TargetMode="External"/><Relationship Id="rId2296" Type="http://schemas.openxmlformats.org/officeDocument/2006/relationships/hyperlink" Target="javascript:void(0);" TargetMode="External"/><Relationship Id="rId268" Type="http://schemas.openxmlformats.org/officeDocument/2006/relationships/hyperlink" Target="javascript:void(0);" TargetMode="External"/><Relationship Id="rId475" Type="http://schemas.openxmlformats.org/officeDocument/2006/relationships/hyperlink" Target="javascript:void(0);" TargetMode="External"/><Relationship Id="rId682" Type="http://schemas.openxmlformats.org/officeDocument/2006/relationships/hyperlink" Target="javascript:void(0);" TargetMode="External"/><Relationship Id="rId2156" Type="http://schemas.openxmlformats.org/officeDocument/2006/relationships/hyperlink" Target="javascript:void(0);" TargetMode="External"/><Relationship Id="rId128" Type="http://schemas.openxmlformats.org/officeDocument/2006/relationships/hyperlink" Target="javascript:void(0);" TargetMode="External"/><Relationship Id="rId335" Type="http://schemas.openxmlformats.org/officeDocument/2006/relationships/hyperlink" Target="javascript:void(0);" TargetMode="External"/><Relationship Id="rId542" Type="http://schemas.openxmlformats.org/officeDocument/2006/relationships/hyperlink" Target="javascript:void(0);" TargetMode="External"/><Relationship Id="rId987" Type="http://schemas.openxmlformats.org/officeDocument/2006/relationships/hyperlink" Target="javascript:void(0);" TargetMode="External"/><Relationship Id="rId1172" Type="http://schemas.openxmlformats.org/officeDocument/2006/relationships/hyperlink" Target="javascript:void(0);" TargetMode="External"/><Relationship Id="rId2016" Type="http://schemas.openxmlformats.org/officeDocument/2006/relationships/hyperlink" Target="javascript:void(0);" TargetMode="External"/><Relationship Id="rId2223" Type="http://schemas.openxmlformats.org/officeDocument/2006/relationships/hyperlink" Target="javascript:void(0);" TargetMode="External"/><Relationship Id="rId402" Type="http://schemas.openxmlformats.org/officeDocument/2006/relationships/hyperlink" Target="javascript:void(0);" TargetMode="External"/><Relationship Id="rId847" Type="http://schemas.openxmlformats.org/officeDocument/2006/relationships/hyperlink" Target="javascript:void(0);" TargetMode="External"/><Relationship Id="rId1032" Type="http://schemas.openxmlformats.org/officeDocument/2006/relationships/hyperlink" Target="javascript:void(0);" TargetMode="External"/><Relationship Id="rId1477" Type="http://schemas.openxmlformats.org/officeDocument/2006/relationships/hyperlink" Target="javascript:void(0);" TargetMode="External"/><Relationship Id="rId1684" Type="http://schemas.openxmlformats.org/officeDocument/2006/relationships/hyperlink" Target="javascript:void(0);" TargetMode="External"/><Relationship Id="rId1891" Type="http://schemas.openxmlformats.org/officeDocument/2006/relationships/hyperlink" Target="javascript:void(0);" TargetMode="External"/><Relationship Id="rId707" Type="http://schemas.openxmlformats.org/officeDocument/2006/relationships/hyperlink" Target="javascript:void(0);" TargetMode="External"/><Relationship Id="rId914" Type="http://schemas.openxmlformats.org/officeDocument/2006/relationships/hyperlink" Target="javascript:void(0);" TargetMode="External"/><Relationship Id="rId1337" Type="http://schemas.openxmlformats.org/officeDocument/2006/relationships/hyperlink" Target="javascript:void(0);" TargetMode="External"/><Relationship Id="rId1544" Type="http://schemas.openxmlformats.org/officeDocument/2006/relationships/hyperlink" Target="javascript:void(0);" TargetMode="External"/><Relationship Id="rId1751" Type="http://schemas.openxmlformats.org/officeDocument/2006/relationships/hyperlink" Target="javascript:void(0);" TargetMode="External"/><Relationship Id="rId1989" Type="http://schemas.openxmlformats.org/officeDocument/2006/relationships/hyperlink" Target="javascript:void(0);" TargetMode="External"/><Relationship Id="rId43" Type="http://schemas.openxmlformats.org/officeDocument/2006/relationships/hyperlink" Target="javascript:void(0);" TargetMode="External"/><Relationship Id="rId1404" Type="http://schemas.openxmlformats.org/officeDocument/2006/relationships/hyperlink" Target="javascript:void(0);" TargetMode="External"/><Relationship Id="rId1611" Type="http://schemas.openxmlformats.org/officeDocument/2006/relationships/hyperlink" Target="javascript:void(0);" TargetMode="External"/><Relationship Id="rId1849" Type="http://schemas.openxmlformats.org/officeDocument/2006/relationships/hyperlink" Target="javascript:void(0);" TargetMode="External"/><Relationship Id="rId192" Type="http://schemas.openxmlformats.org/officeDocument/2006/relationships/hyperlink" Target="javascript:void(0);" TargetMode="External"/><Relationship Id="rId1709" Type="http://schemas.openxmlformats.org/officeDocument/2006/relationships/hyperlink" Target="javascript:void(0);" TargetMode="External"/><Relationship Id="rId1916" Type="http://schemas.openxmlformats.org/officeDocument/2006/relationships/hyperlink" Target="javascript:void(0);" TargetMode="External"/><Relationship Id="rId497" Type="http://schemas.openxmlformats.org/officeDocument/2006/relationships/hyperlink" Target="javascript:void(0);" TargetMode="External"/><Relationship Id="rId2080" Type="http://schemas.openxmlformats.org/officeDocument/2006/relationships/hyperlink" Target="javascript:void(0);" TargetMode="External"/><Relationship Id="rId2178" Type="http://schemas.openxmlformats.org/officeDocument/2006/relationships/hyperlink" Target="javascript:void(0);" TargetMode="External"/><Relationship Id="rId357" Type="http://schemas.openxmlformats.org/officeDocument/2006/relationships/hyperlink" Target="javascript:void(0);" TargetMode="External"/><Relationship Id="rId1194" Type="http://schemas.openxmlformats.org/officeDocument/2006/relationships/hyperlink" Target="javascript:void(0);" TargetMode="External"/><Relationship Id="rId2038" Type="http://schemas.openxmlformats.org/officeDocument/2006/relationships/hyperlink" Target="javascript:void(0);" TargetMode="External"/><Relationship Id="rId217" Type="http://schemas.openxmlformats.org/officeDocument/2006/relationships/hyperlink" Target="javascript:void(0);" TargetMode="External"/><Relationship Id="rId564" Type="http://schemas.openxmlformats.org/officeDocument/2006/relationships/hyperlink" Target="javascript:void(0);" TargetMode="External"/><Relationship Id="rId771" Type="http://schemas.openxmlformats.org/officeDocument/2006/relationships/hyperlink" Target="javascript:void(0);" TargetMode="External"/><Relationship Id="rId869" Type="http://schemas.openxmlformats.org/officeDocument/2006/relationships/hyperlink" Target="javascript:void(0);" TargetMode="External"/><Relationship Id="rId1499" Type="http://schemas.openxmlformats.org/officeDocument/2006/relationships/hyperlink" Target="javascript:void(0);" TargetMode="External"/><Relationship Id="rId2245" Type="http://schemas.openxmlformats.org/officeDocument/2006/relationships/hyperlink" Target="javascript:void(0);" TargetMode="External"/><Relationship Id="rId424" Type="http://schemas.openxmlformats.org/officeDocument/2006/relationships/hyperlink" Target="javascript:void(0);" TargetMode="External"/><Relationship Id="rId631" Type="http://schemas.openxmlformats.org/officeDocument/2006/relationships/hyperlink" Target="javascript:void(0);" TargetMode="External"/><Relationship Id="rId729" Type="http://schemas.openxmlformats.org/officeDocument/2006/relationships/hyperlink" Target="javascript:void(0);" TargetMode="External"/><Relationship Id="rId1054" Type="http://schemas.openxmlformats.org/officeDocument/2006/relationships/hyperlink" Target="javascript:void(0);" TargetMode="External"/><Relationship Id="rId1261" Type="http://schemas.openxmlformats.org/officeDocument/2006/relationships/hyperlink" Target="javascript:void(0);" TargetMode="External"/><Relationship Id="rId1359" Type="http://schemas.openxmlformats.org/officeDocument/2006/relationships/hyperlink" Target="javascript:void(0);" TargetMode="External"/><Relationship Id="rId2105" Type="http://schemas.openxmlformats.org/officeDocument/2006/relationships/hyperlink" Target="javascript:void(0);" TargetMode="External"/><Relationship Id="rId936" Type="http://schemas.openxmlformats.org/officeDocument/2006/relationships/hyperlink" Target="javascript:void(0);" TargetMode="External"/><Relationship Id="rId1121" Type="http://schemas.openxmlformats.org/officeDocument/2006/relationships/hyperlink" Target="javascript:void(0);" TargetMode="External"/><Relationship Id="rId1219" Type="http://schemas.openxmlformats.org/officeDocument/2006/relationships/hyperlink" Target="javascript:void(0);" TargetMode="External"/><Relationship Id="rId1566" Type="http://schemas.openxmlformats.org/officeDocument/2006/relationships/hyperlink" Target="javascript:void(0);" TargetMode="External"/><Relationship Id="rId1773" Type="http://schemas.openxmlformats.org/officeDocument/2006/relationships/hyperlink" Target="javascript:void(0);" TargetMode="External"/><Relationship Id="rId1980" Type="http://schemas.openxmlformats.org/officeDocument/2006/relationships/hyperlink" Target="javascript:void(0);" TargetMode="External"/><Relationship Id="rId65" Type="http://schemas.openxmlformats.org/officeDocument/2006/relationships/hyperlink" Target="javascript:void(0);" TargetMode="External"/><Relationship Id="rId1426" Type="http://schemas.openxmlformats.org/officeDocument/2006/relationships/hyperlink" Target="javascript:void(0);" TargetMode="External"/><Relationship Id="rId1633" Type="http://schemas.openxmlformats.org/officeDocument/2006/relationships/hyperlink" Target="javascript:void(0);" TargetMode="External"/><Relationship Id="rId1840" Type="http://schemas.openxmlformats.org/officeDocument/2006/relationships/hyperlink" Target="javascript:void(0);" TargetMode="External"/><Relationship Id="rId1700" Type="http://schemas.openxmlformats.org/officeDocument/2006/relationships/hyperlink" Target="javascript:void(0);" TargetMode="External"/><Relationship Id="rId1938" Type="http://schemas.openxmlformats.org/officeDocument/2006/relationships/hyperlink" Target="javascript:void(0);" TargetMode="External"/><Relationship Id="rId281" Type="http://schemas.openxmlformats.org/officeDocument/2006/relationships/hyperlink" Target="javascript:void(0);" TargetMode="External"/><Relationship Id="rId141" Type="http://schemas.openxmlformats.org/officeDocument/2006/relationships/hyperlink" Target="javascript:void(0);" TargetMode="External"/><Relationship Id="rId379" Type="http://schemas.openxmlformats.org/officeDocument/2006/relationships/hyperlink" Target="javascript:void(0);" TargetMode="External"/><Relationship Id="rId586" Type="http://schemas.openxmlformats.org/officeDocument/2006/relationships/hyperlink" Target="javascript:void(0);" TargetMode="External"/><Relationship Id="rId793" Type="http://schemas.openxmlformats.org/officeDocument/2006/relationships/hyperlink" Target="javascript:void(0);" TargetMode="External"/><Relationship Id="rId2267" Type="http://schemas.openxmlformats.org/officeDocument/2006/relationships/hyperlink" Target="javascript:void(0);" TargetMode="External"/><Relationship Id="rId7" Type="http://schemas.openxmlformats.org/officeDocument/2006/relationships/hyperlink" Target="javascript:void(0);" TargetMode="External"/><Relationship Id="rId239" Type="http://schemas.openxmlformats.org/officeDocument/2006/relationships/hyperlink" Target="javascript:void(0);" TargetMode="External"/><Relationship Id="rId446" Type="http://schemas.openxmlformats.org/officeDocument/2006/relationships/hyperlink" Target="javascript:void(0);" TargetMode="External"/><Relationship Id="rId653" Type="http://schemas.openxmlformats.org/officeDocument/2006/relationships/hyperlink" Target="javascript:void(0);" TargetMode="External"/><Relationship Id="rId1076" Type="http://schemas.openxmlformats.org/officeDocument/2006/relationships/hyperlink" Target="javascript:void(0);" TargetMode="External"/><Relationship Id="rId1283" Type="http://schemas.openxmlformats.org/officeDocument/2006/relationships/hyperlink" Target="javascript:void(0);" TargetMode="External"/><Relationship Id="rId1490" Type="http://schemas.openxmlformats.org/officeDocument/2006/relationships/hyperlink" Target="javascript:void(0);" TargetMode="External"/><Relationship Id="rId2127" Type="http://schemas.openxmlformats.org/officeDocument/2006/relationships/hyperlink" Target="javascript:void(0);" TargetMode="External"/><Relationship Id="rId306" Type="http://schemas.openxmlformats.org/officeDocument/2006/relationships/hyperlink" Target="javascript:void(0);" TargetMode="External"/><Relationship Id="rId860" Type="http://schemas.openxmlformats.org/officeDocument/2006/relationships/hyperlink" Target="javascript:void(0);" TargetMode="External"/><Relationship Id="rId958" Type="http://schemas.openxmlformats.org/officeDocument/2006/relationships/hyperlink" Target="javascript:void(0);" TargetMode="External"/><Relationship Id="rId1143" Type="http://schemas.openxmlformats.org/officeDocument/2006/relationships/hyperlink" Target="javascript:void(0);" TargetMode="External"/><Relationship Id="rId1588" Type="http://schemas.openxmlformats.org/officeDocument/2006/relationships/hyperlink" Target="javascript:void(0);" TargetMode="External"/><Relationship Id="rId1795" Type="http://schemas.openxmlformats.org/officeDocument/2006/relationships/hyperlink" Target="javascript:void(0);" TargetMode="External"/><Relationship Id="rId87" Type="http://schemas.openxmlformats.org/officeDocument/2006/relationships/hyperlink" Target="javascript:void(0);" TargetMode="External"/><Relationship Id="rId513" Type="http://schemas.openxmlformats.org/officeDocument/2006/relationships/hyperlink" Target="javascript:void(0);" TargetMode="External"/><Relationship Id="rId720" Type="http://schemas.openxmlformats.org/officeDocument/2006/relationships/hyperlink" Target="javascript:void(0);" TargetMode="External"/><Relationship Id="rId818" Type="http://schemas.openxmlformats.org/officeDocument/2006/relationships/hyperlink" Target="javascript:void(0);" TargetMode="External"/><Relationship Id="rId1350" Type="http://schemas.openxmlformats.org/officeDocument/2006/relationships/hyperlink" Target="javascript:void(0);" TargetMode="External"/><Relationship Id="rId1448" Type="http://schemas.openxmlformats.org/officeDocument/2006/relationships/hyperlink" Target="javascript:void(0);" TargetMode="External"/><Relationship Id="rId1655" Type="http://schemas.openxmlformats.org/officeDocument/2006/relationships/hyperlink" Target="javascript:void(0);" TargetMode="External"/><Relationship Id="rId1003" Type="http://schemas.openxmlformats.org/officeDocument/2006/relationships/hyperlink" Target="javascript:void(0);" TargetMode="External"/><Relationship Id="rId1210" Type="http://schemas.openxmlformats.org/officeDocument/2006/relationships/hyperlink" Target="javascript:void(0);" TargetMode="External"/><Relationship Id="rId1308" Type="http://schemas.openxmlformats.org/officeDocument/2006/relationships/hyperlink" Target="javascript:void(0);" TargetMode="External"/><Relationship Id="rId1862" Type="http://schemas.openxmlformats.org/officeDocument/2006/relationships/hyperlink" Target="javascript:void(0);" TargetMode="External"/><Relationship Id="rId1515" Type="http://schemas.openxmlformats.org/officeDocument/2006/relationships/hyperlink" Target="javascript:void(0);" TargetMode="External"/><Relationship Id="rId1722" Type="http://schemas.openxmlformats.org/officeDocument/2006/relationships/hyperlink" Target="javascript:void(0);" TargetMode="External"/><Relationship Id="rId14" Type="http://schemas.openxmlformats.org/officeDocument/2006/relationships/hyperlink" Target="javascript:void(0);" TargetMode="External"/><Relationship Id="rId2191" Type="http://schemas.openxmlformats.org/officeDocument/2006/relationships/hyperlink" Target="javascript:void(0);" TargetMode="External"/><Relationship Id="rId163" Type="http://schemas.openxmlformats.org/officeDocument/2006/relationships/hyperlink" Target="javascript:void(0);" TargetMode="External"/><Relationship Id="rId370" Type="http://schemas.openxmlformats.org/officeDocument/2006/relationships/hyperlink" Target="javascript:void(0);" TargetMode="External"/><Relationship Id="rId2051" Type="http://schemas.openxmlformats.org/officeDocument/2006/relationships/hyperlink" Target="javascript:void(0);" TargetMode="External"/><Relationship Id="rId2289" Type="http://schemas.openxmlformats.org/officeDocument/2006/relationships/hyperlink" Target="javascript:void(0);" TargetMode="External"/><Relationship Id="rId230" Type="http://schemas.openxmlformats.org/officeDocument/2006/relationships/hyperlink" Target="javascript:void(0);" TargetMode="External"/><Relationship Id="rId468" Type="http://schemas.openxmlformats.org/officeDocument/2006/relationships/hyperlink" Target="javascript:void(0);" TargetMode="External"/><Relationship Id="rId675" Type="http://schemas.openxmlformats.org/officeDocument/2006/relationships/hyperlink" Target="javascript:void(0);" TargetMode="External"/><Relationship Id="rId882" Type="http://schemas.openxmlformats.org/officeDocument/2006/relationships/hyperlink" Target="javascript:void(0);" TargetMode="External"/><Relationship Id="rId1098" Type="http://schemas.openxmlformats.org/officeDocument/2006/relationships/hyperlink" Target="javascript:void(0);" TargetMode="External"/><Relationship Id="rId2149" Type="http://schemas.openxmlformats.org/officeDocument/2006/relationships/hyperlink" Target="javascript:void(0);" TargetMode="External"/><Relationship Id="rId328" Type="http://schemas.openxmlformats.org/officeDocument/2006/relationships/hyperlink" Target="javascript:void(0);" TargetMode="External"/><Relationship Id="rId535" Type="http://schemas.openxmlformats.org/officeDocument/2006/relationships/hyperlink" Target="javascript:void(0);" TargetMode="External"/><Relationship Id="rId742" Type="http://schemas.openxmlformats.org/officeDocument/2006/relationships/hyperlink" Target="javascript:void(0);" TargetMode="External"/><Relationship Id="rId1165" Type="http://schemas.openxmlformats.org/officeDocument/2006/relationships/hyperlink" Target="javascript:void(0);" TargetMode="External"/><Relationship Id="rId1372" Type="http://schemas.openxmlformats.org/officeDocument/2006/relationships/hyperlink" Target="javascript:void(0);" TargetMode="External"/><Relationship Id="rId2009" Type="http://schemas.openxmlformats.org/officeDocument/2006/relationships/hyperlink" Target="javascript:void(0);" TargetMode="External"/><Relationship Id="rId2216" Type="http://schemas.openxmlformats.org/officeDocument/2006/relationships/hyperlink" Target="javascript:void(0);" TargetMode="External"/><Relationship Id="rId602" Type="http://schemas.openxmlformats.org/officeDocument/2006/relationships/hyperlink" Target="javascript:void(0);" TargetMode="External"/><Relationship Id="rId1025" Type="http://schemas.openxmlformats.org/officeDocument/2006/relationships/hyperlink" Target="javascript:void(0);" TargetMode="External"/><Relationship Id="rId1232" Type="http://schemas.openxmlformats.org/officeDocument/2006/relationships/hyperlink" Target="javascript:void(0);" TargetMode="External"/><Relationship Id="rId1677" Type="http://schemas.openxmlformats.org/officeDocument/2006/relationships/hyperlink" Target="javascript:void(0);" TargetMode="External"/><Relationship Id="rId1884" Type="http://schemas.openxmlformats.org/officeDocument/2006/relationships/hyperlink" Target="javascript:void(0);" TargetMode="External"/><Relationship Id="rId907" Type="http://schemas.openxmlformats.org/officeDocument/2006/relationships/hyperlink" Target="javascript:void(0);" TargetMode="External"/><Relationship Id="rId1537" Type="http://schemas.openxmlformats.org/officeDocument/2006/relationships/hyperlink" Target="javascript:void(0);" TargetMode="External"/><Relationship Id="rId1744" Type="http://schemas.openxmlformats.org/officeDocument/2006/relationships/hyperlink" Target="javascript:void(0);" TargetMode="External"/><Relationship Id="rId1951" Type="http://schemas.openxmlformats.org/officeDocument/2006/relationships/hyperlink" Target="javascript:void(0);" TargetMode="External"/><Relationship Id="rId36" Type="http://schemas.openxmlformats.org/officeDocument/2006/relationships/hyperlink" Target="javascript:void(0);" TargetMode="External"/><Relationship Id="rId1604" Type="http://schemas.openxmlformats.org/officeDocument/2006/relationships/hyperlink" Target="javascript:void(0);" TargetMode="External"/><Relationship Id="rId185" Type="http://schemas.openxmlformats.org/officeDocument/2006/relationships/hyperlink" Target="javascript:void(0);" TargetMode="External"/><Relationship Id="rId1811" Type="http://schemas.openxmlformats.org/officeDocument/2006/relationships/hyperlink" Target="javascript:void(0);" TargetMode="External"/><Relationship Id="rId1909" Type="http://schemas.openxmlformats.org/officeDocument/2006/relationships/hyperlink" Target="javascript:void(0);" TargetMode="External"/><Relationship Id="rId392" Type="http://schemas.openxmlformats.org/officeDocument/2006/relationships/hyperlink" Target="javascript:void(0);" TargetMode="External"/><Relationship Id="rId697" Type="http://schemas.openxmlformats.org/officeDocument/2006/relationships/hyperlink" Target="javascript:void(0);" TargetMode="External"/><Relationship Id="rId2073" Type="http://schemas.openxmlformats.org/officeDocument/2006/relationships/hyperlink" Target="javascript:void(0);" TargetMode="External"/><Relationship Id="rId2280" Type="http://schemas.openxmlformats.org/officeDocument/2006/relationships/hyperlink" Target="javascript:void(0);" TargetMode="External"/><Relationship Id="rId252" Type="http://schemas.openxmlformats.org/officeDocument/2006/relationships/hyperlink" Target="javascript:void(0);" TargetMode="External"/><Relationship Id="rId1187" Type="http://schemas.openxmlformats.org/officeDocument/2006/relationships/hyperlink" Target="javascript:void(0);" TargetMode="External"/><Relationship Id="rId2140" Type="http://schemas.openxmlformats.org/officeDocument/2006/relationships/hyperlink" Target="javascript:void(0);" TargetMode="External"/><Relationship Id="rId112" Type="http://schemas.openxmlformats.org/officeDocument/2006/relationships/hyperlink" Target="javascript:void(0);" TargetMode="External"/><Relationship Id="rId557" Type="http://schemas.openxmlformats.org/officeDocument/2006/relationships/hyperlink" Target="javascript:void(0);" TargetMode="External"/><Relationship Id="rId764" Type="http://schemas.openxmlformats.org/officeDocument/2006/relationships/hyperlink" Target="javascript:void(0);" TargetMode="External"/><Relationship Id="rId971" Type="http://schemas.openxmlformats.org/officeDocument/2006/relationships/hyperlink" Target="javascript:void(0);" TargetMode="External"/><Relationship Id="rId1394" Type="http://schemas.openxmlformats.org/officeDocument/2006/relationships/hyperlink" Target="javascript:void(0);" TargetMode="External"/><Relationship Id="rId1699" Type="http://schemas.openxmlformats.org/officeDocument/2006/relationships/hyperlink" Target="javascript:void(0);" TargetMode="External"/><Relationship Id="rId2000" Type="http://schemas.openxmlformats.org/officeDocument/2006/relationships/hyperlink" Target="javascript:void(0);" TargetMode="External"/><Relationship Id="rId2238" Type="http://schemas.openxmlformats.org/officeDocument/2006/relationships/hyperlink" Target="javascript:void(0);" TargetMode="External"/><Relationship Id="rId417" Type="http://schemas.openxmlformats.org/officeDocument/2006/relationships/hyperlink" Target="javascript:void(0);" TargetMode="External"/><Relationship Id="rId624" Type="http://schemas.openxmlformats.org/officeDocument/2006/relationships/hyperlink" Target="javascript:void(0);" TargetMode="External"/><Relationship Id="rId831" Type="http://schemas.openxmlformats.org/officeDocument/2006/relationships/hyperlink" Target="javascript:void(0);" TargetMode="External"/><Relationship Id="rId1047" Type="http://schemas.openxmlformats.org/officeDocument/2006/relationships/hyperlink" Target="javascript:void(0);" TargetMode="External"/><Relationship Id="rId1254" Type="http://schemas.openxmlformats.org/officeDocument/2006/relationships/hyperlink" Target="javascript:void(0);" TargetMode="External"/><Relationship Id="rId1461" Type="http://schemas.openxmlformats.org/officeDocument/2006/relationships/hyperlink" Target="javascript:void(0);" TargetMode="External"/><Relationship Id="rId929" Type="http://schemas.openxmlformats.org/officeDocument/2006/relationships/hyperlink" Target="javascript:void(0);" TargetMode="External"/><Relationship Id="rId1114" Type="http://schemas.openxmlformats.org/officeDocument/2006/relationships/hyperlink" Target="javascript:void(0);" TargetMode="External"/><Relationship Id="rId1321" Type="http://schemas.openxmlformats.org/officeDocument/2006/relationships/hyperlink" Target="javascript:void(0);" TargetMode="External"/><Relationship Id="rId1559" Type="http://schemas.openxmlformats.org/officeDocument/2006/relationships/hyperlink" Target="javascript:void(0);" TargetMode="External"/><Relationship Id="rId1766" Type="http://schemas.openxmlformats.org/officeDocument/2006/relationships/hyperlink" Target="javascript:void(0);" TargetMode="External"/><Relationship Id="rId1973" Type="http://schemas.openxmlformats.org/officeDocument/2006/relationships/hyperlink" Target="javascript:void(0);" TargetMode="External"/><Relationship Id="rId58" Type="http://schemas.openxmlformats.org/officeDocument/2006/relationships/hyperlink" Target="javascript:void(0);" TargetMode="External"/><Relationship Id="rId1419" Type="http://schemas.openxmlformats.org/officeDocument/2006/relationships/hyperlink" Target="javascript:void(0);" TargetMode="External"/><Relationship Id="rId1626" Type="http://schemas.openxmlformats.org/officeDocument/2006/relationships/hyperlink" Target="javascript:void(0);" TargetMode="External"/><Relationship Id="rId1833" Type="http://schemas.openxmlformats.org/officeDocument/2006/relationships/hyperlink" Target="javascript:void(0);" TargetMode="External"/><Relationship Id="rId1900" Type="http://schemas.openxmlformats.org/officeDocument/2006/relationships/hyperlink" Target="javascript:void(0);" TargetMode="External"/><Relationship Id="rId2095" Type="http://schemas.openxmlformats.org/officeDocument/2006/relationships/hyperlink" Target="javascript:void(0);" TargetMode="External"/><Relationship Id="rId274" Type="http://schemas.openxmlformats.org/officeDocument/2006/relationships/hyperlink" Target="javascript:void(0);" TargetMode="External"/><Relationship Id="rId481" Type="http://schemas.openxmlformats.org/officeDocument/2006/relationships/hyperlink" Target="javascript:void(0);" TargetMode="External"/><Relationship Id="rId2162" Type="http://schemas.openxmlformats.org/officeDocument/2006/relationships/hyperlink" Target="javascript:void(0);" TargetMode="External"/><Relationship Id="rId134" Type="http://schemas.openxmlformats.org/officeDocument/2006/relationships/hyperlink" Target="javascript:void(0);" TargetMode="External"/><Relationship Id="rId579" Type="http://schemas.openxmlformats.org/officeDocument/2006/relationships/hyperlink" Target="javascript:void(0);" TargetMode="External"/><Relationship Id="rId786" Type="http://schemas.openxmlformats.org/officeDocument/2006/relationships/hyperlink" Target="javascript:void(0);" TargetMode="External"/><Relationship Id="rId993" Type="http://schemas.openxmlformats.org/officeDocument/2006/relationships/hyperlink" Target="javascript:void(0);" TargetMode="External"/><Relationship Id="rId341" Type="http://schemas.openxmlformats.org/officeDocument/2006/relationships/hyperlink" Target="javascript:void(0);" TargetMode="External"/><Relationship Id="rId439" Type="http://schemas.openxmlformats.org/officeDocument/2006/relationships/hyperlink" Target="javascript:void(0);" TargetMode="External"/><Relationship Id="rId646" Type="http://schemas.openxmlformats.org/officeDocument/2006/relationships/hyperlink" Target="javascript:void(0);" TargetMode="External"/><Relationship Id="rId1069" Type="http://schemas.openxmlformats.org/officeDocument/2006/relationships/hyperlink" Target="javascript:void(0);" TargetMode="External"/><Relationship Id="rId1276" Type="http://schemas.openxmlformats.org/officeDocument/2006/relationships/hyperlink" Target="javascript:void(0);" TargetMode="External"/><Relationship Id="rId1483" Type="http://schemas.openxmlformats.org/officeDocument/2006/relationships/hyperlink" Target="javascript:void(0);" TargetMode="External"/><Relationship Id="rId2022" Type="http://schemas.openxmlformats.org/officeDocument/2006/relationships/hyperlink" Target="javascript:void(0);" TargetMode="External"/><Relationship Id="rId201" Type="http://schemas.openxmlformats.org/officeDocument/2006/relationships/hyperlink" Target="javascript:void(0);" TargetMode="External"/><Relationship Id="rId506" Type="http://schemas.openxmlformats.org/officeDocument/2006/relationships/hyperlink" Target="javascript:void(0);" TargetMode="External"/><Relationship Id="rId853" Type="http://schemas.openxmlformats.org/officeDocument/2006/relationships/hyperlink" Target="javascript:void(0);" TargetMode="External"/><Relationship Id="rId1136" Type="http://schemas.openxmlformats.org/officeDocument/2006/relationships/hyperlink" Target="javascript:void(0);" TargetMode="External"/><Relationship Id="rId1690" Type="http://schemas.openxmlformats.org/officeDocument/2006/relationships/hyperlink" Target="javascript:void(0);" TargetMode="External"/><Relationship Id="rId1788" Type="http://schemas.openxmlformats.org/officeDocument/2006/relationships/hyperlink" Target="javascript:void(0);" TargetMode="External"/><Relationship Id="rId1995" Type="http://schemas.openxmlformats.org/officeDocument/2006/relationships/hyperlink" Target="javascript:void(0);" TargetMode="External"/><Relationship Id="rId713" Type="http://schemas.openxmlformats.org/officeDocument/2006/relationships/hyperlink" Target="javascript:void(0);" TargetMode="External"/><Relationship Id="rId920" Type="http://schemas.openxmlformats.org/officeDocument/2006/relationships/hyperlink" Target="javascript:void(0);" TargetMode="External"/><Relationship Id="rId1343" Type="http://schemas.openxmlformats.org/officeDocument/2006/relationships/hyperlink" Target="javascript:void(0);" TargetMode="External"/><Relationship Id="rId1550" Type="http://schemas.openxmlformats.org/officeDocument/2006/relationships/hyperlink" Target="javascript:void(0);" TargetMode="External"/><Relationship Id="rId1648" Type="http://schemas.openxmlformats.org/officeDocument/2006/relationships/hyperlink" Target="javascript:void(0);" TargetMode="External"/><Relationship Id="rId1203" Type="http://schemas.openxmlformats.org/officeDocument/2006/relationships/hyperlink" Target="javascript:void(0);" TargetMode="External"/><Relationship Id="rId1410" Type="http://schemas.openxmlformats.org/officeDocument/2006/relationships/hyperlink" Target="javascript:void(0);" TargetMode="External"/><Relationship Id="rId1508" Type="http://schemas.openxmlformats.org/officeDocument/2006/relationships/hyperlink" Target="javascript:void(0);" TargetMode="External"/><Relationship Id="rId1855" Type="http://schemas.openxmlformats.org/officeDocument/2006/relationships/hyperlink" Target="javascript:void(0);" TargetMode="External"/><Relationship Id="rId1715" Type="http://schemas.openxmlformats.org/officeDocument/2006/relationships/hyperlink" Target="javascript:void(0);" TargetMode="External"/><Relationship Id="rId1922" Type="http://schemas.openxmlformats.org/officeDocument/2006/relationships/hyperlink" Target="javascript:void(0);" TargetMode="External"/><Relationship Id="rId296" Type="http://schemas.openxmlformats.org/officeDocument/2006/relationships/hyperlink" Target="javascript:void(0);" TargetMode="External"/><Relationship Id="rId2184" Type="http://schemas.openxmlformats.org/officeDocument/2006/relationships/hyperlink" Target="javascript:void(0);" TargetMode="External"/><Relationship Id="rId156" Type="http://schemas.openxmlformats.org/officeDocument/2006/relationships/hyperlink" Target="javascript:void(0);" TargetMode="External"/><Relationship Id="rId363" Type="http://schemas.openxmlformats.org/officeDocument/2006/relationships/hyperlink" Target="javascript:void(0);" TargetMode="External"/><Relationship Id="rId570" Type="http://schemas.openxmlformats.org/officeDocument/2006/relationships/hyperlink" Target="javascript:void(0);" TargetMode="External"/><Relationship Id="rId2044" Type="http://schemas.openxmlformats.org/officeDocument/2006/relationships/hyperlink" Target="javascript:void(0);" TargetMode="External"/><Relationship Id="rId2251" Type="http://schemas.openxmlformats.org/officeDocument/2006/relationships/hyperlink" Target="javascript:void(0);" TargetMode="External"/><Relationship Id="rId223" Type="http://schemas.openxmlformats.org/officeDocument/2006/relationships/hyperlink" Target="javascript:void(0);" TargetMode="External"/><Relationship Id="rId430" Type="http://schemas.openxmlformats.org/officeDocument/2006/relationships/hyperlink" Target="javascript:void(0);" TargetMode="External"/><Relationship Id="rId668" Type="http://schemas.openxmlformats.org/officeDocument/2006/relationships/hyperlink" Target="javascript:void(0);" TargetMode="External"/><Relationship Id="rId875" Type="http://schemas.openxmlformats.org/officeDocument/2006/relationships/hyperlink" Target="javascript:void(0);" TargetMode="External"/><Relationship Id="rId1060" Type="http://schemas.openxmlformats.org/officeDocument/2006/relationships/hyperlink" Target="javascript:void(0);" TargetMode="External"/><Relationship Id="rId1298" Type="http://schemas.openxmlformats.org/officeDocument/2006/relationships/hyperlink" Target="javascript:void(0);" TargetMode="External"/><Relationship Id="rId2111" Type="http://schemas.openxmlformats.org/officeDocument/2006/relationships/hyperlink" Target="javascript:void(0);" TargetMode="External"/><Relationship Id="rId528" Type="http://schemas.openxmlformats.org/officeDocument/2006/relationships/hyperlink" Target="javascript:void(0);" TargetMode="External"/><Relationship Id="rId735" Type="http://schemas.openxmlformats.org/officeDocument/2006/relationships/hyperlink" Target="javascript:void(0);" TargetMode="External"/><Relationship Id="rId942" Type="http://schemas.openxmlformats.org/officeDocument/2006/relationships/hyperlink" Target="javascript:void(0);" TargetMode="External"/><Relationship Id="rId1158" Type="http://schemas.openxmlformats.org/officeDocument/2006/relationships/hyperlink" Target="javascript:void(0);" TargetMode="External"/><Relationship Id="rId1365" Type="http://schemas.openxmlformats.org/officeDocument/2006/relationships/hyperlink" Target="javascript:void(0);" TargetMode="External"/><Relationship Id="rId1572" Type="http://schemas.openxmlformats.org/officeDocument/2006/relationships/hyperlink" Target="javascript:void(0);" TargetMode="External"/><Relationship Id="rId2209" Type="http://schemas.openxmlformats.org/officeDocument/2006/relationships/hyperlink" Target="javascript:void(0);" TargetMode="External"/><Relationship Id="rId1018" Type="http://schemas.openxmlformats.org/officeDocument/2006/relationships/hyperlink" Target="javascript:void(0);" TargetMode="External"/><Relationship Id="rId1225" Type="http://schemas.openxmlformats.org/officeDocument/2006/relationships/hyperlink" Target="javascript:void(0);" TargetMode="External"/><Relationship Id="rId1432" Type="http://schemas.openxmlformats.org/officeDocument/2006/relationships/hyperlink" Target="javascript:void(0);" TargetMode="External"/><Relationship Id="rId1877" Type="http://schemas.openxmlformats.org/officeDocument/2006/relationships/hyperlink" Target="javascript:void(0);" TargetMode="External"/><Relationship Id="rId71" Type="http://schemas.openxmlformats.org/officeDocument/2006/relationships/hyperlink" Target="javascript:void(0);" TargetMode="External"/><Relationship Id="rId802" Type="http://schemas.openxmlformats.org/officeDocument/2006/relationships/hyperlink" Target="javascript:void(0);" TargetMode="External"/><Relationship Id="rId1737" Type="http://schemas.openxmlformats.org/officeDocument/2006/relationships/hyperlink" Target="javascript:void(0);" TargetMode="External"/><Relationship Id="rId1944" Type="http://schemas.openxmlformats.org/officeDocument/2006/relationships/hyperlink" Target="javascript:void(0);" TargetMode="External"/><Relationship Id="rId29" Type="http://schemas.openxmlformats.org/officeDocument/2006/relationships/hyperlink" Target="javascript:void(0);" TargetMode="External"/><Relationship Id="rId178" Type="http://schemas.openxmlformats.org/officeDocument/2006/relationships/hyperlink" Target="javascript:void(0);" TargetMode="External"/><Relationship Id="rId1804" Type="http://schemas.openxmlformats.org/officeDocument/2006/relationships/hyperlink" Target="javascript:void(0);" TargetMode="External"/><Relationship Id="rId385" Type="http://schemas.openxmlformats.org/officeDocument/2006/relationships/hyperlink" Target="javascript:void(0);" TargetMode="External"/><Relationship Id="rId592" Type="http://schemas.openxmlformats.org/officeDocument/2006/relationships/hyperlink" Target="javascript:void(0);" TargetMode="External"/><Relationship Id="rId2066" Type="http://schemas.openxmlformats.org/officeDocument/2006/relationships/hyperlink" Target="javascript:void(0);" TargetMode="External"/><Relationship Id="rId2273" Type="http://schemas.openxmlformats.org/officeDocument/2006/relationships/hyperlink" Target="javascript:void(0);" TargetMode="External"/><Relationship Id="rId245" Type="http://schemas.openxmlformats.org/officeDocument/2006/relationships/hyperlink" Target="javascript:void(0);" TargetMode="External"/><Relationship Id="rId452" Type="http://schemas.openxmlformats.org/officeDocument/2006/relationships/hyperlink" Target="javascript:void(0);" TargetMode="External"/><Relationship Id="rId897" Type="http://schemas.openxmlformats.org/officeDocument/2006/relationships/hyperlink" Target="javascript:void(0);" TargetMode="External"/><Relationship Id="rId1082" Type="http://schemas.openxmlformats.org/officeDocument/2006/relationships/hyperlink" Target="javascript:void(0);" TargetMode="External"/><Relationship Id="rId2133" Type="http://schemas.openxmlformats.org/officeDocument/2006/relationships/hyperlink" Target="javascript:void(0);" TargetMode="External"/><Relationship Id="rId105" Type="http://schemas.openxmlformats.org/officeDocument/2006/relationships/hyperlink" Target="javascript:void(0);" TargetMode="External"/><Relationship Id="rId312" Type="http://schemas.openxmlformats.org/officeDocument/2006/relationships/hyperlink" Target="javascript:void(0);" TargetMode="External"/><Relationship Id="rId757" Type="http://schemas.openxmlformats.org/officeDocument/2006/relationships/hyperlink" Target="javascript:void(0);" TargetMode="External"/><Relationship Id="rId964" Type="http://schemas.openxmlformats.org/officeDocument/2006/relationships/hyperlink" Target="javascript:void(0);" TargetMode="External"/><Relationship Id="rId1387" Type="http://schemas.openxmlformats.org/officeDocument/2006/relationships/hyperlink" Target="javascript:void(0);" TargetMode="External"/><Relationship Id="rId1594" Type="http://schemas.openxmlformats.org/officeDocument/2006/relationships/hyperlink" Target="javascript:void(0);" TargetMode="External"/><Relationship Id="rId2200" Type="http://schemas.openxmlformats.org/officeDocument/2006/relationships/hyperlink" Target="javascript:void(0);" TargetMode="External"/><Relationship Id="rId93" Type="http://schemas.openxmlformats.org/officeDocument/2006/relationships/hyperlink" Target="javascript:void(0);" TargetMode="External"/><Relationship Id="rId617" Type="http://schemas.openxmlformats.org/officeDocument/2006/relationships/hyperlink" Target="javascript:void(0);" TargetMode="External"/><Relationship Id="rId824" Type="http://schemas.openxmlformats.org/officeDocument/2006/relationships/hyperlink" Target="javascript:void(0);" TargetMode="External"/><Relationship Id="rId1247" Type="http://schemas.openxmlformats.org/officeDocument/2006/relationships/hyperlink" Target="javascript:void(0);" TargetMode="External"/><Relationship Id="rId1454" Type="http://schemas.openxmlformats.org/officeDocument/2006/relationships/hyperlink" Target="javascript:void(0);" TargetMode="External"/><Relationship Id="rId1661" Type="http://schemas.openxmlformats.org/officeDocument/2006/relationships/hyperlink" Target="javascript:void(0);" TargetMode="External"/><Relationship Id="rId1899" Type="http://schemas.openxmlformats.org/officeDocument/2006/relationships/hyperlink" Target="javascript:void(0);" TargetMode="External"/><Relationship Id="rId1107" Type="http://schemas.openxmlformats.org/officeDocument/2006/relationships/hyperlink" Target="javascript:void(0);" TargetMode="External"/><Relationship Id="rId1314" Type="http://schemas.openxmlformats.org/officeDocument/2006/relationships/hyperlink" Target="javascript:void(0);" TargetMode="External"/><Relationship Id="rId1521" Type="http://schemas.openxmlformats.org/officeDocument/2006/relationships/hyperlink" Target="javascript:void(0);" TargetMode="External"/><Relationship Id="rId1759" Type="http://schemas.openxmlformats.org/officeDocument/2006/relationships/hyperlink" Target="javascript:void(0);" TargetMode="External"/><Relationship Id="rId1966" Type="http://schemas.openxmlformats.org/officeDocument/2006/relationships/hyperlink" Target="javascript:void(0);" TargetMode="External"/><Relationship Id="rId1619" Type="http://schemas.openxmlformats.org/officeDocument/2006/relationships/hyperlink" Target="javascript:void(0);" TargetMode="External"/><Relationship Id="rId1826" Type="http://schemas.openxmlformats.org/officeDocument/2006/relationships/hyperlink" Target="javascript:void(0);" TargetMode="External"/><Relationship Id="rId20" Type="http://schemas.openxmlformats.org/officeDocument/2006/relationships/hyperlink" Target="javascript:void(0);" TargetMode="External"/><Relationship Id="rId2088" Type="http://schemas.openxmlformats.org/officeDocument/2006/relationships/hyperlink" Target="javascript:void(0);" TargetMode="External"/><Relationship Id="rId2295" Type="http://schemas.openxmlformats.org/officeDocument/2006/relationships/hyperlink" Target="javascript:void(0);" TargetMode="External"/><Relationship Id="rId267" Type="http://schemas.openxmlformats.org/officeDocument/2006/relationships/hyperlink" Target="javascript:void(0);" TargetMode="External"/><Relationship Id="rId474" Type="http://schemas.openxmlformats.org/officeDocument/2006/relationships/hyperlink" Target="javascript:void(0);" TargetMode="External"/><Relationship Id="rId2155" Type="http://schemas.openxmlformats.org/officeDocument/2006/relationships/hyperlink" Target="javascript:void(0);" TargetMode="External"/><Relationship Id="rId127" Type="http://schemas.openxmlformats.org/officeDocument/2006/relationships/hyperlink" Target="javascript:void(0);" TargetMode="External"/><Relationship Id="rId681" Type="http://schemas.openxmlformats.org/officeDocument/2006/relationships/hyperlink" Target="javascript:void(0);" TargetMode="External"/><Relationship Id="rId779" Type="http://schemas.openxmlformats.org/officeDocument/2006/relationships/hyperlink" Target="javascript:void(0);" TargetMode="External"/><Relationship Id="rId986" Type="http://schemas.openxmlformats.org/officeDocument/2006/relationships/hyperlink" Target="javascript:void(0);" TargetMode="External"/><Relationship Id="rId334" Type="http://schemas.openxmlformats.org/officeDocument/2006/relationships/hyperlink" Target="javascript:void(0);" TargetMode="External"/><Relationship Id="rId541" Type="http://schemas.openxmlformats.org/officeDocument/2006/relationships/hyperlink" Target="javascript:void(0);" TargetMode="External"/><Relationship Id="rId639" Type="http://schemas.openxmlformats.org/officeDocument/2006/relationships/hyperlink" Target="javascript:void(0);" TargetMode="External"/><Relationship Id="rId1171" Type="http://schemas.openxmlformats.org/officeDocument/2006/relationships/hyperlink" Target="javascript:void(0);" TargetMode="External"/><Relationship Id="rId1269" Type="http://schemas.openxmlformats.org/officeDocument/2006/relationships/hyperlink" Target="javascript:void(0);" TargetMode="External"/><Relationship Id="rId1476" Type="http://schemas.openxmlformats.org/officeDocument/2006/relationships/hyperlink" Target="javascript:void(0);" TargetMode="External"/><Relationship Id="rId2015" Type="http://schemas.openxmlformats.org/officeDocument/2006/relationships/hyperlink" Target="javascript:void(0);" TargetMode="External"/><Relationship Id="rId2222" Type="http://schemas.openxmlformats.org/officeDocument/2006/relationships/hyperlink" Target="javascript:void(0);" TargetMode="External"/><Relationship Id="rId401" Type="http://schemas.openxmlformats.org/officeDocument/2006/relationships/hyperlink" Target="javascript:void(0);" TargetMode="External"/><Relationship Id="rId846" Type="http://schemas.openxmlformats.org/officeDocument/2006/relationships/hyperlink" Target="javascript:void(0);" TargetMode="External"/><Relationship Id="rId1031" Type="http://schemas.openxmlformats.org/officeDocument/2006/relationships/hyperlink" Target="javascript:void(0);" TargetMode="External"/><Relationship Id="rId1129" Type="http://schemas.openxmlformats.org/officeDocument/2006/relationships/hyperlink" Target="javascript:void(0);" TargetMode="External"/><Relationship Id="rId1683" Type="http://schemas.openxmlformats.org/officeDocument/2006/relationships/hyperlink" Target="javascript:void(0);" TargetMode="External"/><Relationship Id="rId1890" Type="http://schemas.openxmlformats.org/officeDocument/2006/relationships/hyperlink" Target="javascript:void(0);" TargetMode="External"/><Relationship Id="rId1988" Type="http://schemas.openxmlformats.org/officeDocument/2006/relationships/hyperlink" Target="javascript:void(0);" TargetMode="External"/><Relationship Id="rId706" Type="http://schemas.openxmlformats.org/officeDocument/2006/relationships/hyperlink" Target="javascript:void(0);" TargetMode="External"/><Relationship Id="rId913" Type="http://schemas.openxmlformats.org/officeDocument/2006/relationships/hyperlink" Target="javascript:void(0);" TargetMode="External"/><Relationship Id="rId1336" Type="http://schemas.openxmlformats.org/officeDocument/2006/relationships/hyperlink" Target="javascript:void(0);" TargetMode="External"/><Relationship Id="rId1543" Type="http://schemas.openxmlformats.org/officeDocument/2006/relationships/hyperlink" Target="javascript:void(0);" TargetMode="External"/><Relationship Id="rId1750" Type="http://schemas.openxmlformats.org/officeDocument/2006/relationships/hyperlink" Target="javascript:void(0);" TargetMode="External"/><Relationship Id="rId42" Type="http://schemas.openxmlformats.org/officeDocument/2006/relationships/hyperlink" Target="javascript:void(0);" TargetMode="External"/><Relationship Id="rId1403" Type="http://schemas.openxmlformats.org/officeDocument/2006/relationships/hyperlink" Target="javascript:void(0);" TargetMode="External"/><Relationship Id="rId1610" Type="http://schemas.openxmlformats.org/officeDocument/2006/relationships/hyperlink" Target="javascript:void(0);" TargetMode="External"/><Relationship Id="rId1848" Type="http://schemas.openxmlformats.org/officeDocument/2006/relationships/hyperlink" Target="javascript:void(0);" TargetMode="External"/><Relationship Id="rId191" Type="http://schemas.openxmlformats.org/officeDocument/2006/relationships/hyperlink" Target="javascript:void(0);" TargetMode="External"/><Relationship Id="rId1708" Type="http://schemas.openxmlformats.org/officeDocument/2006/relationships/hyperlink" Target="javascript:void(0);" TargetMode="External"/><Relationship Id="rId1915" Type="http://schemas.openxmlformats.org/officeDocument/2006/relationships/hyperlink" Target="javascript:void(0);" TargetMode="External"/><Relationship Id="rId289" Type="http://schemas.openxmlformats.org/officeDocument/2006/relationships/hyperlink" Target="javascript:void(0);" TargetMode="External"/><Relationship Id="rId496" Type="http://schemas.openxmlformats.org/officeDocument/2006/relationships/hyperlink" Target="javascript:void(0);" TargetMode="External"/><Relationship Id="rId2177" Type="http://schemas.openxmlformats.org/officeDocument/2006/relationships/hyperlink" Target="javascript:void(0);" TargetMode="External"/><Relationship Id="rId149" Type="http://schemas.openxmlformats.org/officeDocument/2006/relationships/hyperlink" Target="javascript:void(0);" TargetMode="External"/><Relationship Id="rId356" Type="http://schemas.openxmlformats.org/officeDocument/2006/relationships/hyperlink" Target="javascript:void(0);" TargetMode="External"/><Relationship Id="rId563" Type="http://schemas.openxmlformats.org/officeDocument/2006/relationships/hyperlink" Target="javascript:void(0);" TargetMode="External"/><Relationship Id="rId770" Type="http://schemas.openxmlformats.org/officeDocument/2006/relationships/hyperlink" Target="javascript:void(0);" TargetMode="External"/><Relationship Id="rId1193" Type="http://schemas.openxmlformats.org/officeDocument/2006/relationships/hyperlink" Target="javascript:void(0);" TargetMode="External"/><Relationship Id="rId2037" Type="http://schemas.openxmlformats.org/officeDocument/2006/relationships/hyperlink" Target="javascript:void(0);" TargetMode="External"/><Relationship Id="rId2244" Type="http://schemas.openxmlformats.org/officeDocument/2006/relationships/hyperlink" Target="javascript:void(0);" TargetMode="External"/><Relationship Id="rId216" Type="http://schemas.openxmlformats.org/officeDocument/2006/relationships/hyperlink" Target="javascript:void(0);" TargetMode="External"/><Relationship Id="rId423" Type="http://schemas.openxmlformats.org/officeDocument/2006/relationships/hyperlink" Target="javascript:void(0);" TargetMode="External"/><Relationship Id="rId868" Type="http://schemas.openxmlformats.org/officeDocument/2006/relationships/hyperlink" Target="javascript:void(0);" TargetMode="External"/><Relationship Id="rId1053" Type="http://schemas.openxmlformats.org/officeDocument/2006/relationships/hyperlink" Target="javascript:void(0);" TargetMode="External"/><Relationship Id="rId1260" Type="http://schemas.openxmlformats.org/officeDocument/2006/relationships/hyperlink" Target="javascript:void(0);" TargetMode="External"/><Relationship Id="rId1498" Type="http://schemas.openxmlformats.org/officeDocument/2006/relationships/hyperlink" Target="javascript:void(0);" TargetMode="External"/><Relationship Id="rId2104" Type="http://schemas.openxmlformats.org/officeDocument/2006/relationships/hyperlink" Target="javascript:void(0);" TargetMode="External"/><Relationship Id="rId630" Type="http://schemas.openxmlformats.org/officeDocument/2006/relationships/hyperlink" Target="javascript:void(0);" TargetMode="External"/><Relationship Id="rId728" Type="http://schemas.openxmlformats.org/officeDocument/2006/relationships/hyperlink" Target="javascript:void(0);" TargetMode="External"/><Relationship Id="rId935" Type="http://schemas.openxmlformats.org/officeDocument/2006/relationships/hyperlink" Target="javascript:void(0);" TargetMode="External"/><Relationship Id="rId1358" Type="http://schemas.openxmlformats.org/officeDocument/2006/relationships/hyperlink" Target="javascript:void(0);" TargetMode="External"/><Relationship Id="rId1565" Type="http://schemas.openxmlformats.org/officeDocument/2006/relationships/hyperlink" Target="javascript:void(0);" TargetMode="External"/><Relationship Id="rId1772" Type="http://schemas.openxmlformats.org/officeDocument/2006/relationships/hyperlink" Target="javascript:void(0);" TargetMode="External"/><Relationship Id="rId64" Type="http://schemas.openxmlformats.org/officeDocument/2006/relationships/hyperlink" Target="javascript:void(0);" TargetMode="External"/><Relationship Id="rId1120" Type="http://schemas.openxmlformats.org/officeDocument/2006/relationships/hyperlink" Target="javascript:void(0);" TargetMode="External"/><Relationship Id="rId1218" Type="http://schemas.openxmlformats.org/officeDocument/2006/relationships/hyperlink" Target="javascript:void(0);" TargetMode="External"/><Relationship Id="rId1425" Type="http://schemas.openxmlformats.org/officeDocument/2006/relationships/hyperlink" Target="javascript:void(0);" TargetMode="External"/><Relationship Id="rId1632" Type="http://schemas.openxmlformats.org/officeDocument/2006/relationships/hyperlink" Target="javascript:void(0);" TargetMode="External"/><Relationship Id="rId1937" Type="http://schemas.openxmlformats.org/officeDocument/2006/relationships/hyperlink" Target="javascript:void(0);" TargetMode="External"/><Relationship Id="rId2199" Type="http://schemas.openxmlformats.org/officeDocument/2006/relationships/hyperlink" Target="javascript:void(0);" TargetMode="External"/><Relationship Id="rId280" Type="http://schemas.openxmlformats.org/officeDocument/2006/relationships/hyperlink" Target="javascript:void(0);" TargetMode="External"/><Relationship Id="rId140" Type="http://schemas.openxmlformats.org/officeDocument/2006/relationships/hyperlink" Target="javascript:void(0);" TargetMode="External"/><Relationship Id="rId378" Type="http://schemas.openxmlformats.org/officeDocument/2006/relationships/hyperlink" Target="javascript:void(0);" TargetMode="External"/><Relationship Id="rId585" Type="http://schemas.openxmlformats.org/officeDocument/2006/relationships/hyperlink" Target="javascript:void(0);" TargetMode="External"/><Relationship Id="rId792" Type="http://schemas.openxmlformats.org/officeDocument/2006/relationships/hyperlink" Target="javascript:void(0);" TargetMode="External"/><Relationship Id="rId2059" Type="http://schemas.openxmlformats.org/officeDocument/2006/relationships/hyperlink" Target="javascript:void(0);" TargetMode="External"/><Relationship Id="rId2266" Type="http://schemas.openxmlformats.org/officeDocument/2006/relationships/hyperlink" Target="javascript:void(0);" TargetMode="External"/><Relationship Id="rId6" Type="http://schemas.openxmlformats.org/officeDocument/2006/relationships/hyperlink" Target="javascript:void(0);" TargetMode="External"/><Relationship Id="rId238" Type="http://schemas.openxmlformats.org/officeDocument/2006/relationships/hyperlink" Target="javascript:void(0);" TargetMode="External"/><Relationship Id="rId445" Type="http://schemas.openxmlformats.org/officeDocument/2006/relationships/hyperlink" Target="javascript:void(0);" TargetMode="External"/><Relationship Id="rId652" Type="http://schemas.openxmlformats.org/officeDocument/2006/relationships/hyperlink" Target="javascript:void(0);" TargetMode="External"/><Relationship Id="rId1075" Type="http://schemas.openxmlformats.org/officeDocument/2006/relationships/hyperlink" Target="javascript:void(0);" TargetMode="External"/><Relationship Id="rId1282" Type="http://schemas.openxmlformats.org/officeDocument/2006/relationships/hyperlink" Target="javascript:void(0);" TargetMode="External"/><Relationship Id="rId2126" Type="http://schemas.openxmlformats.org/officeDocument/2006/relationships/hyperlink" Target="javascript:void(0);" TargetMode="External"/><Relationship Id="rId305" Type="http://schemas.openxmlformats.org/officeDocument/2006/relationships/hyperlink" Target="javascript:void(0);" TargetMode="External"/><Relationship Id="rId512" Type="http://schemas.openxmlformats.org/officeDocument/2006/relationships/hyperlink" Target="javascript:void(0);" TargetMode="External"/><Relationship Id="rId957" Type="http://schemas.openxmlformats.org/officeDocument/2006/relationships/hyperlink" Target="javascript:void(0);" TargetMode="External"/><Relationship Id="rId1142" Type="http://schemas.openxmlformats.org/officeDocument/2006/relationships/hyperlink" Target="javascript:void(0);" TargetMode="External"/><Relationship Id="rId1587" Type="http://schemas.openxmlformats.org/officeDocument/2006/relationships/hyperlink" Target="javascript:void(0);" TargetMode="External"/><Relationship Id="rId1794" Type="http://schemas.openxmlformats.org/officeDocument/2006/relationships/hyperlink" Target="javascript:void(0);" TargetMode="External"/><Relationship Id="rId86" Type="http://schemas.openxmlformats.org/officeDocument/2006/relationships/hyperlink" Target="javascript:void(0);" TargetMode="External"/><Relationship Id="rId817" Type="http://schemas.openxmlformats.org/officeDocument/2006/relationships/hyperlink" Target="javascript:void(0);" TargetMode="External"/><Relationship Id="rId1002" Type="http://schemas.openxmlformats.org/officeDocument/2006/relationships/hyperlink" Target="javascript:void(0);" TargetMode="External"/><Relationship Id="rId1447" Type="http://schemas.openxmlformats.org/officeDocument/2006/relationships/hyperlink" Target="javascript:void(0);" TargetMode="External"/><Relationship Id="rId1654" Type="http://schemas.openxmlformats.org/officeDocument/2006/relationships/hyperlink" Target="javascript:void(0);" TargetMode="External"/><Relationship Id="rId1861" Type="http://schemas.openxmlformats.org/officeDocument/2006/relationships/hyperlink" Target="javascript:void(0);" TargetMode="External"/><Relationship Id="rId1307" Type="http://schemas.openxmlformats.org/officeDocument/2006/relationships/hyperlink" Target="javascript:void(0);" TargetMode="External"/><Relationship Id="rId1514" Type="http://schemas.openxmlformats.org/officeDocument/2006/relationships/hyperlink" Target="javascript:void(0);" TargetMode="External"/><Relationship Id="rId1721" Type="http://schemas.openxmlformats.org/officeDocument/2006/relationships/hyperlink" Target="javascript:void(0);" TargetMode="External"/><Relationship Id="rId1959" Type="http://schemas.openxmlformats.org/officeDocument/2006/relationships/hyperlink" Target="javascript:void(0);" TargetMode="External"/><Relationship Id="rId13" Type="http://schemas.openxmlformats.org/officeDocument/2006/relationships/hyperlink" Target="javascript:void(0);" TargetMode="External"/><Relationship Id="rId1819" Type="http://schemas.openxmlformats.org/officeDocument/2006/relationships/hyperlink" Target="javascript:void(0);" TargetMode="External"/><Relationship Id="rId2190" Type="http://schemas.openxmlformats.org/officeDocument/2006/relationships/hyperlink" Target="javascript:void(0);" TargetMode="External"/><Relationship Id="rId2288" Type="http://schemas.openxmlformats.org/officeDocument/2006/relationships/hyperlink" Target="javascript:void(0);" TargetMode="External"/><Relationship Id="rId162" Type="http://schemas.openxmlformats.org/officeDocument/2006/relationships/hyperlink" Target="javascript:void(0);" TargetMode="External"/><Relationship Id="rId467" Type="http://schemas.openxmlformats.org/officeDocument/2006/relationships/hyperlink" Target="javascript:void(0);" TargetMode="External"/><Relationship Id="rId1097" Type="http://schemas.openxmlformats.org/officeDocument/2006/relationships/hyperlink" Target="javascript:void(0);" TargetMode="External"/><Relationship Id="rId2050" Type="http://schemas.openxmlformats.org/officeDocument/2006/relationships/hyperlink" Target="javascript:void(0);" TargetMode="External"/><Relationship Id="rId2148" Type="http://schemas.openxmlformats.org/officeDocument/2006/relationships/hyperlink" Target="javascript:void(0);" TargetMode="External"/><Relationship Id="rId674" Type="http://schemas.openxmlformats.org/officeDocument/2006/relationships/hyperlink" Target="javascript:void(0);" TargetMode="External"/><Relationship Id="rId881" Type="http://schemas.openxmlformats.org/officeDocument/2006/relationships/hyperlink" Target="javascript:void(0);" TargetMode="External"/><Relationship Id="rId979" Type="http://schemas.openxmlformats.org/officeDocument/2006/relationships/hyperlink" Target="javascript:void(0);" TargetMode="External"/><Relationship Id="rId327" Type="http://schemas.openxmlformats.org/officeDocument/2006/relationships/hyperlink" Target="javascript:void(0);" TargetMode="External"/><Relationship Id="rId534" Type="http://schemas.openxmlformats.org/officeDocument/2006/relationships/hyperlink" Target="javascript:void(0);" TargetMode="External"/><Relationship Id="rId741" Type="http://schemas.openxmlformats.org/officeDocument/2006/relationships/hyperlink" Target="javascript:void(0);" TargetMode="External"/><Relationship Id="rId839" Type="http://schemas.openxmlformats.org/officeDocument/2006/relationships/hyperlink" Target="javascript:void(0);" TargetMode="External"/><Relationship Id="rId1164" Type="http://schemas.openxmlformats.org/officeDocument/2006/relationships/hyperlink" Target="javascript:void(0);" TargetMode="External"/><Relationship Id="rId1371" Type="http://schemas.openxmlformats.org/officeDocument/2006/relationships/hyperlink" Target="javascript:void(0);" TargetMode="External"/><Relationship Id="rId1469" Type="http://schemas.openxmlformats.org/officeDocument/2006/relationships/hyperlink" Target="javascript:void(0);" TargetMode="External"/><Relationship Id="rId2008" Type="http://schemas.openxmlformats.org/officeDocument/2006/relationships/hyperlink" Target="javascript:void(0);" TargetMode="External"/><Relationship Id="rId2215" Type="http://schemas.openxmlformats.org/officeDocument/2006/relationships/hyperlink" Target="javascript:void(0);" TargetMode="External"/><Relationship Id="rId601" Type="http://schemas.openxmlformats.org/officeDocument/2006/relationships/hyperlink" Target="javascript:void(0);" TargetMode="External"/><Relationship Id="rId1024" Type="http://schemas.openxmlformats.org/officeDocument/2006/relationships/hyperlink" Target="javascript:void(0);" TargetMode="External"/><Relationship Id="rId1231" Type="http://schemas.openxmlformats.org/officeDocument/2006/relationships/hyperlink" Target="javascript:void(0);" TargetMode="External"/><Relationship Id="rId1676" Type="http://schemas.openxmlformats.org/officeDocument/2006/relationships/hyperlink" Target="javascript:void(0);" TargetMode="External"/><Relationship Id="rId1883" Type="http://schemas.openxmlformats.org/officeDocument/2006/relationships/hyperlink" Target="javascript:void(0);" TargetMode="External"/><Relationship Id="rId906" Type="http://schemas.openxmlformats.org/officeDocument/2006/relationships/hyperlink" Target="javascript:void(0);" TargetMode="External"/><Relationship Id="rId1329" Type="http://schemas.openxmlformats.org/officeDocument/2006/relationships/hyperlink" Target="javascript:void(0);" TargetMode="External"/><Relationship Id="rId1536" Type="http://schemas.openxmlformats.org/officeDocument/2006/relationships/hyperlink" Target="javascript:void(0);" TargetMode="External"/><Relationship Id="rId1743" Type="http://schemas.openxmlformats.org/officeDocument/2006/relationships/hyperlink" Target="javascript:void(0);" TargetMode="External"/><Relationship Id="rId1950" Type="http://schemas.openxmlformats.org/officeDocument/2006/relationships/hyperlink" Target="javascript:void(0);" TargetMode="External"/><Relationship Id="rId35" Type="http://schemas.openxmlformats.org/officeDocument/2006/relationships/hyperlink" Target="javascript:void(0);" TargetMode="External"/><Relationship Id="rId1603" Type="http://schemas.openxmlformats.org/officeDocument/2006/relationships/hyperlink" Target="javascript:void(0);" TargetMode="External"/><Relationship Id="rId1810" Type="http://schemas.openxmlformats.org/officeDocument/2006/relationships/hyperlink" Target="javascript:void(0);" TargetMode="External"/><Relationship Id="rId184" Type="http://schemas.openxmlformats.org/officeDocument/2006/relationships/hyperlink" Target="javascript:void(0);" TargetMode="External"/><Relationship Id="rId391" Type="http://schemas.openxmlformats.org/officeDocument/2006/relationships/hyperlink" Target="javascript:void(0);" TargetMode="External"/><Relationship Id="rId1908" Type="http://schemas.openxmlformats.org/officeDocument/2006/relationships/hyperlink" Target="javascript:void(0);" TargetMode="External"/><Relationship Id="rId2072" Type="http://schemas.openxmlformats.org/officeDocument/2006/relationships/hyperlink" Target="javascript:void(0);" TargetMode="External"/><Relationship Id="rId251" Type="http://schemas.openxmlformats.org/officeDocument/2006/relationships/hyperlink" Target="javascript:void(0);" TargetMode="External"/><Relationship Id="rId489" Type="http://schemas.openxmlformats.org/officeDocument/2006/relationships/hyperlink" Target="javascript:void(0);" TargetMode="External"/><Relationship Id="rId696" Type="http://schemas.openxmlformats.org/officeDocument/2006/relationships/hyperlink" Target="javascript:void(0);" TargetMode="External"/><Relationship Id="rId349" Type="http://schemas.openxmlformats.org/officeDocument/2006/relationships/hyperlink" Target="javascript:void(0);" TargetMode="External"/><Relationship Id="rId556" Type="http://schemas.openxmlformats.org/officeDocument/2006/relationships/hyperlink" Target="javascript:void(0);" TargetMode="External"/><Relationship Id="rId763" Type="http://schemas.openxmlformats.org/officeDocument/2006/relationships/hyperlink" Target="javascript:void(0);" TargetMode="External"/><Relationship Id="rId1186" Type="http://schemas.openxmlformats.org/officeDocument/2006/relationships/hyperlink" Target="javascript:void(0);" TargetMode="External"/><Relationship Id="rId1393" Type="http://schemas.openxmlformats.org/officeDocument/2006/relationships/hyperlink" Target="javascript:void(0);" TargetMode="External"/><Relationship Id="rId2237" Type="http://schemas.openxmlformats.org/officeDocument/2006/relationships/hyperlink" Target="javascript:void(0);" TargetMode="External"/><Relationship Id="rId111" Type="http://schemas.openxmlformats.org/officeDocument/2006/relationships/hyperlink" Target="javascript:void(0);" TargetMode="External"/><Relationship Id="rId209" Type="http://schemas.openxmlformats.org/officeDocument/2006/relationships/hyperlink" Target="javascript:void(0);" TargetMode="External"/><Relationship Id="rId416" Type="http://schemas.openxmlformats.org/officeDocument/2006/relationships/hyperlink" Target="javascript:void(0);" TargetMode="External"/><Relationship Id="rId970" Type="http://schemas.openxmlformats.org/officeDocument/2006/relationships/hyperlink" Target="javascript:void(0);" TargetMode="External"/><Relationship Id="rId1046" Type="http://schemas.openxmlformats.org/officeDocument/2006/relationships/hyperlink" Target="javascript:void(0);" TargetMode="External"/><Relationship Id="rId1253" Type="http://schemas.openxmlformats.org/officeDocument/2006/relationships/hyperlink" Target="javascript:void(0);" TargetMode="External"/><Relationship Id="rId1698" Type="http://schemas.openxmlformats.org/officeDocument/2006/relationships/hyperlink" Target="javascript:void(0);" TargetMode="External"/><Relationship Id="rId623" Type="http://schemas.openxmlformats.org/officeDocument/2006/relationships/hyperlink" Target="javascript:void(0);" TargetMode="External"/><Relationship Id="rId830" Type="http://schemas.openxmlformats.org/officeDocument/2006/relationships/hyperlink" Target="javascript:void(0);" TargetMode="External"/><Relationship Id="rId928" Type="http://schemas.openxmlformats.org/officeDocument/2006/relationships/hyperlink" Target="javascript:void(0);" TargetMode="External"/><Relationship Id="rId1460" Type="http://schemas.openxmlformats.org/officeDocument/2006/relationships/hyperlink" Target="javascript:void(0);" TargetMode="External"/><Relationship Id="rId1558" Type="http://schemas.openxmlformats.org/officeDocument/2006/relationships/hyperlink" Target="javascript:void(0);" TargetMode="External"/><Relationship Id="rId1765" Type="http://schemas.openxmlformats.org/officeDocument/2006/relationships/hyperlink" Target="javascript:void(0);" TargetMode="External"/><Relationship Id="rId57" Type="http://schemas.openxmlformats.org/officeDocument/2006/relationships/hyperlink" Target="javascript:void(0);" TargetMode="External"/><Relationship Id="rId1113" Type="http://schemas.openxmlformats.org/officeDocument/2006/relationships/hyperlink" Target="javascript:void(0);" TargetMode="External"/><Relationship Id="rId1320" Type="http://schemas.openxmlformats.org/officeDocument/2006/relationships/hyperlink" Target="javascript:void(0);" TargetMode="External"/><Relationship Id="rId1418" Type="http://schemas.openxmlformats.org/officeDocument/2006/relationships/hyperlink" Target="javascript:void(0);" TargetMode="External"/><Relationship Id="rId1972" Type="http://schemas.openxmlformats.org/officeDocument/2006/relationships/hyperlink" Target="javascript:void(0);" TargetMode="External"/><Relationship Id="rId1625" Type="http://schemas.openxmlformats.org/officeDocument/2006/relationships/hyperlink" Target="javascript:void(0);" TargetMode="External"/><Relationship Id="rId1832" Type="http://schemas.openxmlformats.org/officeDocument/2006/relationships/hyperlink" Target="javascript:void(0);" TargetMode="External"/><Relationship Id="rId2094" Type="http://schemas.openxmlformats.org/officeDocument/2006/relationships/hyperlink" Target="javascript:void(0);" TargetMode="External"/><Relationship Id="rId273" Type="http://schemas.openxmlformats.org/officeDocument/2006/relationships/hyperlink" Target="javascript:void(0);" TargetMode="External"/><Relationship Id="rId480" Type="http://schemas.openxmlformats.org/officeDocument/2006/relationships/hyperlink" Target="javascript:void(0);" TargetMode="External"/><Relationship Id="rId2161" Type="http://schemas.openxmlformats.org/officeDocument/2006/relationships/hyperlink" Target="javascript:void(0);" TargetMode="External"/><Relationship Id="rId133" Type="http://schemas.openxmlformats.org/officeDocument/2006/relationships/hyperlink" Target="javascript:void(0);" TargetMode="External"/><Relationship Id="rId340" Type="http://schemas.openxmlformats.org/officeDocument/2006/relationships/hyperlink" Target="javascript:void(0);" TargetMode="External"/><Relationship Id="rId578" Type="http://schemas.openxmlformats.org/officeDocument/2006/relationships/hyperlink" Target="javascript:void(0);" TargetMode="External"/><Relationship Id="rId785" Type="http://schemas.openxmlformats.org/officeDocument/2006/relationships/hyperlink" Target="javascript:void(0);" TargetMode="External"/><Relationship Id="rId992" Type="http://schemas.openxmlformats.org/officeDocument/2006/relationships/hyperlink" Target="javascript:void(0);" TargetMode="External"/><Relationship Id="rId2021" Type="http://schemas.openxmlformats.org/officeDocument/2006/relationships/hyperlink" Target="javascript:void(0);" TargetMode="External"/><Relationship Id="rId2259" Type="http://schemas.openxmlformats.org/officeDocument/2006/relationships/hyperlink" Target="javascript:void(0);" TargetMode="External"/><Relationship Id="rId200" Type="http://schemas.openxmlformats.org/officeDocument/2006/relationships/hyperlink" Target="javascript:void(0);" TargetMode="External"/><Relationship Id="rId438" Type="http://schemas.openxmlformats.org/officeDocument/2006/relationships/hyperlink" Target="javascript:void(0);" TargetMode="External"/><Relationship Id="rId645" Type="http://schemas.openxmlformats.org/officeDocument/2006/relationships/hyperlink" Target="javascript:void(0);" TargetMode="External"/><Relationship Id="rId852" Type="http://schemas.openxmlformats.org/officeDocument/2006/relationships/hyperlink" Target="javascript:void(0);" TargetMode="External"/><Relationship Id="rId1068" Type="http://schemas.openxmlformats.org/officeDocument/2006/relationships/hyperlink" Target="javascript:void(0);" TargetMode="External"/><Relationship Id="rId1275" Type="http://schemas.openxmlformats.org/officeDocument/2006/relationships/hyperlink" Target="javascript:void(0);" TargetMode="External"/><Relationship Id="rId1482" Type="http://schemas.openxmlformats.org/officeDocument/2006/relationships/hyperlink" Target="javascript:void(0);" TargetMode="External"/><Relationship Id="rId2119" Type="http://schemas.openxmlformats.org/officeDocument/2006/relationships/hyperlink" Target="javascript:void(0);" TargetMode="External"/><Relationship Id="rId505" Type="http://schemas.openxmlformats.org/officeDocument/2006/relationships/hyperlink" Target="javascript:void(0);" TargetMode="External"/><Relationship Id="rId712" Type="http://schemas.openxmlformats.org/officeDocument/2006/relationships/hyperlink" Target="javascript:void(0);" TargetMode="External"/><Relationship Id="rId1135" Type="http://schemas.openxmlformats.org/officeDocument/2006/relationships/hyperlink" Target="javascript:void(0);" TargetMode="External"/><Relationship Id="rId1342" Type="http://schemas.openxmlformats.org/officeDocument/2006/relationships/hyperlink" Target="javascript:void(0);" TargetMode="External"/><Relationship Id="rId1787" Type="http://schemas.openxmlformats.org/officeDocument/2006/relationships/hyperlink" Target="javascript:void(0);" TargetMode="External"/><Relationship Id="rId1994" Type="http://schemas.openxmlformats.org/officeDocument/2006/relationships/hyperlink" Target="javascript:void(0);" TargetMode="External"/><Relationship Id="rId79" Type="http://schemas.openxmlformats.org/officeDocument/2006/relationships/hyperlink" Target="javascript:void(0);" TargetMode="External"/><Relationship Id="rId1202" Type="http://schemas.openxmlformats.org/officeDocument/2006/relationships/hyperlink" Target="javascript:void(0);" TargetMode="External"/><Relationship Id="rId1647" Type="http://schemas.openxmlformats.org/officeDocument/2006/relationships/hyperlink" Target="javascript:void(0);" TargetMode="External"/><Relationship Id="rId1854" Type="http://schemas.openxmlformats.org/officeDocument/2006/relationships/hyperlink" Target="javascript:void(0);" TargetMode="External"/><Relationship Id="rId1507" Type="http://schemas.openxmlformats.org/officeDocument/2006/relationships/hyperlink" Target="javascript:void(0);" TargetMode="External"/><Relationship Id="rId1714" Type="http://schemas.openxmlformats.org/officeDocument/2006/relationships/hyperlink" Target="javascript:void(0);" TargetMode="External"/><Relationship Id="rId295" Type="http://schemas.openxmlformats.org/officeDocument/2006/relationships/hyperlink" Target="javascript:void(0);" TargetMode="External"/><Relationship Id="rId1921" Type="http://schemas.openxmlformats.org/officeDocument/2006/relationships/hyperlink" Target="javascript:void(0);" TargetMode="External"/><Relationship Id="rId2183" Type="http://schemas.openxmlformats.org/officeDocument/2006/relationships/hyperlink" Target="javascript:void(0);" TargetMode="External"/><Relationship Id="rId155" Type="http://schemas.openxmlformats.org/officeDocument/2006/relationships/hyperlink" Target="javascript:void(0);" TargetMode="External"/><Relationship Id="rId362" Type="http://schemas.openxmlformats.org/officeDocument/2006/relationships/hyperlink" Target="javascript:void(0);" TargetMode="External"/><Relationship Id="rId1297" Type="http://schemas.openxmlformats.org/officeDocument/2006/relationships/hyperlink" Target="javascript:void(0);" TargetMode="External"/><Relationship Id="rId2043" Type="http://schemas.openxmlformats.org/officeDocument/2006/relationships/hyperlink" Target="javascript:void(0);" TargetMode="External"/><Relationship Id="rId2250" Type="http://schemas.openxmlformats.org/officeDocument/2006/relationships/hyperlink" Target="javascript:void(0);" TargetMode="External"/><Relationship Id="rId222" Type="http://schemas.openxmlformats.org/officeDocument/2006/relationships/hyperlink" Target="javascript:void(0);" TargetMode="External"/><Relationship Id="rId667" Type="http://schemas.openxmlformats.org/officeDocument/2006/relationships/hyperlink" Target="javascript:void(0);" TargetMode="External"/><Relationship Id="rId874" Type="http://schemas.openxmlformats.org/officeDocument/2006/relationships/hyperlink" Target="javascript:void(0);" TargetMode="External"/><Relationship Id="rId2110" Type="http://schemas.openxmlformats.org/officeDocument/2006/relationships/hyperlink" Target="javascript:void(0);" TargetMode="External"/><Relationship Id="rId527" Type="http://schemas.openxmlformats.org/officeDocument/2006/relationships/hyperlink" Target="javascript:void(0);" TargetMode="External"/><Relationship Id="rId734" Type="http://schemas.openxmlformats.org/officeDocument/2006/relationships/hyperlink" Target="javascript:void(0);" TargetMode="External"/><Relationship Id="rId941" Type="http://schemas.openxmlformats.org/officeDocument/2006/relationships/hyperlink" Target="javascript:void(0);" TargetMode="External"/><Relationship Id="rId1157" Type="http://schemas.openxmlformats.org/officeDocument/2006/relationships/hyperlink" Target="javascript:void(0);" TargetMode="External"/><Relationship Id="rId1364" Type="http://schemas.openxmlformats.org/officeDocument/2006/relationships/hyperlink" Target="javascript:void(0);" TargetMode="External"/><Relationship Id="rId1571" Type="http://schemas.openxmlformats.org/officeDocument/2006/relationships/hyperlink" Target="javascript:void(0);" TargetMode="External"/><Relationship Id="rId2208" Type="http://schemas.openxmlformats.org/officeDocument/2006/relationships/hyperlink" Target="javascript:void(0);" TargetMode="External"/><Relationship Id="rId70" Type="http://schemas.openxmlformats.org/officeDocument/2006/relationships/hyperlink" Target="javascript:void(0);" TargetMode="External"/><Relationship Id="rId801" Type="http://schemas.openxmlformats.org/officeDocument/2006/relationships/hyperlink" Target="javascript:void(0);" TargetMode="External"/><Relationship Id="rId1017" Type="http://schemas.openxmlformats.org/officeDocument/2006/relationships/hyperlink" Target="javascript:void(0);" TargetMode="External"/><Relationship Id="rId1224" Type="http://schemas.openxmlformats.org/officeDocument/2006/relationships/hyperlink" Target="javascript:void(0);" TargetMode="External"/><Relationship Id="rId1431" Type="http://schemas.openxmlformats.org/officeDocument/2006/relationships/hyperlink" Target="javascript:void(0);" TargetMode="External"/><Relationship Id="rId1669" Type="http://schemas.openxmlformats.org/officeDocument/2006/relationships/hyperlink" Target="javascript:void(0);" TargetMode="External"/><Relationship Id="rId1876" Type="http://schemas.openxmlformats.org/officeDocument/2006/relationships/hyperlink" Target="javascript:void(0);" TargetMode="External"/><Relationship Id="rId1529" Type="http://schemas.openxmlformats.org/officeDocument/2006/relationships/hyperlink" Target="javascript:void(0);" TargetMode="External"/><Relationship Id="rId1736" Type="http://schemas.openxmlformats.org/officeDocument/2006/relationships/hyperlink" Target="javascript:void(0);" TargetMode="External"/><Relationship Id="rId1943" Type="http://schemas.openxmlformats.org/officeDocument/2006/relationships/hyperlink" Target="javascript:void(0);" TargetMode="External"/><Relationship Id="rId28" Type="http://schemas.openxmlformats.org/officeDocument/2006/relationships/hyperlink" Target="javascript:void(0);" TargetMode="External"/><Relationship Id="rId1803" Type="http://schemas.openxmlformats.org/officeDocument/2006/relationships/hyperlink" Target="javascript:void(0);" TargetMode="External"/><Relationship Id="rId177" Type="http://schemas.openxmlformats.org/officeDocument/2006/relationships/hyperlink" Target="javascript:void(0);" TargetMode="External"/><Relationship Id="rId384" Type="http://schemas.openxmlformats.org/officeDocument/2006/relationships/hyperlink" Target="javascript:void(0);" TargetMode="External"/><Relationship Id="rId591" Type="http://schemas.openxmlformats.org/officeDocument/2006/relationships/hyperlink" Target="javascript:void(0);" TargetMode="External"/><Relationship Id="rId2065" Type="http://schemas.openxmlformats.org/officeDocument/2006/relationships/hyperlink" Target="javascript:void(0);" TargetMode="External"/><Relationship Id="rId2272" Type="http://schemas.openxmlformats.org/officeDocument/2006/relationships/hyperlink" Target="javascript:void(0);" TargetMode="External"/><Relationship Id="rId244" Type="http://schemas.openxmlformats.org/officeDocument/2006/relationships/hyperlink" Target="javascript:void(0);" TargetMode="External"/><Relationship Id="rId689" Type="http://schemas.openxmlformats.org/officeDocument/2006/relationships/hyperlink" Target="javascript:void(0);" TargetMode="External"/><Relationship Id="rId896" Type="http://schemas.openxmlformats.org/officeDocument/2006/relationships/hyperlink" Target="javascript:void(0);" TargetMode="External"/><Relationship Id="rId1081" Type="http://schemas.openxmlformats.org/officeDocument/2006/relationships/hyperlink" Target="javascript:void(0);" TargetMode="External"/><Relationship Id="rId451" Type="http://schemas.openxmlformats.org/officeDocument/2006/relationships/hyperlink" Target="javascript:void(0);" TargetMode="External"/><Relationship Id="rId549" Type="http://schemas.openxmlformats.org/officeDocument/2006/relationships/hyperlink" Target="javascript:void(0);" TargetMode="External"/><Relationship Id="rId756" Type="http://schemas.openxmlformats.org/officeDocument/2006/relationships/hyperlink" Target="javascript:void(0);" TargetMode="External"/><Relationship Id="rId1179" Type="http://schemas.openxmlformats.org/officeDocument/2006/relationships/hyperlink" Target="javascript:void(0);" TargetMode="External"/><Relationship Id="rId1386" Type="http://schemas.openxmlformats.org/officeDocument/2006/relationships/hyperlink" Target="javascript:void(0);" TargetMode="External"/><Relationship Id="rId1593" Type="http://schemas.openxmlformats.org/officeDocument/2006/relationships/hyperlink" Target="javascript:void(0);" TargetMode="External"/><Relationship Id="rId2132" Type="http://schemas.openxmlformats.org/officeDocument/2006/relationships/hyperlink" Target="javascript:void(0);" TargetMode="External"/><Relationship Id="rId104" Type="http://schemas.openxmlformats.org/officeDocument/2006/relationships/hyperlink" Target="javascript:void(0);" TargetMode="External"/><Relationship Id="rId311" Type="http://schemas.openxmlformats.org/officeDocument/2006/relationships/hyperlink" Target="javascript:void(0);" TargetMode="External"/><Relationship Id="rId409" Type="http://schemas.openxmlformats.org/officeDocument/2006/relationships/hyperlink" Target="javascript:void(0);" TargetMode="External"/><Relationship Id="rId963" Type="http://schemas.openxmlformats.org/officeDocument/2006/relationships/hyperlink" Target="javascript:void(0);" TargetMode="External"/><Relationship Id="rId1039" Type="http://schemas.openxmlformats.org/officeDocument/2006/relationships/hyperlink" Target="javascript:void(0);" TargetMode="External"/><Relationship Id="rId1246" Type="http://schemas.openxmlformats.org/officeDocument/2006/relationships/hyperlink" Target="javascript:void(0);" TargetMode="External"/><Relationship Id="rId1898" Type="http://schemas.openxmlformats.org/officeDocument/2006/relationships/hyperlink" Target="javascript:void(0);" TargetMode="External"/><Relationship Id="rId92" Type="http://schemas.openxmlformats.org/officeDocument/2006/relationships/hyperlink" Target="javascript:void(0);" TargetMode="External"/><Relationship Id="rId616" Type="http://schemas.openxmlformats.org/officeDocument/2006/relationships/hyperlink" Target="javascript:void(0);" TargetMode="External"/><Relationship Id="rId823" Type="http://schemas.openxmlformats.org/officeDocument/2006/relationships/hyperlink" Target="javascript:void(0);" TargetMode="External"/><Relationship Id="rId1453" Type="http://schemas.openxmlformats.org/officeDocument/2006/relationships/hyperlink" Target="javascript:void(0);" TargetMode="External"/><Relationship Id="rId1660" Type="http://schemas.openxmlformats.org/officeDocument/2006/relationships/hyperlink" Target="javascript:void(0);" TargetMode="External"/><Relationship Id="rId1758" Type="http://schemas.openxmlformats.org/officeDocument/2006/relationships/hyperlink" Target="javascript:void(0);" TargetMode="External"/><Relationship Id="rId1106" Type="http://schemas.openxmlformats.org/officeDocument/2006/relationships/hyperlink" Target="javascript:void(0);" TargetMode="External"/><Relationship Id="rId1313" Type="http://schemas.openxmlformats.org/officeDocument/2006/relationships/hyperlink" Target="javascript:void(0);" TargetMode="External"/><Relationship Id="rId1520" Type="http://schemas.openxmlformats.org/officeDocument/2006/relationships/hyperlink" Target="javascript:void(0);" TargetMode="External"/><Relationship Id="rId1965" Type="http://schemas.openxmlformats.org/officeDocument/2006/relationships/hyperlink" Target="javascript:void(0);" TargetMode="External"/><Relationship Id="rId1618" Type="http://schemas.openxmlformats.org/officeDocument/2006/relationships/hyperlink" Target="javascript:void(0);" TargetMode="External"/><Relationship Id="rId1825" Type="http://schemas.openxmlformats.org/officeDocument/2006/relationships/hyperlink" Target="javascript:void(0);" TargetMode="External"/><Relationship Id="rId199" Type="http://schemas.openxmlformats.org/officeDocument/2006/relationships/hyperlink" Target="javascript:void(0);" TargetMode="External"/><Relationship Id="rId2087" Type="http://schemas.openxmlformats.org/officeDocument/2006/relationships/hyperlink" Target="javascript:void(0);" TargetMode="External"/><Relationship Id="rId2294" Type="http://schemas.openxmlformats.org/officeDocument/2006/relationships/hyperlink" Target="javascript:void(0);" TargetMode="External"/><Relationship Id="rId266" Type="http://schemas.openxmlformats.org/officeDocument/2006/relationships/hyperlink" Target="javascript:void(0);" TargetMode="External"/><Relationship Id="rId473" Type="http://schemas.openxmlformats.org/officeDocument/2006/relationships/hyperlink" Target="javascript:void(0);" TargetMode="External"/><Relationship Id="rId680" Type="http://schemas.openxmlformats.org/officeDocument/2006/relationships/hyperlink" Target="javascript:void(0);" TargetMode="External"/><Relationship Id="rId2154" Type="http://schemas.openxmlformats.org/officeDocument/2006/relationships/hyperlink" Target="javascript:void(0);" TargetMode="External"/><Relationship Id="rId126" Type="http://schemas.openxmlformats.org/officeDocument/2006/relationships/hyperlink" Target="javascript:void(0);" TargetMode="External"/><Relationship Id="rId333" Type="http://schemas.openxmlformats.org/officeDocument/2006/relationships/hyperlink" Target="javascript:void(0);" TargetMode="External"/><Relationship Id="rId540" Type="http://schemas.openxmlformats.org/officeDocument/2006/relationships/hyperlink" Target="javascript:void(0);" TargetMode="External"/><Relationship Id="rId778" Type="http://schemas.openxmlformats.org/officeDocument/2006/relationships/hyperlink" Target="javascript:void(0);" TargetMode="External"/><Relationship Id="rId985" Type="http://schemas.openxmlformats.org/officeDocument/2006/relationships/hyperlink" Target="javascript:void(0);" TargetMode="External"/><Relationship Id="rId1170" Type="http://schemas.openxmlformats.org/officeDocument/2006/relationships/hyperlink" Target="javascript:void(0);" TargetMode="External"/><Relationship Id="rId2014" Type="http://schemas.openxmlformats.org/officeDocument/2006/relationships/hyperlink" Target="javascript:void(0);" TargetMode="External"/><Relationship Id="rId2221" Type="http://schemas.openxmlformats.org/officeDocument/2006/relationships/hyperlink" Target="javascript:void(0);" TargetMode="External"/><Relationship Id="rId638" Type="http://schemas.openxmlformats.org/officeDocument/2006/relationships/hyperlink" Target="javascript:void(0);" TargetMode="External"/><Relationship Id="rId845" Type="http://schemas.openxmlformats.org/officeDocument/2006/relationships/hyperlink" Target="javascript:void(0);" TargetMode="External"/><Relationship Id="rId1030" Type="http://schemas.openxmlformats.org/officeDocument/2006/relationships/hyperlink" Target="javascript:void(0);" TargetMode="External"/><Relationship Id="rId1268" Type="http://schemas.openxmlformats.org/officeDocument/2006/relationships/hyperlink" Target="javascript:void(0);" TargetMode="External"/><Relationship Id="rId1475" Type="http://schemas.openxmlformats.org/officeDocument/2006/relationships/hyperlink" Target="javascript:void(0);" TargetMode="External"/><Relationship Id="rId1682" Type="http://schemas.openxmlformats.org/officeDocument/2006/relationships/hyperlink" Target="javascript:void(0);" TargetMode="External"/><Relationship Id="rId400" Type="http://schemas.openxmlformats.org/officeDocument/2006/relationships/hyperlink" Target="javascript:void(0);" TargetMode="External"/><Relationship Id="rId705" Type="http://schemas.openxmlformats.org/officeDocument/2006/relationships/hyperlink" Target="javascript:void(0);" TargetMode="External"/><Relationship Id="rId1128" Type="http://schemas.openxmlformats.org/officeDocument/2006/relationships/hyperlink" Target="javascript:void(0);" TargetMode="External"/><Relationship Id="rId1335" Type="http://schemas.openxmlformats.org/officeDocument/2006/relationships/hyperlink" Target="javascript:void(0);" TargetMode="External"/><Relationship Id="rId1542" Type="http://schemas.openxmlformats.org/officeDocument/2006/relationships/hyperlink" Target="javascript:void(0);" TargetMode="External"/><Relationship Id="rId1987" Type="http://schemas.openxmlformats.org/officeDocument/2006/relationships/hyperlink" Target="javascript:void(0);" TargetMode="External"/><Relationship Id="rId912" Type="http://schemas.openxmlformats.org/officeDocument/2006/relationships/hyperlink" Target="javascript:void(0);" TargetMode="External"/><Relationship Id="rId1847" Type="http://schemas.openxmlformats.org/officeDocument/2006/relationships/hyperlink" Target="javascript:void(0);" TargetMode="External"/><Relationship Id="rId41" Type="http://schemas.openxmlformats.org/officeDocument/2006/relationships/hyperlink" Target="javascript:void(0);" TargetMode="External"/><Relationship Id="rId1402" Type="http://schemas.openxmlformats.org/officeDocument/2006/relationships/hyperlink" Target="javascript:void(0);" TargetMode="External"/><Relationship Id="rId1707" Type="http://schemas.openxmlformats.org/officeDocument/2006/relationships/hyperlink" Target="javascript:void(0);" TargetMode="External"/><Relationship Id="rId190" Type="http://schemas.openxmlformats.org/officeDocument/2006/relationships/hyperlink" Target="javascript:void(0);" TargetMode="External"/><Relationship Id="rId288" Type="http://schemas.openxmlformats.org/officeDocument/2006/relationships/hyperlink" Target="javascript:void(0);" TargetMode="External"/><Relationship Id="rId1914" Type="http://schemas.openxmlformats.org/officeDocument/2006/relationships/hyperlink" Target="javascript:void(0);" TargetMode="External"/><Relationship Id="rId495" Type="http://schemas.openxmlformats.org/officeDocument/2006/relationships/hyperlink" Target="javascript:void(0);" TargetMode="External"/><Relationship Id="rId2176" Type="http://schemas.openxmlformats.org/officeDocument/2006/relationships/hyperlink" Target="javascript:void(0);" TargetMode="External"/><Relationship Id="rId148" Type="http://schemas.openxmlformats.org/officeDocument/2006/relationships/hyperlink" Target="javascript:void(0);" TargetMode="External"/><Relationship Id="rId355" Type="http://schemas.openxmlformats.org/officeDocument/2006/relationships/hyperlink" Target="javascript:void(0);" TargetMode="External"/><Relationship Id="rId562" Type="http://schemas.openxmlformats.org/officeDocument/2006/relationships/hyperlink" Target="javascript:void(0);" TargetMode="External"/><Relationship Id="rId1192" Type="http://schemas.openxmlformats.org/officeDocument/2006/relationships/hyperlink" Target="javascript:void(0);" TargetMode="External"/><Relationship Id="rId2036" Type="http://schemas.openxmlformats.org/officeDocument/2006/relationships/hyperlink" Target="javascript:void(0);" TargetMode="External"/><Relationship Id="rId2243" Type="http://schemas.openxmlformats.org/officeDocument/2006/relationships/hyperlink" Target="javascript:void(0);" TargetMode="External"/><Relationship Id="rId215" Type="http://schemas.openxmlformats.org/officeDocument/2006/relationships/hyperlink" Target="javascript:void(0);" TargetMode="External"/><Relationship Id="rId422" Type="http://schemas.openxmlformats.org/officeDocument/2006/relationships/hyperlink" Target="javascript:void(0);" TargetMode="External"/><Relationship Id="rId867" Type="http://schemas.openxmlformats.org/officeDocument/2006/relationships/hyperlink" Target="javascript:void(0);" TargetMode="External"/><Relationship Id="rId1052" Type="http://schemas.openxmlformats.org/officeDocument/2006/relationships/hyperlink" Target="javascript:void(0);" TargetMode="External"/><Relationship Id="rId1497" Type="http://schemas.openxmlformats.org/officeDocument/2006/relationships/hyperlink" Target="javascript:void(0);" TargetMode="External"/><Relationship Id="rId2103" Type="http://schemas.openxmlformats.org/officeDocument/2006/relationships/hyperlink" Target="javascript:void(0);" TargetMode="External"/><Relationship Id="rId299" Type="http://schemas.openxmlformats.org/officeDocument/2006/relationships/hyperlink" Target="javascript:void(0);" TargetMode="External"/><Relationship Id="rId727" Type="http://schemas.openxmlformats.org/officeDocument/2006/relationships/hyperlink" Target="javascript:void(0);" TargetMode="External"/><Relationship Id="rId934" Type="http://schemas.openxmlformats.org/officeDocument/2006/relationships/hyperlink" Target="javascript:void(0);" TargetMode="External"/><Relationship Id="rId1357" Type="http://schemas.openxmlformats.org/officeDocument/2006/relationships/hyperlink" Target="javascript:void(0);" TargetMode="External"/><Relationship Id="rId1564" Type="http://schemas.openxmlformats.org/officeDocument/2006/relationships/hyperlink" Target="javascript:void(0);" TargetMode="External"/><Relationship Id="rId1771" Type="http://schemas.openxmlformats.org/officeDocument/2006/relationships/hyperlink" Target="javascript:void(0);" TargetMode="External"/><Relationship Id="rId2187" Type="http://schemas.openxmlformats.org/officeDocument/2006/relationships/hyperlink" Target="javascript:void(0);" TargetMode="External"/><Relationship Id="rId63" Type="http://schemas.openxmlformats.org/officeDocument/2006/relationships/hyperlink" Target="javascript:void(0);" TargetMode="External"/><Relationship Id="rId159" Type="http://schemas.openxmlformats.org/officeDocument/2006/relationships/hyperlink" Target="javascript:void(0);" TargetMode="External"/><Relationship Id="rId366" Type="http://schemas.openxmlformats.org/officeDocument/2006/relationships/hyperlink" Target="javascript:void(0);" TargetMode="External"/><Relationship Id="rId573" Type="http://schemas.openxmlformats.org/officeDocument/2006/relationships/hyperlink" Target="javascript:void(0);" TargetMode="External"/><Relationship Id="rId780" Type="http://schemas.openxmlformats.org/officeDocument/2006/relationships/hyperlink" Target="javascript:void(0);" TargetMode="External"/><Relationship Id="rId1217" Type="http://schemas.openxmlformats.org/officeDocument/2006/relationships/hyperlink" Target="javascript:void(0);" TargetMode="External"/><Relationship Id="rId1424" Type="http://schemas.openxmlformats.org/officeDocument/2006/relationships/hyperlink" Target="javascript:void(0);" TargetMode="External"/><Relationship Id="rId1631" Type="http://schemas.openxmlformats.org/officeDocument/2006/relationships/hyperlink" Target="javascript:void(0);" TargetMode="External"/><Relationship Id="rId1869" Type="http://schemas.openxmlformats.org/officeDocument/2006/relationships/hyperlink" Target="javascript:void(0);" TargetMode="External"/><Relationship Id="rId2047" Type="http://schemas.openxmlformats.org/officeDocument/2006/relationships/hyperlink" Target="javascript:void(0);" TargetMode="External"/><Relationship Id="rId2254" Type="http://schemas.openxmlformats.org/officeDocument/2006/relationships/hyperlink" Target="javascript:void(0);" TargetMode="External"/><Relationship Id="rId226" Type="http://schemas.openxmlformats.org/officeDocument/2006/relationships/hyperlink" Target="javascript:void(0);" TargetMode="External"/><Relationship Id="rId433" Type="http://schemas.openxmlformats.org/officeDocument/2006/relationships/hyperlink" Target="javascript:void(0);" TargetMode="External"/><Relationship Id="rId878" Type="http://schemas.openxmlformats.org/officeDocument/2006/relationships/hyperlink" Target="javascript:void(0);" TargetMode="External"/><Relationship Id="rId1063" Type="http://schemas.openxmlformats.org/officeDocument/2006/relationships/hyperlink" Target="javascript:void(0);" TargetMode="External"/><Relationship Id="rId1270" Type="http://schemas.openxmlformats.org/officeDocument/2006/relationships/hyperlink" Target="javascript:void(0);" TargetMode="External"/><Relationship Id="rId1729" Type="http://schemas.openxmlformats.org/officeDocument/2006/relationships/hyperlink" Target="javascript:void(0);" TargetMode="External"/><Relationship Id="rId1936" Type="http://schemas.openxmlformats.org/officeDocument/2006/relationships/hyperlink" Target="javascript:void(0);" TargetMode="External"/><Relationship Id="rId2114" Type="http://schemas.openxmlformats.org/officeDocument/2006/relationships/hyperlink" Target="javascript:void(0);" TargetMode="External"/><Relationship Id="rId640" Type="http://schemas.openxmlformats.org/officeDocument/2006/relationships/hyperlink" Target="javascript:void(0);" TargetMode="External"/><Relationship Id="rId738" Type="http://schemas.openxmlformats.org/officeDocument/2006/relationships/hyperlink" Target="javascript:void(0);" TargetMode="External"/><Relationship Id="rId945" Type="http://schemas.openxmlformats.org/officeDocument/2006/relationships/hyperlink" Target="javascript:void(0);" TargetMode="External"/><Relationship Id="rId1368" Type="http://schemas.openxmlformats.org/officeDocument/2006/relationships/hyperlink" Target="javascript:void(0);" TargetMode="External"/><Relationship Id="rId1575" Type="http://schemas.openxmlformats.org/officeDocument/2006/relationships/hyperlink" Target="javascript:void(0);" TargetMode="External"/><Relationship Id="rId1782" Type="http://schemas.openxmlformats.org/officeDocument/2006/relationships/hyperlink" Target="javascript:void(0);" TargetMode="External"/><Relationship Id="rId2198" Type="http://schemas.openxmlformats.org/officeDocument/2006/relationships/hyperlink" Target="javascript:void(0);" TargetMode="External"/><Relationship Id="rId74" Type="http://schemas.openxmlformats.org/officeDocument/2006/relationships/hyperlink" Target="javascript:void(0);" TargetMode="External"/><Relationship Id="rId377" Type="http://schemas.openxmlformats.org/officeDocument/2006/relationships/hyperlink" Target="javascript:void(0);" TargetMode="External"/><Relationship Id="rId500" Type="http://schemas.openxmlformats.org/officeDocument/2006/relationships/hyperlink" Target="javascript:void(0);" TargetMode="External"/><Relationship Id="rId584" Type="http://schemas.openxmlformats.org/officeDocument/2006/relationships/hyperlink" Target="javascript:void(0);" TargetMode="External"/><Relationship Id="rId805" Type="http://schemas.openxmlformats.org/officeDocument/2006/relationships/hyperlink" Target="javascript:void(0);" TargetMode="External"/><Relationship Id="rId1130" Type="http://schemas.openxmlformats.org/officeDocument/2006/relationships/hyperlink" Target="javascript:void(0);" TargetMode="External"/><Relationship Id="rId1228" Type="http://schemas.openxmlformats.org/officeDocument/2006/relationships/hyperlink" Target="javascript:void(0);" TargetMode="External"/><Relationship Id="rId1435" Type="http://schemas.openxmlformats.org/officeDocument/2006/relationships/hyperlink" Target="javascript:void(0);" TargetMode="External"/><Relationship Id="rId2058" Type="http://schemas.openxmlformats.org/officeDocument/2006/relationships/hyperlink" Target="javascript:void(0);" TargetMode="External"/><Relationship Id="rId2265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237" Type="http://schemas.openxmlformats.org/officeDocument/2006/relationships/hyperlink" Target="javascript:void(0);" TargetMode="External"/><Relationship Id="rId791" Type="http://schemas.openxmlformats.org/officeDocument/2006/relationships/hyperlink" Target="javascript:void(0);" TargetMode="External"/><Relationship Id="rId889" Type="http://schemas.openxmlformats.org/officeDocument/2006/relationships/hyperlink" Target="javascript:void(0);" TargetMode="External"/><Relationship Id="rId1074" Type="http://schemas.openxmlformats.org/officeDocument/2006/relationships/hyperlink" Target="javascript:void(0);" TargetMode="External"/><Relationship Id="rId1642" Type="http://schemas.openxmlformats.org/officeDocument/2006/relationships/hyperlink" Target="javascript:void(0);" TargetMode="External"/><Relationship Id="rId1947" Type="http://schemas.openxmlformats.org/officeDocument/2006/relationships/hyperlink" Target="javascript:void(0);" TargetMode="External"/><Relationship Id="rId444" Type="http://schemas.openxmlformats.org/officeDocument/2006/relationships/hyperlink" Target="javascript:void(0);" TargetMode="External"/><Relationship Id="rId651" Type="http://schemas.openxmlformats.org/officeDocument/2006/relationships/hyperlink" Target="javascript:void(0);" TargetMode="External"/><Relationship Id="rId749" Type="http://schemas.openxmlformats.org/officeDocument/2006/relationships/hyperlink" Target="javascript:void(0);" TargetMode="External"/><Relationship Id="rId1281" Type="http://schemas.openxmlformats.org/officeDocument/2006/relationships/hyperlink" Target="javascript:void(0);" TargetMode="External"/><Relationship Id="rId1379" Type="http://schemas.openxmlformats.org/officeDocument/2006/relationships/hyperlink" Target="javascript:void(0);" TargetMode="External"/><Relationship Id="rId1502" Type="http://schemas.openxmlformats.org/officeDocument/2006/relationships/hyperlink" Target="javascript:void(0);" TargetMode="External"/><Relationship Id="rId1586" Type="http://schemas.openxmlformats.org/officeDocument/2006/relationships/hyperlink" Target="javascript:void(0);" TargetMode="External"/><Relationship Id="rId1807" Type="http://schemas.openxmlformats.org/officeDocument/2006/relationships/hyperlink" Target="javascript:void(0);" TargetMode="External"/><Relationship Id="rId2125" Type="http://schemas.openxmlformats.org/officeDocument/2006/relationships/hyperlink" Target="javascript:void(0);" TargetMode="External"/><Relationship Id="rId290" Type="http://schemas.openxmlformats.org/officeDocument/2006/relationships/hyperlink" Target="javascript:void(0);" TargetMode="External"/><Relationship Id="rId304" Type="http://schemas.openxmlformats.org/officeDocument/2006/relationships/hyperlink" Target="javascript:void(0);" TargetMode="External"/><Relationship Id="rId388" Type="http://schemas.openxmlformats.org/officeDocument/2006/relationships/hyperlink" Target="javascript:void(0);" TargetMode="External"/><Relationship Id="rId511" Type="http://schemas.openxmlformats.org/officeDocument/2006/relationships/hyperlink" Target="javascript:void(0);" TargetMode="External"/><Relationship Id="rId609" Type="http://schemas.openxmlformats.org/officeDocument/2006/relationships/hyperlink" Target="javascript:void(0);" TargetMode="External"/><Relationship Id="rId956" Type="http://schemas.openxmlformats.org/officeDocument/2006/relationships/hyperlink" Target="javascript:void(0);" TargetMode="External"/><Relationship Id="rId1141" Type="http://schemas.openxmlformats.org/officeDocument/2006/relationships/hyperlink" Target="javascript:void(0);" TargetMode="External"/><Relationship Id="rId1239" Type="http://schemas.openxmlformats.org/officeDocument/2006/relationships/hyperlink" Target="javascript:void(0);" TargetMode="External"/><Relationship Id="rId1793" Type="http://schemas.openxmlformats.org/officeDocument/2006/relationships/hyperlink" Target="javascript:void(0);" TargetMode="External"/><Relationship Id="rId2069" Type="http://schemas.openxmlformats.org/officeDocument/2006/relationships/hyperlink" Target="javascript:void(0);" TargetMode="External"/><Relationship Id="rId85" Type="http://schemas.openxmlformats.org/officeDocument/2006/relationships/hyperlink" Target="javascript:void(0);" TargetMode="External"/><Relationship Id="rId150" Type="http://schemas.openxmlformats.org/officeDocument/2006/relationships/hyperlink" Target="javascript:void(0);" TargetMode="External"/><Relationship Id="rId595" Type="http://schemas.openxmlformats.org/officeDocument/2006/relationships/hyperlink" Target="javascript:void(0);" TargetMode="External"/><Relationship Id="rId816" Type="http://schemas.openxmlformats.org/officeDocument/2006/relationships/hyperlink" Target="javascript:void(0);" TargetMode="External"/><Relationship Id="rId1001" Type="http://schemas.openxmlformats.org/officeDocument/2006/relationships/hyperlink" Target="javascript:void(0);" TargetMode="External"/><Relationship Id="rId1446" Type="http://schemas.openxmlformats.org/officeDocument/2006/relationships/hyperlink" Target="javascript:void(0);" TargetMode="External"/><Relationship Id="rId1653" Type="http://schemas.openxmlformats.org/officeDocument/2006/relationships/hyperlink" Target="javascript:void(0);" TargetMode="External"/><Relationship Id="rId1860" Type="http://schemas.openxmlformats.org/officeDocument/2006/relationships/hyperlink" Target="javascript:void(0);" TargetMode="External"/><Relationship Id="rId2276" Type="http://schemas.openxmlformats.org/officeDocument/2006/relationships/hyperlink" Target="javascript:void(0);" TargetMode="External"/><Relationship Id="rId248" Type="http://schemas.openxmlformats.org/officeDocument/2006/relationships/hyperlink" Target="javascript:void(0);" TargetMode="External"/><Relationship Id="rId455" Type="http://schemas.openxmlformats.org/officeDocument/2006/relationships/hyperlink" Target="javascript:void(0);" TargetMode="External"/><Relationship Id="rId662" Type="http://schemas.openxmlformats.org/officeDocument/2006/relationships/hyperlink" Target="javascript:void(0);" TargetMode="External"/><Relationship Id="rId1085" Type="http://schemas.openxmlformats.org/officeDocument/2006/relationships/hyperlink" Target="javascript:void(0);" TargetMode="External"/><Relationship Id="rId1292" Type="http://schemas.openxmlformats.org/officeDocument/2006/relationships/hyperlink" Target="javascript:void(0);" TargetMode="External"/><Relationship Id="rId1306" Type="http://schemas.openxmlformats.org/officeDocument/2006/relationships/hyperlink" Target="javascript:void(0);" TargetMode="External"/><Relationship Id="rId1513" Type="http://schemas.openxmlformats.org/officeDocument/2006/relationships/hyperlink" Target="javascript:void(0);" TargetMode="External"/><Relationship Id="rId1720" Type="http://schemas.openxmlformats.org/officeDocument/2006/relationships/hyperlink" Target="javascript:void(0);" TargetMode="External"/><Relationship Id="rId1958" Type="http://schemas.openxmlformats.org/officeDocument/2006/relationships/hyperlink" Target="javascript:void(0);" TargetMode="External"/><Relationship Id="rId2136" Type="http://schemas.openxmlformats.org/officeDocument/2006/relationships/hyperlink" Target="javascript:void(0);" TargetMode="External"/><Relationship Id="rId12" Type="http://schemas.openxmlformats.org/officeDocument/2006/relationships/hyperlink" Target="javascript:void(0);" TargetMode="External"/><Relationship Id="rId108" Type="http://schemas.openxmlformats.org/officeDocument/2006/relationships/hyperlink" Target="javascript:void(0);" TargetMode="External"/><Relationship Id="rId315" Type="http://schemas.openxmlformats.org/officeDocument/2006/relationships/hyperlink" Target="javascript:void(0);" TargetMode="External"/><Relationship Id="rId522" Type="http://schemas.openxmlformats.org/officeDocument/2006/relationships/hyperlink" Target="javascript:void(0);" TargetMode="External"/><Relationship Id="rId967" Type="http://schemas.openxmlformats.org/officeDocument/2006/relationships/hyperlink" Target="javascript:void(0);" TargetMode="External"/><Relationship Id="rId1152" Type="http://schemas.openxmlformats.org/officeDocument/2006/relationships/hyperlink" Target="javascript:void(0);" TargetMode="External"/><Relationship Id="rId1597" Type="http://schemas.openxmlformats.org/officeDocument/2006/relationships/hyperlink" Target="javascript:void(0);" TargetMode="External"/><Relationship Id="rId1818" Type="http://schemas.openxmlformats.org/officeDocument/2006/relationships/hyperlink" Target="javascript:void(0);" TargetMode="External"/><Relationship Id="rId2203" Type="http://schemas.openxmlformats.org/officeDocument/2006/relationships/hyperlink" Target="javascript:void(0);" TargetMode="External"/><Relationship Id="rId96" Type="http://schemas.openxmlformats.org/officeDocument/2006/relationships/hyperlink" Target="javascript:void(0);" TargetMode="External"/><Relationship Id="rId161" Type="http://schemas.openxmlformats.org/officeDocument/2006/relationships/hyperlink" Target="javascript:void(0);" TargetMode="External"/><Relationship Id="rId399" Type="http://schemas.openxmlformats.org/officeDocument/2006/relationships/hyperlink" Target="javascript:void(0);" TargetMode="External"/><Relationship Id="rId827" Type="http://schemas.openxmlformats.org/officeDocument/2006/relationships/hyperlink" Target="javascript:void(0);" TargetMode="External"/><Relationship Id="rId1012" Type="http://schemas.openxmlformats.org/officeDocument/2006/relationships/hyperlink" Target="javascript:void(0);" TargetMode="External"/><Relationship Id="rId1457" Type="http://schemas.openxmlformats.org/officeDocument/2006/relationships/hyperlink" Target="javascript:void(0);" TargetMode="External"/><Relationship Id="rId1664" Type="http://schemas.openxmlformats.org/officeDocument/2006/relationships/hyperlink" Target="javascript:void(0);" TargetMode="External"/><Relationship Id="rId1871" Type="http://schemas.openxmlformats.org/officeDocument/2006/relationships/hyperlink" Target="javascript:void(0);" TargetMode="External"/><Relationship Id="rId2287" Type="http://schemas.openxmlformats.org/officeDocument/2006/relationships/hyperlink" Target="javascript:void(0);" TargetMode="External"/><Relationship Id="rId259" Type="http://schemas.openxmlformats.org/officeDocument/2006/relationships/hyperlink" Target="javascript:void(0);" TargetMode="External"/><Relationship Id="rId466" Type="http://schemas.openxmlformats.org/officeDocument/2006/relationships/hyperlink" Target="javascript:void(0);" TargetMode="External"/><Relationship Id="rId673" Type="http://schemas.openxmlformats.org/officeDocument/2006/relationships/hyperlink" Target="javascript:void(0);" TargetMode="External"/><Relationship Id="rId880" Type="http://schemas.openxmlformats.org/officeDocument/2006/relationships/hyperlink" Target="javascript:void(0);" TargetMode="External"/><Relationship Id="rId1096" Type="http://schemas.openxmlformats.org/officeDocument/2006/relationships/hyperlink" Target="javascript:void(0);" TargetMode="External"/><Relationship Id="rId1317" Type="http://schemas.openxmlformats.org/officeDocument/2006/relationships/hyperlink" Target="javascript:void(0);" TargetMode="External"/><Relationship Id="rId1524" Type="http://schemas.openxmlformats.org/officeDocument/2006/relationships/hyperlink" Target="javascript:void(0);" TargetMode="External"/><Relationship Id="rId1731" Type="http://schemas.openxmlformats.org/officeDocument/2006/relationships/hyperlink" Target="javascript:void(0);" TargetMode="External"/><Relationship Id="rId1969" Type="http://schemas.openxmlformats.org/officeDocument/2006/relationships/hyperlink" Target="javascript:void(0);" TargetMode="External"/><Relationship Id="rId2147" Type="http://schemas.openxmlformats.org/officeDocument/2006/relationships/hyperlink" Target="javascript:void(0);" TargetMode="External"/><Relationship Id="rId23" Type="http://schemas.openxmlformats.org/officeDocument/2006/relationships/hyperlink" Target="javascript:void(0);" TargetMode="External"/><Relationship Id="rId119" Type="http://schemas.openxmlformats.org/officeDocument/2006/relationships/hyperlink" Target="javascript:void(0);" TargetMode="External"/><Relationship Id="rId326" Type="http://schemas.openxmlformats.org/officeDocument/2006/relationships/hyperlink" Target="javascript:void(0);" TargetMode="External"/><Relationship Id="rId533" Type="http://schemas.openxmlformats.org/officeDocument/2006/relationships/hyperlink" Target="javascript:void(0);" TargetMode="External"/><Relationship Id="rId978" Type="http://schemas.openxmlformats.org/officeDocument/2006/relationships/hyperlink" Target="javascript:void(0);" TargetMode="External"/><Relationship Id="rId1163" Type="http://schemas.openxmlformats.org/officeDocument/2006/relationships/hyperlink" Target="javascript:void(0);" TargetMode="External"/><Relationship Id="rId1370" Type="http://schemas.openxmlformats.org/officeDocument/2006/relationships/hyperlink" Target="javascript:void(0);" TargetMode="External"/><Relationship Id="rId1829" Type="http://schemas.openxmlformats.org/officeDocument/2006/relationships/hyperlink" Target="javascript:void(0);" TargetMode="External"/><Relationship Id="rId2007" Type="http://schemas.openxmlformats.org/officeDocument/2006/relationships/hyperlink" Target="javascript:void(0);" TargetMode="External"/><Relationship Id="rId2214" Type="http://schemas.openxmlformats.org/officeDocument/2006/relationships/hyperlink" Target="javascript:void(0);" TargetMode="External"/><Relationship Id="rId740" Type="http://schemas.openxmlformats.org/officeDocument/2006/relationships/hyperlink" Target="javascript:void(0);" TargetMode="External"/><Relationship Id="rId838" Type="http://schemas.openxmlformats.org/officeDocument/2006/relationships/hyperlink" Target="javascript:void(0);" TargetMode="External"/><Relationship Id="rId1023" Type="http://schemas.openxmlformats.org/officeDocument/2006/relationships/hyperlink" Target="javascript:void(0);" TargetMode="External"/><Relationship Id="rId1468" Type="http://schemas.openxmlformats.org/officeDocument/2006/relationships/hyperlink" Target="javascript:void(0);" TargetMode="External"/><Relationship Id="rId1675" Type="http://schemas.openxmlformats.org/officeDocument/2006/relationships/hyperlink" Target="javascript:void(0);" TargetMode="External"/><Relationship Id="rId1882" Type="http://schemas.openxmlformats.org/officeDocument/2006/relationships/hyperlink" Target="javascript:void(0);" TargetMode="External"/><Relationship Id="rId2298" Type="http://schemas.openxmlformats.org/officeDocument/2006/relationships/hyperlink" Target="javascript:void(0);" TargetMode="External"/><Relationship Id="rId172" Type="http://schemas.openxmlformats.org/officeDocument/2006/relationships/hyperlink" Target="javascript:void(0);" TargetMode="External"/><Relationship Id="rId477" Type="http://schemas.openxmlformats.org/officeDocument/2006/relationships/hyperlink" Target="javascript:void(0);" TargetMode="External"/><Relationship Id="rId600" Type="http://schemas.openxmlformats.org/officeDocument/2006/relationships/hyperlink" Target="javascript:void(0);" TargetMode="External"/><Relationship Id="rId684" Type="http://schemas.openxmlformats.org/officeDocument/2006/relationships/hyperlink" Target="javascript:void(0);" TargetMode="External"/><Relationship Id="rId1230" Type="http://schemas.openxmlformats.org/officeDocument/2006/relationships/hyperlink" Target="javascript:void(0);" TargetMode="External"/><Relationship Id="rId1328" Type="http://schemas.openxmlformats.org/officeDocument/2006/relationships/hyperlink" Target="javascript:void(0);" TargetMode="External"/><Relationship Id="rId1535" Type="http://schemas.openxmlformats.org/officeDocument/2006/relationships/hyperlink" Target="javascript:void(0);" TargetMode="External"/><Relationship Id="rId2060" Type="http://schemas.openxmlformats.org/officeDocument/2006/relationships/hyperlink" Target="javascript:void(0);" TargetMode="External"/><Relationship Id="rId2158" Type="http://schemas.openxmlformats.org/officeDocument/2006/relationships/hyperlink" Target="javascript:void(0);" TargetMode="External"/><Relationship Id="rId337" Type="http://schemas.openxmlformats.org/officeDocument/2006/relationships/hyperlink" Target="javascript:void(0);" TargetMode="External"/><Relationship Id="rId891" Type="http://schemas.openxmlformats.org/officeDocument/2006/relationships/hyperlink" Target="javascript:void(0);" TargetMode="External"/><Relationship Id="rId905" Type="http://schemas.openxmlformats.org/officeDocument/2006/relationships/hyperlink" Target="javascript:void(0);" TargetMode="External"/><Relationship Id="rId989" Type="http://schemas.openxmlformats.org/officeDocument/2006/relationships/hyperlink" Target="javascript:void(0);" TargetMode="External"/><Relationship Id="rId1742" Type="http://schemas.openxmlformats.org/officeDocument/2006/relationships/hyperlink" Target="javascript:void(0);" TargetMode="External"/><Relationship Id="rId2018" Type="http://schemas.openxmlformats.org/officeDocument/2006/relationships/hyperlink" Target="javascript:void(0);" TargetMode="External"/><Relationship Id="rId34" Type="http://schemas.openxmlformats.org/officeDocument/2006/relationships/hyperlink" Target="javascript:void(0);" TargetMode="External"/><Relationship Id="rId544" Type="http://schemas.openxmlformats.org/officeDocument/2006/relationships/hyperlink" Target="javascript:void(0);" TargetMode="External"/><Relationship Id="rId751" Type="http://schemas.openxmlformats.org/officeDocument/2006/relationships/hyperlink" Target="javascript:void(0);" TargetMode="External"/><Relationship Id="rId849" Type="http://schemas.openxmlformats.org/officeDocument/2006/relationships/hyperlink" Target="javascript:void(0);" TargetMode="External"/><Relationship Id="rId1174" Type="http://schemas.openxmlformats.org/officeDocument/2006/relationships/hyperlink" Target="javascript:void(0);" TargetMode="External"/><Relationship Id="rId1381" Type="http://schemas.openxmlformats.org/officeDocument/2006/relationships/hyperlink" Target="javascript:void(0);" TargetMode="External"/><Relationship Id="rId1479" Type="http://schemas.openxmlformats.org/officeDocument/2006/relationships/hyperlink" Target="javascript:void(0);" TargetMode="External"/><Relationship Id="rId1602" Type="http://schemas.openxmlformats.org/officeDocument/2006/relationships/hyperlink" Target="javascript:void(0);" TargetMode="External"/><Relationship Id="rId1686" Type="http://schemas.openxmlformats.org/officeDocument/2006/relationships/hyperlink" Target="javascript:void(0);" TargetMode="External"/><Relationship Id="rId2225" Type="http://schemas.openxmlformats.org/officeDocument/2006/relationships/hyperlink" Target="javascript:void(0);" TargetMode="External"/><Relationship Id="rId183" Type="http://schemas.openxmlformats.org/officeDocument/2006/relationships/hyperlink" Target="javascript:void(0);" TargetMode="External"/><Relationship Id="rId390" Type="http://schemas.openxmlformats.org/officeDocument/2006/relationships/hyperlink" Target="javascript:void(0);" TargetMode="External"/><Relationship Id="rId404" Type="http://schemas.openxmlformats.org/officeDocument/2006/relationships/hyperlink" Target="javascript:void(0);" TargetMode="External"/><Relationship Id="rId611" Type="http://schemas.openxmlformats.org/officeDocument/2006/relationships/hyperlink" Target="javascript:void(0);" TargetMode="External"/><Relationship Id="rId1034" Type="http://schemas.openxmlformats.org/officeDocument/2006/relationships/hyperlink" Target="javascript:void(0);" TargetMode="External"/><Relationship Id="rId1241" Type="http://schemas.openxmlformats.org/officeDocument/2006/relationships/hyperlink" Target="javascript:void(0);" TargetMode="External"/><Relationship Id="rId1339" Type="http://schemas.openxmlformats.org/officeDocument/2006/relationships/hyperlink" Target="javascript:void(0);" TargetMode="External"/><Relationship Id="rId1893" Type="http://schemas.openxmlformats.org/officeDocument/2006/relationships/hyperlink" Target="javascript:void(0);" TargetMode="External"/><Relationship Id="rId1907" Type="http://schemas.openxmlformats.org/officeDocument/2006/relationships/hyperlink" Target="javascript:void(0);" TargetMode="External"/><Relationship Id="rId2071" Type="http://schemas.openxmlformats.org/officeDocument/2006/relationships/hyperlink" Target="javascript:void(0);" TargetMode="External"/><Relationship Id="rId250" Type="http://schemas.openxmlformats.org/officeDocument/2006/relationships/hyperlink" Target="javascript:void(0);" TargetMode="External"/><Relationship Id="rId488" Type="http://schemas.openxmlformats.org/officeDocument/2006/relationships/hyperlink" Target="javascript:void(0);" TargetMode="External"/><Relationship Id="rId695" Type="http://schemas.openxmlformats.org/officeDocument/2006/relationships/hyperlink" Target="javascript:void(0);" TargetMode="External"/><Relationship Id="rId709" Type="http://schemas.openxmlformats.org/officeDocument/2006/relationships/hyperlink" Target="javascript:void(0);" TargetMode="External"/><Relationship Id="rId916" Type="http://schemas.openxmlformats.org/officeDocument/2006/relationships/hyperlink" Target="javascript:void(0);" TargetMode="External"/><Relationship Id="rId1101" Type="http://schemas.openxmlformats.org/officeDocument/2006/relationships/hyperlink" Target="javascript:void(0);" TargetMode="External"/><Relationship Id="rId1546" Type="http://schemas.openxmlformats.org/officeDocument/2006/relationships/hyperlink" Target="javascript:void(0);" TargetMode="External"/><Relationship Id="rId1753" Type="http://schemas.openxmlformats.org/officeDocument/2006/relationships/hyperlink" Target="javascript:void(0);" TargetMode="External"/><Relationship Id="rId1960" Type="http://schemas.openxmlformats.org/officeDocument/2006/relationships/hyperlink" Target="javascript:void(0);" TargetMode="External"/><Relationship Id="rId2169" Type="http://schemas.openxmlformats.org/officeDocument/2006/relationships/hyperlink" Target="javascript:void(0);" TargetMode="External"/><Relationship Id="rId45" Type="http://schemas.openxmlformats.org/officeDocument/2006/relationships/hyperlink" Target="javascript:void(0);" TargetMode="External"/><Relationship Id="rId110" Type="http://schemas.openxmlformats.org/officeDocument/2006/relationships/hyperlink" Target="javascript:void(0);" TargetMode="External"/><Relationship Id="rId348" Type="http://schemas.openxmlformats.org/officeDocument/2006/relationships/hyperlink" Target="javascript:void(0);" TargetMode="External"/><Relationship Id="rId555" Type="http://schemas.openxmlformats.org/officeDocument/2006/relationships/hyperlink" Target="javascript:void(0);" TargetMode="External"/><Relationship Id="rId762" Type="http://schemas.openxmlformats.org/officeDocument/2006/relationships/hyperlink" Target="javascript:void(0);" TargetMode="External"/><Relationship Id="rId1185" Type="http://schemas.openxmlformats.org/officeDocument/2006/relationships/hyperlink" Target="javascript:void(0);" TargetMode="External"/><Relationship Id="rId1392" Type="http://schemas.openxmlformats.org/officeDocument/2006/relationships/hyperlink" Target="javascript:void(0);" TargetMode="External"/><Relationship Id="rId1406" Type="http://schemas.openxmlformats.org/officeDocument/2006/relationships/hyperlink" Target="javascript:void(0);" TargetMode="External"/><Relationship Id="rId1613" Type="http://schemas.openxmlformats.org/officeDocument/2006/relationships/hyperlink" Target="javascript:void(0);" TargetMode="External"/><Relationship Id="rId1820" Type="http://schemas.openxmlformats.org/officeDocument/2006/relationships/hyperlink" Target="javascript:void(0);" TargetMode="External"/><Relationship Id="rId2029" Type="http://schemas.openxmlformats.org/officeDocument/2006/relationships/hyperlink" Target="javascript:void(0);" TargetMode="External"/><Relationship Id="rId2236" Type="http://schemas.openxmlformats.org/officeDocument/2006/relationships/hyperlink" Target="javascript:void(0);" TargetMode="External"/><Relationship Id="rId194" Type="http://schemas.openxmlformats.org/officeDocument/2006/relationships/hyperlink" Target="javascript:void(0);" TargetMode="External"/><Relationship Id="rId208" Type="http://schemas.openxmlformats.org/officeDocument/2006/relationships/hyperlink" Target="javascript:void(0);" TargetMode="External"/><Relationship Id="rId415" Type="http://schemas.openxmlformats.org/officeDocument/2006/relationships/hyperlink" Target="javascript:void(0);" TargetMode="External"/><Relationship Id="rId622" Type="http://schemas.openxmlformats.org/officeDocument/2006/relationships/hyperlink" Target="javascript:void(0);" TargetMode="External"/><Relationship Id="rId1045" Type="http://schemas.openxmlformats.org/officeDocument/2006/relationships/hyperlink" Target="javascript:void(0);" TargetMode="External"/><Relationship Id="rId1252" Type="http://schemas.openxmlformats.org/officeDocument/2006/relationships/hyperlink" Target="javascript:void(0);" TargetMode="External"/><Relationship Id="rId1697" Type="http://schemas.openxmlformats.org/officeDocument/2006/relationships/hyperlink" Target="javascript:void(0);" TargetMode="External"/><Relationship Id="rId1918" Type="http://schemas.openxmlformats.org/officeDocument/2006/relationships/hyperlink" Target="javascript:void(0);" TargetMode="External"/><Relationship Id="rId2082" Type="http://schemas.openxmlformats.org/officeDocument/2006/relationships/hyperlink" Target="javascript:void(0);" TargetMode="External"/><Relationship Id="rId261" Type="http://schemas.openxmlformats.org/officeDocument/2006/relationships/hyperlink" Target="javascript:void(0);" TargetMode="External"/><Relationship Id="rId499" Type="http://schemas.openxmlformats.org/officeDocument/2006/relationships/hyperlink" Target="javascript:void(0);" TargetMode="External"/><Relationship Id="rId927" Type="http://schemas.openxmlformats.org/officeDocument/2006/relationships/hyperlink" Target="javascript:void(0);" TargetMode="External"/><Relationship Id="rId1112" Type="http://schemas.openxmlformats.org/officeDocument/2006/relationships/hyperlink" Target="javascript:void(0);" TargetMode="External"/><Relationship Id="rId1557" Type="http://schemas.openxmlformats.org/officeDocument/2006/relationships/hyperlink" Target="javascript:void(0);" TargetMode="External"/><Relationship Id="rId1764" Type="http://schemas.openxmlformats.org/officeDocument/2006/relationships/hyperlink" Target="javascript:void(0);" TargetMode="External"/><Relationship Id="rId1971" Type="http://schemas.openxmlformats.org/officeDocument/2006/relationships/hyperlink" Target="javascript:void(0);" TargetMode="External"/><Relationship Id="rId56" Type="http://schemas.openxmlformats.org/officeDocument/2006/relationships/hyperlink" Target="javascript:void(0);" TargetMode="External"/><Relationship Id="rId359" Type="http://schemas.openxmlformats.org/officeDocument/2006/relationships/hyperlink" Target="javascript:void(0);" TargetMode="External"/><Relationship Id="rId566" Type="http://schemas.openxmlformats.org/officeDocument/2006/relationships/hyperlink" Target="javascript:void(0);" TargetMode="External"/><Relationship Id="rId773" Type="http://schemas.openxmlformats.org/officeDocument/2006/relationships/hyperlink" Target="javascript:void(0);" TargetMode="External"/><Relationship Id="rId1196" Type="http://schemas.openxmlformats.org/officeDocument/2006/relationships/hyperlink" Target="javascript:void(0);" TargetMode="External"/><Relationship Id="rId1417" Type="http://schemas.openxmlformats.org/officeDocument/2006/relationships/hyperlink" Target="javascript:void(0);" TargetMode="External"/><Relationship Id="rId1624" Type="http://schemas.openxmlformats.org/officeDocument/2006/relationships/hyperlink" Target="javascript:void(0);" TargetMode="External"/><Relationship Id="rId1831" Type="http://schemas.openxmlformats.org/officeDocument/2006/relationships/hyperlink" Target="javascript:void(0);" TargetMode="External"/><Relationship Id="rId2247" Type="http://schemas.openxmlformats.org/officeDocument/2006/relationships/hyperlink" Target="javascript:void(0);" TargetMode="External"/><Relationship Id="rId121" Type="http://schemas.openxmlformats.org/officeDocument/2006/relationships/hyperlink" Target="javascript:void(0);" TargetMode="External"/><Relationship Id="rId219" Type="http://schemas.openxmlformats.org/officeDocument/2006/relationships/hyperlink" Target="javascript:void(0);" TargetMode="External"/><Relationship Id="rId426" Type="http://schemas.openxmlformats.org/officeDocument/2006/relationships/hyperlink" Target="javascript:void(0);" TargetMode="External"/><Relationship Id="rId633" Type="http://schemas.openxmlformats.org/officeDocument/2006/relationships/hyperlink" Target="javascript:void(0);" TargetMode="External"/><Relationship Id="rId980" Type="http://schemas.openxmlformats.org/officeDocument/2006/relationships/hyperlink" Target="javascript:void(0);" TargetMode="External"/><Relationship Id="rId1056" Type="http://schemas.openxmlformats.org/officeDocument/2006/relationships/hyperlink" Target="javascript:void(0);" TargetMode="External"/><Relationship Id="rId1263" Type="http://schemas.openxmlformats.org/officeDocument/2006/relationships/hyperlink" Target="javascript:void(0);" TargetMode="External"/><Relationship Id="rId1929" Type="http://schemas.openxmlformats.org/officeDocument/2006/relationships/hyperlink" Target="javascript:void(0);" TargetMode="External"/><Relationship Id="rId2093" Type="http://schemas.openxmlformats.org/officeDocument/2006/relationships/hyperlink" Target="javascript:void(0);" TargetMode="External"/><Relationship Id="rId2107" Type="http://schemas.openxmlformats.org/officeDocument/2006/relationships/hyperlink" Target="javascript:void(0);" TargetMode="External"/><Relationship Id="rId840" Type="http://schemas.openxmlformats.org/officeDocument/2006/relationships/hyperlink" Target="javascript:void(0);" TargetMode="External"/><Relationship Id="rId938" Type="http://schemas.openxmlformats.org/officeDocument/2006/relationships/hyperlink" Target="javascript:void(0);" TargetMode="External"/><Relationship Id="rId1470" Type="http://schemas.openxmlformats.org/officeDocument/2006/relationships/hyperlink" Target="javascript:void(0);" TargetMode="External"/><Relationship Id="rId1568" Type="http://schemas.openxmlformats.org/officeDocument/2006/relationships/hyperlink" Target="javascript:void(0);" TargetMode="External"/><Relationship Id="rId1775" Type="http://schemas.openxmlformats.org/officeDocument/2006/relationships/hyperlink" Target="javascript:void(0);" TargetMode="External"/><Relationship Id="rId67" Type="http://schemas.openxmlformats.org/officeDocument/2006/relationships/hyperlink" Target="javascript:void(0);" TargetMode="External"/><Relationship Id="rId272" Type="http://schemas.openxmlformats.org/officeDocument/2006/relationships/hyperlink" Target="javascript:void(0);" TargetMode="External"/><Relationship Id="rId577" Type="http://schemas.openxmlformats.org/officeDocument/2006/relationships/hyperlink" Target="javascript:void(0);" TargetMode="External"/><Relationship Id="rId700" Type="http://schemas.openxmlformats.org/officeDocument/2006/relationships/hyperlink" Target="javascript:void(0);" TargetMode="External"/><Relationship Id="rId1123" Type="http://schemas.openxmlformats.org/officeDocument/2006/relationships/hyperlink" Target="javascript:void(0);" TargetMode="External"/><Relationship Id="rId1330" Type="http://schemas.openxmlformats.org/officeDocument/2006/relationships/hyperlink" Target="javascript:void(0);" TargetMode="External"/><Relationship Id="rId1428" Type="http://schemas.openxmlformats.org/officeDocument/2006/relationships/hyperlink" Target="javascript:void(0);" TargetMode="External"/><Relationship Id="rId1635" Type="http://schemas.openxmlformats.org/officeDocument/2006/relationships/hyperlink" Target="javascript:void(0);" TargetMode="External"/><Relationship Id="rId1982" Type="http://schemas.openxmlformats.org/officeDocument/2006/relationships/hyperlink" Target="javascript:void(0);" TargetMode="External"/><Relationship Id="rId2160" Type="http://schemas.openxmlformats.org/officeDocument/2006/relationships/hyperlink" Target="javascript:void(0);" TargetMode="External"/><Relationship Id="rId2258" Type="http://schemas.openxmlformats.org/officeDocument/2006/relationships/hyperlink" Target="javascript:void(0);" TargetMode="External"/><Relationship Id="rId132" Type="http://schemas.openxmlformats.org/officeDocument/2006/relationships/hyperlink" Target="javascript:void(0);" TargetMode="External"/><Relationship Id="rId784" Type="http://schemas.openxmlformats.org/officeDocument/2006/relationships/hyperlink" Target="javascript:void(0);" TargetMode="External"/><Relationship Id="rId991" Type="http://schemas.openxmlformats.org/officeDocument/2006/relationships/hyperlink" Target="javascript:void(0);" TargetMode="External"/><Relationship Id="rId1067" Type="http://schemas.openxmlformats.org/officeDocument/2006/relationships/hyperlink" Target="javascript:void(0);" TargetMode="External"/><Relationship Id="rId1842" Type="http://schemas.openxmlformats.org/officeDocument/2006/relationships/hyperlink" Target="javascript:void(0);" TargetMode="External"/><Relationship Id="rId2020" Type="http://schemas.openxmlformats.org/officeDocument/2006/relationships/hyperlink" Target="javascript:void(0);" TargetMode="External"/><Relationship Id="rId437" Type="http://schemas.openxmlformats.org/officeDocument/2006/relationships/hyperlink" Target="javascript:void(0);" TargetMode="External"/><Relationship Id="rId644" Type="http://schemas.openxmlformats.org/officeDocument/2006/relationships/hyperlink" Target="javascript:void(0);" TargetMode="External"/><Relationship Id="rId851" Type="http://schemas.openxmlformats.org/officeDocument/2006/relationships/hyperlink" Target="javascript:void(0);" TargetMode="External"/><Relationship Id="rId1274" Type="http://schemas.openxmlformats.org/officeDocument/2006/relationships/hyperlink" Target="javascript:void(0);" TargetMode="External"/><Relationship Id="rId1481" Type="http://schemas.openxmlformats.org/officeDocument/2006/relationships/hyperlink" Target="javascript:void(0);" TargetMode="External"/><Relationship Id="rId1579" Type="http://schemas.openxmlformats.org/officeDocument/2006/relationships/hyperlink" Target="javascript:void(0);" TargetMode="External"/><Relationship Id="rId1702" Type="http://schemas.openxmlformats.org/officeDocument/2006/relationships/hyperlink" Target="javascript:void(0);" TargetMode="External"/><Relationship Id="rId2118" Type="http://schemas.openxmlformats.org/officeDocument/2006/relationships/hyperlink" Target="javascript:void(0);" TargetMode="External"/><Relationship Id="rId283" Type="http://schemas.openxmlformats.org/officeDocument/2006/relationships/hyperlink" Target="javascript:void(0);" TargetMode="External"/><Relationship Id="rId490" Type="http://schemas.openxmlformats.org/officeDocument/2006/relationships/hyperlink" Target="javascript:void(0);" TargetMode="External"/><Relationship Id="rId504" Type="http://schemas.openxmlformats.org/officeDocument/2006/relationships/hyperlink" Target="javascript:void(0);" TargetMode="External"/><Relationship Id="rId711" Type="http://schemas.openxmlformats.org/officeDocument/2006/relationships/hyperlink" Target="javascript:void(0);" TargetMode="External"/><Relationship Id="rId949" Type="http://schemas.openxmlformats.org/officeDocument/2006/relationships/hyperlink" Target="javascript:void(0);" TargetMode="External"/><Relationship Id="rId1134" Type="http://schemas.openxmlformats.org/officeDocument/2006/relationships/hyperlink" Target="javascript:void(0);" TargetMode="External"/><Relationship Id="rId1341" Type="http://schemas.openxmlformats.org/officeDocument/2006/relationships/hyperlink" Target="javascript:void(0);" TargetMode="External"/><Relationship Id="rId1786" Type="http://schemas.openxmlformats.org/officeDocument/2006/relationships/hyperlink" Target="javascript:void(0);" TargetMode="External"/><Relationship Id="rId1993" Type="http://schemas.openxmlformats.org/officeDocument/2006/relationships/hyperlink" Target="javascript:void(0);" TargetMode="External"/><Relationship Id="rId2171" Type="http://schemas.openxmlformats.org/officeDocument/2006/relationships/hyperlink" Target="javascript:void(0);" TargetMode="External"/><Relationship Id="rId78" Type="http://schemas.openxmlformats.org/officeDocument/2006/relationships/hyperlink" Target="javascript:void(0);" TargetMode="External"/><Relationship Id="rId143" Type="http://schemas.openxmlformats.org/officeDocument/2006/relationships/hyperlink" Target="javascript:void(0);" TargetMode="External"/><Relationship Id="rId350" Type="http://schemas.openxmlformats.org/officeDocument/2006/relationships/hyperlink" Target="javascript:void(0);" TargetMode="External"/><Relationship Id="rId588" Type="http://schemas.openxmlformats.org/officeDocument/2006/relationships/hyperlink" Target="javascript:void(0);" TargetMode="External"/><Relationship Id="rId795" Type="http://schemas.openxmlformats.org/officeDocument/2006/relationships/hyperlink" Target="javascript:void(0);" TargetMode="External"/><Relationship Id="rId809" Type="http://schemas.openxmlformats.org/officeDocument/2006/relationships/hyperlink" Target="javascript:void(0);" TargetMode="External"/><Relationship Id="rId1201" Type="http://schemas.openxmlformats.org/officeDocument/2006/relationships/hyperlink" Target="javascript:void(0);" TargetMode="External"/><Relationship Id="rId1439" Type="http://schemas.openxmlformats.org/officeDocument/2006/relationships/hyperlink" Target="javascript:void(0);" TargetMode="External"/><Relationship Id="rId1646" Type="http://schemas.openxmlformats.org/officeDocument/2006/relationships/hyperlink" Target="javascript:void(0);" TargetMode="External"/><Relationship Id="rId1853" Type="http://schemas.openxmlformats.org/officeDocument/2006/relationships/hyperlink" Target="javascript:void(0);" TargetMode="External"/><Relationship Id="rId2031" Type="http://schemas.openxmlformats.org/officeDocument/2006/relationships/hyperlink" Target="javascript:void(0);" TargetMode="External"/><Relationship Id="rId2269" Type="http://schemas.openxmlformats.org/officeDocument/2006/relationships/hyperlink" Target="javascript:void(0);" TargetMode="External"/><Relationship Id="rId9" Type="http://schemas.openxmlformats.org/officeDocument/2006/relationships/hyperlink" Target="javascript:void(0);" TargetMode="External"/><Relationship Id="rId210" Type="http://schemas.openxmlformats.org/officeDocument/2006/relationships/hyperlink" Target="javascript:void(0);" TargetMode="External"/><Relationship Id="rId448" Type="http://schemas.openxmlformats.org/officeDocument/2006/relationships/hyperlink" Target="javascript:void(0);" TargetMode="External"/><Relationship Id="rId655" Type="http://schemas.openxmlformats.org/officeDocument/2006/relationships/hyperlink" Target="javascript:void(0);" TargetMode="External"/><Relationship Id="rId862" Type="http://schemas.openxmlformats.org/officeDocument/2006/relationships/hyperlink" Target="javascript:void(0);" TargetMode="External"/><Relationship Id="rId1078" Type="http://schemas.openxmlformats.org/officeDocument/2006/relationships/hyperlink" Target="javascript:void(0);" TargetMode="External"/><Relationship Id="rId1285" Type="http://schemas.openxmlformats.org/officeDocument/2006/relationships/hyperlink" Target="javascript:void(0);" TargetMode="External"/><Relationship Id="rId1492" Type="http://schemas.openxmlformats.org/officeDocument/2006/relationships/hyperlink" Target="javascript:void(0);" TargetMode="External"/><Relationship Id="rId1506" Type="http://schemas.openxmlformats.org/officeDocument/2006/relationships/hyperlink" Target="javascript:void(0);" TargetMode="External"/><Relationship Id="rId1713" Type="http://schemas.openxmlformats.org/officeDocument/2006/relationships/hyperlink" Target="javascript:void(0);" TargetMode="External"/><Relationship Id="rId1920" Type="http://schemas.openxmlformats.org/officeDocument/2006/relationships/hyperlink" Target="javascript:void(0);" TargetMode="External"/><Relationship Id="rId2129" Type="http://schemas.openxmlformats.org/officeDocument/2006/relationships/hyperlink" Target="javascript:void(0);" TargetMode="External"/><Relationship Id="rId294" Type="http://schemas.openxmlformats.org/officeDocument/2006/relationships/hyperlink" Target="javascript:void(0);" TargetMode="External"/><Relationship Id="rId308" Type="http://schemas.openxmlformats.org/officeDocument/2006/relationships/hyperlink" Target="javascript:void(0);" TargetMode="External"/><Relationship Id="rId515" Type="http://schemas.openxmlformats.org/officeDocument/2006/relationships/hyperlink" Target="javascript:void(0);" TargetMode="External"/><Relationship Id="rId722" Type="http://schemas.openxmlformats.org/officeDocument/2006/relationships/hyperlink" Target="javascript:void(0);" TargetMode="External"/><Relationship Id="rId1145" Type="http://schemas.openxmlformats.org/officeDocument/2006/relationships/hyperlink" Target="javascript:void(0);" TargetMode="External"/><Relationship Id="rId1352" Type="http://schemas.openxmlformats.org/officeDocument/2006/relationships/hyperlink" Target="javascript:void(0);" TargetMode="External"/><Relationship Id="rId1797" Type="http://schemas.openxmlformats.org/officeDocument/2006/relationships/hyperlink" Target="javascript:void(0);" TargetMode="External"/><Relationship Id="rId2182" Type="http://schemas.openxmlformats.org/officeDocument/2006/relationships/hyperlink" Target="javascript:void(0);" TargetMode="External"/><Relationship Id="rId89" Type="http://schemas.openxmlformats.org/officeDocument/2006/relationships/hyperlink" Target="javascript:void(0);" TargetMode="External"/><Relationship Id="rId154" Type="http://schemas.openxmlformats.org/officeDocument/2006/relationships/hyperlink" Target="javascript:void(0);" TargetMode="External"/><Relationship Id="rId361" Type="http://schemas.openxmlformats.org/officeDocument/2006/relationships/hyperlink" Target="javascript:void(0);" TargetMode="External"/><Relationship Id="rId599" Type="http://schemas.openxmlformats.org/officeDocument/2006/relationships/hyperlink" Target="javascript:void(0);" TargetMode="External"/><Relationship Id="rId1005" Type="http://schemas.openxmlformats.org/officeDocument/2006/relationships/hyperlink" Target="javascript:void(0);" TargetMode="External"/><Relationship Id="rId1212" Type="http://schemas.openxmlformats.org/officeDocument/2006/relationships/hyperlink" Target="javascript:void(0);" TargetMode="External"/><Relationship Id="rId1657" Type="http://schemas.openxmlformats.org/officeDocument/2006/relationships/hyperlink" Target="javascript:void(0);" TargetMode="External"/><Relationship Id="rId1864" Type="http://schemas.openxmlformats.org/officeDocument/2006/relationships/hyperlink" Target="javascript:void(0);" TargetMode="External"/><Relationship Id="rId2042" Type="http://schemas.openxmlformats.org/officeDocument/2006/relationships/hyperlink" Target="javascript:void(0);" TargetMode="External"/><Relationship Id="rId459" Type="http://schemas.openxmlformats.org/officeDocument/2006/relationships/hyperlink" Target="javascript:void(0);" TargetMode="External"/><Relationship Id="rId666" Type="http://schemas.openxmlformats.org/officeDocument/2006/relationships/hyperlink" Target="javascript:void(0);" TargetMode="External"/><Relationship Id="rId873" Type="http://schemas.openxmlformats.org/officeDocument/2006/relationships/hyperlink" Target="javascript:void(0);" TargetMode="External"/><Relationship Id="rId1089" Type="http://schemas.openxmlformats.org/officeDocument/2006/relationships/hyperlink" Target="javascript:void(0);" TargetMode="External"/><Relationship Id="rId1296" Type="http://schemas.openxmlformats.org/officeDocument/2006/relationships/hyperlink" Target="javascript:void(0);" TargetMode="External"/><Relationship Id="rId1517" Type="http://schemas.openxmlformats.org/officeDocument/2006/relationships/hyperlink" Target="javascript:void(0);" TargetMode="External"/><Relationship Id="rId1724" Type="http://schemas.openxmlformats.org/officeDocument/2006/relationships/hyperlink" Target="javascript:void(0);" TargetMode="External"/><Relationship Id="rId16" Type="http://schemas.openxmlformats.org/officeDocument/2006/relationships/hyperlink" Target="javascript:void(0);" TargetMode="External"/><Relationship Id="rId221" Type="http://schemas.openxmlformats.org/officeDocument/2006/relationships/hyperlink" Target="javascript:void(0);" TargetMode="External"/><Relationship Id="rId319" Type="http://schemas.openxmlformats.org/officeDocument/2006/relationships/hyperlink" Target="javascript:void(0);" TargetMode="External"/><Relationship Id="rId526" Type="http://schemas.openxmlformats.org/officeDocument/2006/relationships/hyperlink" Target="javascript:void(0);" TargetMode="External"/><Relationship Id="rId1156" Type="http://schemas.openxmlformats.org/officeDocument/2006/relationships/hyperlink" Target="javascript:void(0);" TargetMode="External"/><Relationship Id="rId1363" Type="http://schemas.openxmlformats.org/officeDocument/2006/relationships/hyperlink" Target="javascript:void(0);" TargetMode="External"/><Relationship Id="rId1931" Type="http://schemas.openxmlformats.org/officeDocument/2006/relationships/hyperlink" Target="javascript:void(0);" TargetMode="External"/><Relationship Id="rId2207" Type="http://schemas.openxmlformats.org/officeDocument/2006/relationships/hyperlink" Target="javascript:void(0);" TargetMode="External"/><Relationship Id="rId733" Type="http://schemas.openxmlformats.org/officeDocument/2006/relationships/hyperlink" Target="javascript:void(0);" TargetMode="External"/><Relationship Id="rId940" Type="http://schemas.openxmlformats.org/officeDocument/2006/relationships/hyperlink" Target="javascript:void(0);" TargetMode="External"/><Relationship Id="rId1016" Type="http://schemas.openxmlformats.org/officeDocument/2006/relationships/hyperlink" Target="javascript:void(0);" TargetMode="External"/><Relationship Id="rId1570" Type="http://schemas.openxmlformats.org/officeDocument/2006/relationships/hyperlink" Target="javascript:void(0);" TargetMode="External"/><Relationship Id="rId1668" Type="http://schemas.openxmlformats.org/officeDocument/2006/relationships/hyperlink" Target="javascript:void(0);" TargetMode="External"/><Relationship Id="rId1875" Type="http://schemas.openxmlformats.org/officeDocument/2006/relationships/hyperlink" Target="javascript:void(0);" TargetMode="External"/><Relationship Id="rId2193" Type="http://schemas.openxmlformats.org/officeDocument/2006/relationships/hyperlink" Target="javascript:void(0);" TargetMode="External"/><Relationship Id="rId165" Type="http://schemas.openxmlformats.org/officeDocument/2006/relationships/hyperlink" Target="javascript:void(0);" TargetMode="External"/><Relationship Id="rId372" Type="http://schemas.openxmlformats.org/officeDocument/2006/relationships/hyperlink" Target="javascript:void(0);" TargetMode="External"/><Relationship Id="rId677" Type="http://schemas.openxmlformats.org/officeDocument/2006/relationships/hyperlink" Target="javascript:void(0);" TargetMode="External"/><Relationship Id="rId800" Type="http://schemas.openxmlformats.org/officeDocument/2006/relationships/hyperlink" Target="javascript:void(0);" TargetMode="External"/><Relationship Id="rId1223" Type="http://schemas.openxmlformats.org/officeDocument/2006/relationships/hyperlink" Target="javascript:void(0);" TargetMode="External"/><Relationship Id="rId1430" Type="http://schemas.openxmlformats.org/officeDocument/2006/relationships/hyperlink" Target="javascript:void(0);" TargetMode="External"/><Relationship Id="rId1528" Type="http://schemas.openxmlformats.org/officeDocument/2006/relationships/hyperlink" Target="javascript:void(0);" TargetMode="External"/><Relationship Id="rId2053" Type="http://schemas.openxmlformats.org/officeDocument/2006/relationships/hyperlink" Target="javascript:void(0);" TargetMode="External"/><Relationship Id="rId2260" Type="http://schemas.openxmlformats.org/officeDocument/2006/relationships/hyperlink" Target="javascript:void(0);" TargetMode="External"/><Relationship Id="rId232" Type="http://schemas.openxmlformats.org/officeDocument/2006/relationships/hyperlink" Target="javascript:void(0);" TargetMode="External"/><Relationship Id="rId884" Type="http://schemas.openxmlformats.org/officeDocument/2006/relationships/hyperlink" Target="javascript:void(0);" TargetMode="External"/><Relationship Id="rId1735" Type="http://schemas.openxmlformats.org/officeDocument/2006/relationships/hyperlink" Target="javascript:void(0);" TargetMode="External"/><Relationship Id="rId1942" Type="http://schemas.openxmlformats.org/officeDocument/2006/relationships/hyperlink" Target="javascript:void(0);" TargetMode="External"/><Relationship Id="rId2120" Type="http://schemas.openxmlformats.org/officeDocument/2006/relationships/hyperlink" Target="javascript:void(0);" TargetMode="External"/><Relationship Id="rId27" Type="http://schemas.openxmlformats.org/officeDocument/2006/relationships/hyperlink" Target="javascript:void(0);" TargetMode="External"/><Relationship Id="rId537" Type="http://schemas.openxmlformats.org/officeDocument/2006/relationships/hyperlink" Target="javascript:void(0);" TargetMode="External"/><Relationship Id="rId744" Type="http://schemas.openxmlformats.org/officeDocument/2006/relationships/hyperlink" Target="javascript:void(0);" TargetMode="External"/><Relationship Id="rId951" Type="http://schemas.openxmlformats.org/officeDocument/2006/relationships/hyperlink" Target="javascript:void(0);" TargetMode="External"/><Relationship Id="rId1167" Type="http://schemas.openxmlformats.org/officeDocument/2006/relationships/hyperlink" Target="javascript:void(0);" TargetMode="External"/><Relationship Id="rId1374" Type="http://schemas.openxmlformats.org/officeDocument/2006/relationships/hyperlink" Target="javascript:void(0);" TargetMode="External"/><Relationship Id="rId1581" Type="http://schemas.openxmlformats.org/officeDocument/2006/relationships/hyperlink" Target="javascript:void(0);" TargetMode="External"/><Relationship Id="rId1679" Type="http://schemas.openxmlformats.org/officeDocument/2006/relationships/hyperlink" Target="javascript:void(0);" TargetMode="External"/><Relationship Id="rId1802" Type="http://schemas.openxmlformats.org/officeDocument/2006/relationships/hyperlink" Target="javascript:void(0);" TargetMode="External"/><Relationship Id="rId2218" Type="http://schemas.openxmlformats.org/officeDocument/2006/relationships/hyperlink" Target="javascript:void(0);" TargetMode="External"/><Relationship Id="rId80" Type="http://schemas.openxmlformats.org/officeDocument/2006/relationships/hyperlink" Target="javascript:void(0);" TargetMode="External"/><Relationship Id="rId176" Type="http://schemas.openxmlformats.org/officeDocument/2006/relationships/hyperlink" Target="javascript:void(0);" TargetMode="External"/><Relationship Id="rId383" Type="http://schemas.openxmlformats.org/officeDocument/2006/relationships/hyperlink" Target="javascript:void(0);" TargetMode="External"/><Relationship Id="rId590" Type="http://schemas.openxmlformats.org/officeDocument/2006/relationships/hyperlink" Target="javascript:void(0);" TargetMode="External"/><Relationship Id="rId604" Type="http://schemas.openxmlformats.org/officeDocument/2006/relationships/hyperlink" Target="javascript:void(0);" TargetMode="External"/><Relationship Id="rId811" Type="http://schemas.openxmlformats.org/officeDocument/2006/relationships/hyperlink" Target="javascript:void(0);" TargetMode="External"/><Relationship Id="rId1027" Type="http://schemas.openxmlformats.org/officeDocument/2006/relationships/hyperlink" Target="javascript:void(0);" TargetMode="External"/><Relationship Id="rId1234" Type="http://schemas.openxmlformats.org/officeDocument/2006/relationships/hyperlink" Target="javascript:void(0);" TargetMode="External"/><Relationship Id="rId1441" Type="http://schemas.openxmlformats.org/officeDocument/2006/relationships/hyperlink" Target="javascript:void(0);" TargetMode="External"/><Relationship Id="rId1886" Type="http://schemas.openxmlformats.org/officeDocument/2006/relationships/hyperlink" Target="javascript:void(0);" TargetMode="External"/><Relationship Id="rId2064" Type="http://schemas.openxmlformats.org/officeDocument/2006/relationships/hyperlink" Target="javascript:void(0);" TargetMode="External"/><Relationship Id="rId2271" Type="http://schemas.openxmlformats.org/officeDocument/2006/relationships/hyperlink" Target="javascript:void(0);" TargetMode="External"/><Relationship Id="rId243" Type="http://schemas.openxmlformats.org/officeDocument/2006/relationships/hyperlink" Target="javascript:void(0);" TargetMode="External"/><Relationship Id="rId450" Type="http://schemas.openxmlformats.org/officeDocument/2006/relationships/hyperlink" Target="javascript:void(0);" TargetMode="External"/><Relationship Id="rId688" Type="http://schemas.openxmlformats.org/officeDocument/2006/relationships/hyperlink" Target="javascript:void(0);" TargetMode="External"/><Relationship Id="rId895" Type="http://schemas.openxmlformats.org/officeDocument/2006/relationships/hyperlink" Target="javascript:void(0);" TargetMode="External"/><Relationship Id="rId909" Type="http://schemas.openxmlformats.org/officeDocument/2006/relationships/hyperlink" Target="javascript:void(0);" TargetMode="External"/><Relationship Id="rId1080" Type="http://schemas.openxmlformats.org/officeDocument/2006/relationships/hyperlink" Target="javascript:void(0);" TargetMode="External"/><Relationship Id="rId1301" Type="http://schemas.openxmlformats.org/officeDocument/2006/relationships/hyperlink" Target="javascript:void(0);" TargetMode="External"/><Relationship Id="rId1539" Type="http://schemas.openxmlformats.org/officeDocument/2006/relationships/hyperlink" Target="javascript:void(0);" TargetMode="External"/><Relationship Id="rId1746" Type="http://schemas.openxmlformats.org/officeDocument/2006/relationships/hyperlink" Target="javascript:void(0);" TargetMode="External"/><Relationship Id="rId1953" Type="http://schemas.openxmlformats.org/officeDocument/2006/relationships/hyperlink" Target="javascript:void(0);" TargetMode="External"/><Relationship Id="rId2131" Type="http://schemas.openxmlformats.org/officeDocument/2006/relationships/hyperlink" Target="javascript:void(0);" TargetMode="External"/><Relationship Id="rId38" Type="http://schemas.openxmlformats.org/officeDocument/2006/relationships/hyperlink" Target="javascript:void(0);" TargetMode="External"/><Relationship Id="rId103" Type="http://schemas.openxmlformats.org/officeDocument/2006/relationships/hyperlink" Target="javascript:void(0);" TargetMode="External"/><Relationship Id="rId310" Type="http://schemas.openxmlformats.org/officeDocument/2006/relationships/hyperlink" Target="javascript:void(0);" TargetMode="External"/><Relationship Id="rId548" Type="http://schemas.openxmlformats.org/officeDocument/2006/relationships/hyperlink" Target="javascript:void(0);" TargetMode="External"/><Relationship Id="rId755" Type="http://schemas.openxmlformats.org/officeDocument/2006/relationships/hyperlink" Target="javascript:void(0);" TargetMode="External"/><Relationship Id="rId962" Type="http://schemas.openxmlformats.org/officeDocument/2006/relationships/hyperlink" Target="javascript:void(0);" TargetMode="External"/><Relationship Id="rId1178" Type="http://schemas.openxmlformats.org/officeDocument/2006/relationships/hyperlink" Target="javascript:void(0);" TargetMode="External"/><Relationship Id="rId1385" Type="http://schemas.openxmlformats.org/officeDocument/2006/relationships/hyperlink" Target="javascript:void(0);" TargetMode="External"/><Relationship Id="rId1592" Type="http://schemas.openxmlformats.org/officeDocument/2006/relationships/hyperlink" Target="javascript:void(0);" TargetMode="External"/><Relationship Id="rId1606" Type="http://schemas.openxmlformats.org/officeDocument/2006/relationships/hyperlink" Target="javascript:void(0);" TargetMode="External"/><Relationship Id="rId1813" Type="http://schemas.openxmlformats.org/officeDocument/2006/relationships/hyperlink" Target="javascript:void(0);" TargetMode="External"/><Relationship Id="rId2229" Type="http://schemas.openxmlformats.org/officeDocument/2006/relationships/hyperlink" Target="javascript:void(0);" TargetMode="External"/><Relationship Id="rId91" Type="http://schemas.openxmlformats.org/officeDocument/2006/relationships/hyperlink" Target="javascript:void(0);" TargetMode="External"/><Relationship Id="rId187" Type="http://schemas.openxmlformats.org/officeDocument/2006/relationships/hyperlink" Target="javascript:void(0);" TargetMode="External"/><Relationship Id="rId394" Type="http://schemas.openxmlformats.org/officeDocument/2006/relationships/hyperlink" Target="javascript:void(0);" TargetMode="External"/><Relationship Id="rId408" Type="http://schemas.openxmlformats.org/officeDocument/2006/relationships/hyperlink" Target="javascript:void(0);" TargetMode="External"/><Relationship Id="rId615" Type="http://schemas.openxmlformats.org/officeDocument/2006/relationships/hyperlink" Target="javascript:void(0);" TargetMode="External"/><Relationship Id="rId822" Type="http://schemas.openxmlformats.org/officeDocument/2006/relationships/hyperlink" Target="javascript:void(0);" TargetMode="External"/><Relationship Id="rId1038" Type="http://schemas.openxmlformats.org/officeDocument/2006/relationships/hyperlink" Target="javascript:void(0);" TargetMode="External"/><Relationship Id="rId1245" Type="http://schemas.openxmlformats.org/officeDocument/2006/relationships/hyperlink" Target="javascript:void(0);" TargetMode="External"/><Relationship Id="rId1452" Type="http://schemas.openxmlformats.org/officeDocument/2006/relationships/hyperlink" Target="javascript:void(0);" TargetMode="External"/><Relationship Id="rId1897" Type="http://schemas.openxmlformats.org/officeDocument/2006/relationships/hyperlink" Target="javascript:void(0);" TargetMode="External"/><Relationship Id="rId2075" Type="http://schemas.openxmlformats.org/officeDocument/2006/relationships/hyperlink" Target="javascript:void(0);" TargetMode="External"/><Relationship Id="rId2282" Type="http://schemas.openxmlformats.org/officeDocument/2006/relationships/hyperlink" Target="javascript:void(0);" TargetMode="External"/><Relationship Id="rId254" Type="http://schemas.openxmlformats.org/officeDocument/2006/relationships/hyperlink" Target="javascript:void(0);" TargetMode="External"/><Relationship Id="rId699" Type="http://schemas.openxmlformats.org/officeDocument/2006/relationships/hyperlink" Target="javascript:void(0);" TargetMode="External"/><Relationship Id="rId1091" Type="http://schemas.openxmlformats.org/officeDocument/2006/relationships/hyperlink" Target="javascript:void(0);" TargetMode="External"/><Relationship Id="rId1105" Type="http://schemas.openxmlformats.org/officeDocument/2006/relationships/hyperlink" Target="javascript:void(0);" TargetMode="External"/><Relationship Id="rId1312" Type="http://schemas.openxmlformats.org/officeDocument/2006/relationships/hyperlink" Target="javascript:void(0);" TargetMode="External"/><Relationship Id="rId1757" Type="http://schemas.openxmlformats.org/officeDocument/2006/relationships/hyperlink" Target="javascript:void(0);" TargetMode="External"/><Relationship Id="rId1964" Type="http://schemas.openxmlformats.org/officeDocument/2006/relationships/hyperlink" Target="javascript:void(0);" TargetMode="External"/><Relationship Id="rId49" Type="http://schemas.openxmlformats.org/officeDocument/2006/relationships/hyperlink" Target="javascript:void(0);" TargetMode="External"/><Relationship Id="rId114" Type="http://schemas.openxmlformats.org/officeDocument/2006/relationships/hyperlink" Target="javascript:void(0);" TargetMode="External"/><Relationship Id="rId461" Type="http://schemas.openxmlformats.org/officeDocument/2006/relationships/hyperlink" Target="javascript:void(0);" TargetMode="External"/><Relationship Id="rId559" Type="http://schemas.openxmlformats.org/officeDocument/2006/relationships/hyperlink" Target="javascript:void(0);" TargetMode="External"/><Relationship Id="rId766" Type="http://schemas.openxmlformats.org/officeDocument/2006/relationships/hyperlink" Target="javascript:void(0);" TargetMode="External"/><Relationship Id="rId1189" Type="http://schemas.openxmlformats.org/officeDocument/2006/relationships/hyperlink" Target="javascript:void(0);" TargetMode="External"/><Relationship Id="rId1396" Type="http://schemas.openxmlformats.org/officeDocument/2006/relationships/hyperlink" Target="javascript:void(0);" TargetMode="External"/><Relationship Id="rId1617" Type="http://schemas.openxmlformats.org/officeDocument/2006/relationships/hyperlink" Target="javascript:void(0);" TargetMode="External"/><Relationship Id="rId1824" Type="http://schemas.openxmlformats.org/officeDocument/2006/relationships/hyperlink" Target="javascript:void(0);" TargetMode="External"/><Relationship Id="rId2142" Type="http://schemas.openxmlformats.org/officeDocument/2006/relationships/hyperlink" Target="javascript:void(0);" TargetMode="External"/><Relationship Id="rId198" Type="http://schemas.openxmlformats.org/officeDocument/2006/relationships/hyperlink" Target="javascript:void(0);" TargetMode="External"/><Relationship Id="rId321" Type="http://schemas.openxmlformats.org/officeDocument/2006/relationships/hyperlink" Target="javascript:void(0);" TargetMode="External"/><Relationship Id="rId419" Type="http://schemas.openxmlformats.org/officeDocument/2006/relationships/hyperlink" Target="javascript:void(0);" TargetMode="External"/><Relationship Id="rId626" Type="http://schemas.openxmlformats.org/officeDocument/2006/relationships/hyperlink" Target="javascript:void(0);" TargetMode="External"/><Relationship Id="rId973" Type="http://schemas.openxmlformats.org/officeDocument/2006/relationships/hyperlink" Target="javascript:void(0);" TargetMode="External"/><Relationship Id="rId1049" Type="http://schemas.openxmlformats.org/officeDocument/2006/relationships/hyperlink" Target="javascript:void(0);" TargetMode="External"/><Relationship Id="rId1256" Type="http://schemas.openxmlformats.org/officeDocument/2006/relationships/hyperlink" Target="javascript:void(0);" TargetMode="External"/><Relationship Id="rId2002" Type="http://schemas.openxmlformats.org/officeDocument/2006/relationships/hyperlink" Target="javascript:void(0);" TargetMode="External"/><Relationship Id="rId2086" Type="http://schemas.openxmlformats.org/officeDocument/2006/relationships/hyperlink" Target="javascript:void(0);" TargetMode="External"/><Relationship Id="rId833" Type="http://schemas.openxmlformats.org/officeDocument/2006/relationships/hyperlink" Target="javascript:void(0);" TargetMode="External"/><Relationship Id="rId1116" Type="http://schemas.openxmlformats.org/officeDocument/2006/relationships/hyperlink" Target="javascript:void(0);" TargetMode="External"/><Relationship Id="rId1463" Type="http://schemas.openxmlformats.org/officeDocument/2006/relationships/hyperlink" Target="javascript:void(0);" TargetMode="External"/><Relationship Id="rId1670" Type="http://schemas.openxmlformats.org/officeDocument/2006/relationships/hyperlink" Target="javascript:void(0);" TargetMode="External"/><Relationship Id="rId1768" Type="http://schemas.openxmlformats.org/officeDocument/2006/relationships/hyperlink" Target="javascript:void(0);" TargetMode="External"/><Relationship Id="rId2293" Type="http://schemas.openxmlformats.org/officeDocument/2006/relationships/hyperlink" Target="javascript:void(0);" TargetMode="External"/><Relationship Id="rId265" Type="http://schemas.openxmlformats.org/officeDocument/2006/relationships/hyperlink" Target="javascript:void(0);" TargetMode="External"/><Relationship Id="rId472" Type="http://schemas.openxmlformats.org/officeDocument/2006/relationships/hyperlink" Target="javascript:void(0);" TargetMode="External"/><Relationship Id="rId900" Type="http://schemas.openxmlformats.org/officeDocument/2006/relationships/hyperlink" Target="javascript:void(0);" TargetMode="External"/><Relationship Id="rId1323" Type="http://schemas.openxmlformats.org/officeDocument/2006/relationships/hyperlink" Target="javascript:void(0);" TargetMode="External"/><Relationship Id="rId1530" Type="http://schemas.openxmlformats.org/officeDocument/2006/relationships/hyperlink" Target="javascript:void(0);" TargetMode="External"/><Relationship Id="rId1628" Type="http://schemas.openxmlformats.org/officeDocument/2006/relationships/hyperlink" Target="javascript:void(0);" TargetMode="External"/><Relationship Id="rId1975" Type="http://schemas.openxmlformats.org/officeDocument/2006/relationships/hyperlink" Target="javascript:void(0);" TargetMode="External"/><Relationship Id="rId2153" Type="http://schemas.openxmlformats.org/officeDocument/2006/relationships/hyperlink" Target="javascript:void(0);" TargetMode="External"/><Relationship Id="rId125" Type="http://schemas.openxmlformats.org/officeDocument/2006/relationships/hyperlink" Target="javascript:void(0);" TargetMode="External"/><Relationship Id="rId332" Type="http://schemas.openxmlformats.org/officeDocument/2006/relationships/hyperlink" Target="javascript:void(0);" TargetMode="External"/><Relationship Id="rId777" Type="http://schemas.openxmlformats.org/officeDocument/2006/relationships/hyperlink" Target="javascript:void(0);" TargetMode="External"/><Relationship Id="rId984" Type="http://schemas.openxmlformats.org/officeDocument/2006/relationships/hyperlink" Target="javascript:void(0);" TargetMode="External"/><Relationship Id="rId1835" Type="http://schemas.openxmlformats.org/officeDocument/2006/relationships/hyperlink" Target="javascript:void(0);" TargetMode="External"/><Relationship Id="rId2013" Type="http://schemas.openxmlformats.org/officeDocument/2006/relationships/hyperlink" Target="javascript:void(0);" TargetMode="External"/><Relationship Id="rId2220" Type="http://schemas.openxmlformats.org/officeDocument/2006/relationships/hyperlink" Target="javascript:void(0);" TargetMode="External"/><Relationship Id="rId637" Type="http://schemas.openxmlformats.org/officeDocument/2006/relationships/hyperlink" Target="javascript:void(0);" TargetMode="External"/><Relationship Id="rId844" Type="http://schemas.openxmlformats.org/officeDocument/2006/relationships/hyperlink" Target="javascript:void(0);" TargetMode="External"/><Relationship Id="rId1267" Type="http://schemas.openxmlformats.org/officeDocument/2006/relationships/hyperlink" Target="javascript:void(0);" TargetMode="External"/><Relationship Id="rId1474" Type="http://schemas.openxmlformats.org/officeDocument/2006/relationships/hyperlink" Target="javascript:void(0);" TargetMode="External"/><Relationship Id="rId1681" Type="http://schemas.openxmlformats.org/officeDocument/2006/relationships/hyperlink" Target="javascript:void(0);" TargetMode="External"/><Relationship Id="rId1902" Type="http://schemas.openxmlformats.org/officeDocument/2006/relationships/hyperlink" Target="javascript:void(0);" TargetMode="External"/><Relationship Id="rId2097" Type="http://schemas.openxmlformats.org/officeDocument/2006/relationships/hyperlink" Target="javascript:void(0);" TargetMode="External"/><Relationship Id="rId276" Type="http://schemas.openxmlformats.org/officeDocument/2006/relationships/hyperlink" Target="javascript:void(0);" TargetMode="External"/><Relationship Id="rId483" Type="http://schemas.openxmlformats.org/officeDocument/2006/relationships/hyperlink" Target="javascript:void(0);" TargetMode="External"/><Relationship Id="rId690" Type="http://schemas.openxmlformats.org/officeDocument/2006/relationships/hyperlink" Target="javascript:void(0);" TargetMode="External"/><Relationship Id="rId704" Type="http://schemas.openxmlformats.org/officeDocument/2006/relationships/hyperlink" Target="javascript:void(0);" TargetMode="External"/><Relationship Id="rId911" Type="http://schemas.openxmlformats.org/officeDocument/2006/relationships/hyperlink" Target="javascript:void(0);" TargetMode="External"/><Relationship Id="rId1127" Type="http://schemas.openxmlformats.org/officeDocument/2006/relationships/hyperlink" Target="javascript:void(0);" TargetMode="External"/><Relationship Id="rId1334" Type="http://schemas.openxmlformats.org/officeDocument/2006/relationships/hyperlink" Target="javascript:void(0);" TargetMode="External"/><Relationship Id="rId1541" Type="http://schemas.openxmlformats.org/officeDocument/2006/relationships/hyperlink" Target="javascript:void(0);" TargetMode="External"/><Relationship Id="rId1779" Type="http://schemas.openxmlformats.org/officeDocument/2006/relationships/hyperlink" Target="javascript:void(0);" TargetMode="External"/><Relationship Id="rId1986" Type="http://schemas.openxmlformats.org/officeDocument/2006/relationships/hyperlink" Target="javascript:void(0);" TargetMode="External"/><Relationship Id="rId2164" Type="http://schemas.openxmlformats.org/officeDocument/2006/relationships/hyperlink" Target="javascript:void(0);" TargetMode="External"/><Relationship Id="rId40" Type="http://schemas.openxmlformats.org/officeDocument/2006/relationships/hyperlink" Target="javascript:void(0);" TargetMode="External"/><Relationship Id="rId136" Type="http://schemas.openxmlformats.org/officeDocument/2006/relationships/hyperlink" Target="javascript:void(0);" TargetMode="External"/><Relationship Id="rId343" Type="http://schemas.openxmlformats.org/officeDocument/2006/relationships/hyperlink" Target="javascript:void(0);" TargetMode="External"/><Relationship Id="rId550" Type="http://schemas.openxmlformats.org/officeDocument/2006/relationships/hyperlink" Target="javascript:void(0);" TargetMode="External"/><Relationship Id="rId788" Type="http://schemas.openxmlformats.org/officeDocument/2006/relationships/hyperlink" Target="javascript:void(0);" TargetMode="External"/><Relationship Id="rId995" Type="http://schemas.openxmlformats.org/officeDocument/2006/relationships/hyperlink" Target="javascript:void(0);" TargetMode="External"/><Relationship Id="rId1180" Type="http://schemas.openxmlformats.org/officeDocument/2006/relationships/hyperlink" Target="javascript:void(0);" TargetMode="External"/><Relationship Id="rId1401" Type="http://schemas.openxmlformats.org/officeDocument/2006/relationships/hyperlink" Target="javascript:void(0);" TargetMode="External"/><Relationship Id="rId1639" Type="http://schemas.openxmlformats.org/officeDocument/2006/relationships/hyperlink" Target="javascript:void(0);" TargetMode="External"/><Relationship Id="rId1846" Type="http://schemas.openxmlformats.org/officeDocument/2006/relationships/hyperlink" Target="javascript:void(0);" TargetMode="External"/><Relationship Id="rId2024" Type="http://schemas.openxmlformats.org/officeDocument/2006/relationships/hyperlink" Target="javascript:void(0);" TargetMode="External"/><Relationship Id="rId2231" Type="http://schemas.openxmlformats.org/officeDocument/2006/relationships/hyperlink" Target="javascript:void(0);" TargetMode="External"/><Relationship Id="rId203" Type="http://schemas.openxmlformats.org/officeDocument/2006/relationships/hyperlink" Target="javascript:void(0);" TargetMode="External"/><Relationship Id="rId648" Type="http://schemas.openxmlformats.org/officeDocument/2006/relationships/hyperlink" Target="javascript:void(0);" TargetMode="External"/><Relationship Id="rId855" Type="http://schemas.openxmlformats.org/officeDocument/2006/relationships/hyperlink" Target="javascript:void(0);" TargetMode="External"/><Relationship Id="rId1040" Type="http://schemas.openxmlformats.org/officeDocument/2006/relationships/hyperlink" Target="javascript:void(0);" TargetMode="External"/><Relationship Id="rId1278" Type="http://schemas.openxmlformats.org/officeDocument/2006/relationships/hyperlink" Target="javascript:void(0);" TargetMode="External"/><Relationship Id="rId1485" Type="http://schemas.openxmlformats.org/officeDocument/2006/relationships/hyperlink" Target="javascript:void(0);" TargetMode="External"/><Relationship Id="rId1692" Type="http://schemas.openxmlformats.org/officeDocument/2006/relationships/hyperlink" Target="javascript:void(0);" TargetMode="External"/><Relationship Id="rId1706" Type="http://schemas.openxmlformats.org/officeDocument/2006/relationships/hyperlink" Target="javascript:void(0);" TargetMode="External"/><Relationship Id="rId1913" Type="http://schemas.openxmlformats.org/officeDocument/2006/relationships/hyperlink" Target="javascript:void(0);" TargetMode="External"/><Relationship Id="rId287" Type="http://schemas.openxmlformats.org/officeDocument/2006/relationships/hyperlink" Target="javascript:void(0);" TargetMode="External"/><Relationship Id="rId410" Type="http://schemas.openxmlformats.org/officeDocument/2006/relationships/hyperlink" Target="javascript:void(0);" TargetMode="External"/><Relationship Id="rId494" Type="http://schemas.openxmlformats.org/officeDocument/2006/relationships/hyperlink" Target="javascript:void(0);" TargetMode="External"/><Relationship Id="rId508" Type="http://schemas.openxmlformats.org/officeDocument/2006/relationships/hyperlink" Target="javascript:void(0);" TargetMode="External"/><Relationship Id="rId715" Type="http://schemas.openxmlformats.org/officeDocument/2006/relationships/hyperlink" Target="javascript:void(0);" TargetMode="External"/><Relationship Id="rId922" Type="http://schemas.openxmlformats.org/officeDocument/2006/relationships/hyperlink" Target="javascript:void(0);" TargetMode="External"/><Relationship Id="rId1138" Type="http://schemas.openxmlformats.org/officeDocument/2006/relationships/hyperlink" Target="javascript:void(0);" TargetMode="External"/><Relationship Id="rId1345" Type="http://schemas.openxmlformats.org/officeDocument/2006/relationships/hyperlink" Target="javascript:void(0);" TargetMode="External"/><Relationship Id="rId1552" Type="http://schemas.openxmlformats.org/officeDocument/2006/relationships/hyperlink" Target="javascript:void(0);" TargetMode="External"/><Relationship Id="rId1997" Type="http://schemas.openxmlformats.org/officeDocument/2006/relationships/hyperlink" Target="javascript:void(0);" TargetMode="External"/><Relationship Id="rId2175" Type="http://schemas.openxmlformats.org/officeDocument/2006/relationships/hyperlink" Target="javascript:void(0);" TargetMode="External"/><Relationship Id="rId147" Type="http://schemas.openxmlformats.org/officeDocument/2006/relationships/hyperlink" Target="javascript:void(0);" TargetMode="External"/><Relationship Id="rId354" Type="http://schemas.openxmlformats.org/officeDocument/2006/relationships/hyperlink" Target="javascript:void(0);" TargetMode="External"/><Relationship Id="rId799" Type="http://schemas.openxmlformats.org/officeDocument/2006/relationships/hyperlink" Target="javascript:void(0);" TargetMode="External"/><Relationship Id="rId1191" Type="http://schemas.openxmlformats.org/officeDocument/2006/relationships/hyperlink" Target="javascript:void(0);" TargetMode="External"/><Relationship Id="rId1205" Type="http://schemas.openxmlformats.org/officeDocument/2006/relationships/hyperlink" Target="javascript:void(0);" TargetMode="External"/><Relationship Id="rId1857" Type="http://schemas.openxmlformats.org/officeDocument/2006/relationships/hyperlink" Target="javascript:void(0);" TargetMode="External"/><Relationship Id="rId2035" Type="http://schemas.openxmlformats.org/officeDocument/2006/relationships/hyperlink" Target="javascript:void(0);" TargetMode="External"/><Relationship Id="rId51" Type="http://schemas.openxmlformats.org/officeDocument/2006/relationships/hyperlink" Target="javascript:void(0);" TargetMode="External"/><Relationship Id="rId561" Type="http://schemas.openxmlformats.org/officeDocument/2006/relationships/hyperlink" Target="javascript:void(0);" TargetMode="External"/><Relationship Id="rId659" Type="http://schemas.openxmlformats.org/officeDocument/2006/relationships/hyperlink" Target="javascript:void(0);" TargetMode="External"/><Relationship Id="rId866" Type="http://schemas.openxmlformats.org/officeDocument/2006/relationships/hyperlink" Target="javascript:void(0);" TargetMode="External"/><Relationship Id="rId1289" Type="http://schemas.openxmlformats.org/officeDocument/2006/relationships/hyperlink" Target="javascript:void(0);" TargetMode="External"/><Relationship Id="rId1412" Type="http://schemas.openxmlformats.org/officeDocument/2006/relationships/hyperlink" Target="javascript:void(0);" TargetMode="External"/><Relationship Id="rId1496" Type="http://schemas.openxmlformats.org/officeDocument/2006/relationships/hyperlink" Target="javascript:void(0);" TargetMode="External"/><Relationship Id="rId1717" Type="http://schemas.openxmlformats.org/officeDocument/2006/relationships/hyperlink" Target="javascript:void(0);" TargetMode="External"/><Relationship Id="rId1924" Type="http://schemas.openxmlformats.org/officeDocument/2006/relationships/hyperlink" Target="javascript:void(0);" TargetMode="External"/><Relationship Id="rId2242" Type="http://schemas.openxmlformats.org/officeDocument/2006/relationships/hyperlink" Target="javascript:void(0);" TargetMode="External"/><Relationship Id="rId214" Type="http://schemas.openxmlformats.org/officeDocument/2006/relationships/hyperlink" Target="javascript:void(0);" TargetMode="External"/><Relationship Id="rId298" Type="http://schemas.openxmlformats.org/officeDocument/2006/relationships/hyperlink" Target="javascript:void(0);" TargetMode="External"/><Relationship Id="rId421" Type="http://schemas.openxmlformats.org/officeDocument/2006/relationships/hyperlink" Target="javascript:void(0);" TargetMode="External"/><Relationship Id="rId519" Type="http://schemas.openxmlformats.org/officeDocument/2006/relationships/hyperlink" Target="javascript:void(0);" TargetMode="External"/><Relationship Id="rId1051" Type="http://schemas.openxmlformats.org/officeDocument/2006/relationships/hyperlink" Target="javascript:void(0);" TargetMode="External"/><Relationship Id="rId1149" Type="http://schemas.openxmlformats.org/officeDocument/2006/relationships/hyperlink" Target="javascript:void(0);" TargetMode="External"/><Relationship Id="rId1356" Type="http://schemas.openxmlformats.org/officeDocument/2006/relationships/hyperlink" Target="javascript:void(0);" TargetMode="External"/><Relationship Id="rId2102" Type="http://schemas.openxmlformats.org/officeDocument/2006/relationships/hyperlink" Target="javascript:void(0);" TargetMode="External"/><Relationship Id="rId158" Type="http://schemas.openxmlformats.org/officeDocument/2006/relationships/hyperlink" Target="javascript:void(0);" TargetMode="External"/><Relationship Id="rId726" Type="http://schemas.openxmlformats.org/officeDocument/2006/relationships/hyperlink" Target="javascript:void(0);" TargetMode="External"/><Relationship Id="rId933" Type="http://schemas.openxmlformats.org/officeDocument/2006/relationships/hyperlink" Target="javascript:void(0);" TargetMode="External"/><Relationship Id="rId1009" Type="http://schemas.openxmlformats.org/officeDocument/2006/relationships/hyperlink" Target="javascript:void(0);" TargetMode="External"/><Relationship Id="rId1563" Type="http://schemas.openxmlformats.org/officeDocument/2006/relationships/hyperlink" Target="javascript:void(0);" TargetMode="External"/><Relationship Id="rId1770" Type="http://schemas.openxmlformats.org/officeDocument/2006/relationships/hyperlink" Target="javascript:void(0);" TargetMode="External"/><Relationship Id="rId1868" Type="http://schemas.openxmlformats.org/officeDocument/2006/relationships/hyperlink" Target="javascript:void(0);" TargetMode="External"/><Relationship Id="rId2186" Type="http://schemas.openxmlformats.org/officeDocument/2006/relationships/hyperlink" Target="javascript:void(0);" TargetMode="External"/><Relationship Id="rId62" Type="http://schemas.openxmlformats.org/officeDocument/2006/relationships/hyperlink" Target="javascript:void(0);" TargetMode="External"/><Relationship Id="rId365" Type="http://schemas.openxmlformats.org/officeDocument/2006/relationships/hyperlink" Target="javascript:void(0);" TargetMode="External"/><Relationship Id="rId572" Type="http://schemas.openxmlformats.org/officeDocument/2006/relationships/hyperlink" Target="javascript:void(0);" TargetMode="External"/><Relationship Id="rId1216" Type="http://schemas.openxmlformats.org/officeDocument/2006/relationships/hyperlink" Target="javascript:void(0);" TargetMode="External"/><Relationship Id="rId1423" Type="http://schemas.openxmlformats.org/officeDocument/2006/relationships/hyperlink" Target="javascript:void(0);" TargetMode="External"/><Relationship Id="rId1630" Type="http://schemas.openxmlformats.org/officeDocument/2006/relationships/hyperlink" Target="javascript:void(0);" TargetMode="External"/><Relationship Id="rId2046" Type="http://schemas.openxmlformats.org/officeDocument/2006/relationships/hyperlink" Target="javascript:void(0);" TargetMode="External"/><Relationship Id="rId2253" Type="http://schemas.openxmlformats.org/officeDocument/2006/relationships/hyperlink" Target="javascript:void(0);" TargetMode="External"/><Relationship Id="rId225" Type="http://schemas.openxmlformats.org/officeDocument/2006/relationships/hyperlink" Target="javascript:void(0);" TargetMode="External"/><Relationship Id="rId432" Type="http://schemas.openxmlformats.org/officeDocument/2006/relationships/hyperlink" Target="javascript:void(0);" TargetMode="External"/><Relationship Id="rId877" Type="http://schemas.openxmlformats.org/officeDocument/2006/relationships/hyperlink" Target="javascript:void(0);" TargetMode="External"/><Relationship Id="rId1062" Type="http://schemas.openxmlformats.org/officeDocument/2006/relationships/hyperlink" Target="javascript:void(0);" TargetMode="External"/><Relationship Id="rId1728" Type="http://schemas.openxmlformats.org/officeDocument/2006/relationships/hyperlink" Target="javascript:void(0);" TargetMode="External"/><Relationship Id="rId1935" Type="http://schemas.openxmlformats.org/officeDocument/2006/relationships/hyperlink" Target="javascript:void(0);" TargetMode="External"/><Relationship Id="rId2113" Type="http://schemas.openxmlformats.org/officeDocument/2006/relationships/hyperlink" Target="javascript:void(0);" TargetMode="External"/><Relationship Id="rId737" Type="http://schemas.openxmlformats.org/officeDocument/2006/relationships/hyperlink" Target="javascript:void(0);" TargetMode="External"/><Relationship Id="rId944" Type="http://schemas.openxmlformats.org/officeDocument/2006/relationships/hyperlink" Target="javascript:void(0);" TargetMode="External"/><Relationship Id="rId1367" Type="http://schemas.openxmlformats.org/officeDocument/2006/relationships/hyperlink" Target="javascript:void(0);" TargetMode="External"/><Relationship Id="rId1574" Type="http://schemas.openxmlformats.org/officeDocument/2006/relationships/hyperlink" Target="javascript:void(0);" TargetMode="External"/><Relationship Id="rId1781" Type="http://schemas.openxmlformats.org/officeDocument/2006/relationships/hyperlink" Target="javascript:void(0);" TargetMode="External"/><Relationship Id="rId2197" Type="http://schemas.openxmlformats.org/officeDocument/2006/relationships/hyperlink" Target="javascript:void(0);" TargetMode="External"/><Relationship Id="rId73" Type="http://schemas.openxmlformats.org/officeDocument/2006/relationships/hyperlink" Target="javascript:void(0);" TargetMode="External"/><Relationship Id="rId169" Type="http://schemas.openxmlformats.org/officeDocument/2006/relationships/hyperlink" Target="javascript:void(0);" TargetMode="External"/><Relationship Id="rId376" Type="http://schemas.openxmlformats.org/officeDocument/2006/relationships/hyperlink" Target="javascript:void(0);" TargetMode="External"/><Relationship Id="rId583" Type="http://schemas.openxmlformats.org/officeDocument/2006/relationships/hyperlink" Target="javascript:void(0);" TargetMode="External"/><Relationship Id="rId790" Type="http://schemas.openxmlformats.org/officeDocument/2006/relationships/hyperlink" Target="javascript:void(0);" TargetMode="External"/><Relationship Id="rId804" Type="http://schemas.openxmlformats.org/officeDocument/2006/relationships/hyperlink" Target="javascript:void(0);" TargetMode="External"/><Relationship Id="rId1227" Type="http://schemas.openxmlformats.org/officeDocument/2006/relationships/hyperlink" Target="javascript:void(0);" TargetMode="External"/><Relationship Id="rId1434" Type="http://schemas.openxmlformats.org/officeDocument/2006/relationships/hyperlink" Target="javascript:void(0);" TargetMode="External"/><Relationship Id="rId1641" Type="http://schemas.openxmlformats.org/officeDocument/2006/relationships/hyperlink" Target="javascript:void(0);" TargetMode="External"/><Relationship Id="rId1879" Type="http://schemas.openxmlformats.org/officeDocument/2006/relationships/hyperlink" Target="javascript:void(0);" TargetMode="External"/><Relationship Id="rId2057" Type="http://schemas.openxmlformats.org/officeDocument/2006/relationships/hyperlink" Target="javascript:void(0);" TargetMode="External"/><Relationship Id="rId2264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Relationship Id="rId236" Type="http://schemas.openxmlformats.org/officeDocument/2006/relationships/hyperlink" Target="javascript:void(0);" TargetMode="External"/><Relationship Id="rId443" Type="http://schemas.openxmlformats.org/officeDocument/2006/relationships/hyperlink" Target="javascript:void(0);" TargetMode="External"/><Relationship Id="rId650" Type="http://schemas.openxmlformats.org/officeDocument/2006/relationships/hyperlink" Target="javascript:void(0);" TargetMode="External"/><Relationship Id="rId888" Type="http://schemas.openxmlformats.org/officeDocument/2006/relationships/hyperlink" Target="javascript:void(0);" TargetMode="External"/><Relationship Id="rId1073" Type="http://schemas.openxmlformats.org/officeDocument/2006/relationships/hyperlink" Target="javascript:void(0);" TargetMode="External"/><Relationship Id="rId1280" Type="http://schemas.openxmlformats.org/officeDocument/2006/relationships/hyperlink" Target="javascript:void(0);" TargetMode="External"/><Relationship Id="rId1501" Type="http://schemas.openxmlformats.org/officeDocument/2006/relationships/hyperlink" Target="javascript:void(0);" TargetMode="External"/><Relationship Id="rId1739" Type="http://schemas.openxmlformats.org/officeDocument/2006/relationships/hyperlink" Target="javascript:void(0);" TargetMode="External"/><Relationship Id="rId1946" Type="http://schemas.openxmlformats.org/officeDocument/2006/relationships/hyperlink" Target="javascript:void(0);" TargetMode="External"/><Relationship Id="rId2124" Type="http://schemas.openxmlformats.org/officeDocument/2006/relationships/hyperlink" Target="javascript:void(0);" TargetMode="External"/><Relationship Id="rId303" Type="http://schemas.openxmlformats.org/officeDocument/2006/relationships/hyperlink" Target="javascript:void(0);" TargetMode="External"/><Relationship Id="rId748" Type="http://schemas.openxmlformats.org/officeDocument/2006/relationships/hyperlink" Target="javascript:void(0);" TargetMode="External"/><Relationship Id="rId955" Type="http://schemas.openxmlformats.org/officeDocument/2006/relationships/hyperlink" Target="javascript:void(0);" TargetMode="External"/><Relationship Id="rId1140" Type="http://schemas.openxmlformats.org/officeDocument/2006/relationships/hyperlink" Target="javascript:void(0);" TargetMode="External"/><Relationship Id="rId1378" Type="http://schemas.openxmlformats.org/officeDocument/2006/relationships/hyperlink" Target="javascript:void(0);" TargetMode="External"/><Relationship Id="rId1585" Type="http://schemas.openxmlformats.org/officeDocument/2006/relationships/hyperlink" Target="javascript:void(0);" TargetMode="External"/><Relationship Id="rId1792" Type="http://schemas.openxmlformats.org/officeDocument/2006/relationships/hyperlink" Target="javascript:void(0);" TargetMode="External"/><Relationship Id="rId1806" Type="http://schemas.openxmlformats.org/officeDocument/2006/relationships/hyperlink" Target="javascript:void(0);" TargetMode="External"/><Relationship Id="rId84" Type="http://schemas.openxmlformats.org/officeDocument/2006/relationships/hyperlink" Target="javascript:void(0);" TargetMode="External"/><Relationship Id="rId387" Type="http://schemas.openxmlformats.org/officeDocument/2006/relationships/hyperlink" Target="javascript:void(0);" TargetMode="External"/><Relationship Id="rId510" Type="http://schemas.openxmlformats.org/officeDocument/2006/relationships/hyperlink" Target="javascript:void(0);" TargetMode="External"/><Relationship Id="rId594" Type="http://schemas.openxmlformats.org/officeDocument/2006/relationships/hyperlink" Target="javascript:void(0);" TargetMode="External"/><Relationship Id="rId608" Type="http://schemas.openxmlformats.org/officeDocument/2006/relationships/hyperlink" Target="javascript:void(0);" TargetMode="External"/><Relationship Id="rId815" Type="http://schemas.openxmlformats.org/officeDocument/2006/relationships/hyperlink" Target="javascript:void(0);" TargetMode="External"/><Relationship Id="rId1238" Type="http://schemas.openxmlformats.org/officeDocument/2006/relationships/hyperlink" Target="javascript:void(0);" TargetMode="External"/><Relationship Id="rId1445" Type="http://schemas.openxmlformats.org/officeDocument/2006/relationships/hyperlink" Target="javascript:void(0);" TargetMode="External"/><Relationship Id="rId1652" Type="http://schemas.openxmlformats.org/officeDocument/2006/relationships/hyperlink" Target="javascript:void(0);" TargetMode="External"/><Relationship Id="rId2068" Type="http://schemas.openxmlformats.org/officeDocument/2006/relationships/hyperlink" Target="javascript:void(0);" TargetMode="External"/><Relationship Id="rId2275" Type="http://schemas.openxmlformats.org/officeDocument/2006/relationships/hyperlink" Target="javascript:void(0);" TargetMode="External"/><Relationship Id="rId247" Type="http://schemas.openxmlformats.org/officeDocument/2006/relationships/hyperlink" Target="javascript:void(0);" TargetMode="External"/><Relationship Id="rId899" Type="http://schemas.openxmlformats.org/officeDocument/2006/relationships/hyperlink" Target="javascript:void(0);" TargetMode="External"/><Relationship Id="rId1000" Type="http://schemas.openxmlformats.org/officeDocument/2006/relationships/hyperlink" Target="javascript:void(0);" TargetMode="External"/><Relationship Id="rId1084" Type="http://schemas.openxmlformats.org/officeDocument/2006/relationships/hyperlink" Target="javascript:void(0);" TargetMode="External"/><Relationship Id="rId1305" Type="http://schemas.openxmlformats.org/officeDocument/2006/relationships/hyperlink" Target="javascript:void(0);" TargetMode="External"/><Relationship Id="rId1957" Type="http://schemas.openxmlformats.org/officeDocument/2006/relationships/hyperlink" Target="javascript:void(0);" TargetMode="External"/><Relationship Id="rId107" Type="http://schemas.openxmlformats.org/officeDocument/2006/relationships/hyperlink" Target="javascript:void(0);" TargetMode="External"/><Relationship Id="rId454" Type="http://schemas.openxmlformats.org/officeDocument/2006/relationships/hyperlink" Target="javascript:void(0);" TargetMode="External"/><Relationship Id="rId661" Type="http://schemas.openxmlformats.org/officeDocument/2006/relationships/hyperlink" Target="javascript:void(0);" TargetMode="External"/><Relationship Id="rId759" Type="http://schemas.openxmlformats.org/officeDocument/2006/relationships/hyperlink" Target="javascript:void(0);" TargetMode="External"/><Relationship Id="rId966" Type="http://schemas.openxmlformats.org/officeDocument/2006/relationships/hyperlink" Target="javascript:void(0);" TargetMode="External"/><Relationship Id="rId1291" Type="http://schemas.openxmlformats.org/officeDocument/2006/relationships/hyperlink" Target="javascript:void(0);" TargetMode="External"/><Relationship Id="rId1389" Type="http://schemas.openxmlformats.org/officeDocument/2006/relationships/hyperlink" Target="javascript:void(0);" TargetMode="External"/><Relationship Id="rId1512" Type="http://schemas.openxmlformats.org/officeDocument/2006/relationships/hyperlink" Target="javascript:void(0);" TargetMode="External"/><Relationship Id="rId1596" Type="http://schemas.openxmlformats.org/officeDocument/2006/relationships/hyperlink" Target="javascript:void(0);" TargetMode="External"/><Relationship Id="rId1817" Type="http://schemas.openxmlformats.org/officeDocument/2006/relationships/hyperlink" Target="javascript:void(0);" TargetMode="External"/><Relationship Id="rId2135" Type="http://schemas.openxmlformats.org/officeDocument/2006/relationships/hyperlink" Target="javascript:void(0);" TargetMode="External"/><Relationship Id="rId11" Type="http://schemas.openxmlformats.org/officeDocument/2006/relationships/hyperlink" Target="javascript:void(0);" TargetMode="External"/><Relationship Id="rId314" Type="http://schemas.openxmlformats.org/officeDocument/2006/relationships/hyperlink" Target="javascript:void(0);" TargetMode="External"/><Relationship Id="rId398" Type="http://schemas.openxmlformats.org/officeDocument/2006/relationships/hyperlink" Target="javascript:void(0);" TargetMode="External"/><Relationship Id="rId521" Type="http://schemas.openxmlformats.org/officeDocument/2006/relationships/hyperlink" Target="javascript:void(0);" TargetMode="External"/><Relationship Id="rId619" Type="http://schemas.openxmlformats.org/officeDocument/2006/relationships/hyperlink" Target="javascript:void(0);" TargetMode="External"/><Relationship Id="rId1151" Type="http://schemas.openxmlformats.org/officeDocument/2006/relationships/hyperlink" Target="javascript:void(0);" TargetMode="External"/><Relationship Id="rId1249" Type="http://schemas.openxmlformats.org/officeDocument/2006/relationships/hyperlink" Target="javascript:void(0);" TargetMode="External"/><Relationship Id="rId2079" Type="http://schemas.openxmlformats.org/officeDocument/2006/relationships/hyperlink" Target="javascript:void(0);" TargetMode="External"/><Relationship Id="rId2202" Type="http://schemas.openxmlformats.org/officeDocument/2006/relationships/hyperlink" Target="javascript:void(0);" TargetMode="External"/><Relationship Id="rId95" Type="http://schemas.openxmlformats.org/officeDocument/2006/relationships/hyperlink" Target="javascript:void(0);" TargetMode="External"/><Relationship Id="rId160" Type="http://schemas.openxmlformats.org/officeDocument/2006/relationships/hyperlink" Target="javascript:void(0);" TargetMode="External"/><Relationship Id="rId826" Type="http://schemas.openxmlformats.org/officeDocument/2006/relationships/hyperlink" Target="javascript:void(0);" TargetMode="External"/><Relationship Id="rId1011" Type="http://schemas.openxmlformats.org/officeDocument/2006/relationships/hyperlink" Target="javascript:void(0);" TargetMode="External"/><Relationship Id="rId1109" Type="http://schemas.openxmlformats.org/officeDocument/2006/relationships/hyperlink" Target="javascript:void(0);" TargetMode="External"/><Relationship Id="rId1456" Type="http://schemas.openxmlformats.org/officeDocument/2006/relationships/hyperlink" Target="javascript:void(0);" TargetMode="External"/><Relationship Id="rId1663" Type="http://schemas.openxmlformats.org/officeDocument/2006/relationships/hyperlink" Target="javascript:void(0);" TargetMode="External"/><Relationship Id="rId1870" Type="http://schemas.openxmlformats.org/officeDocument/2006/relationships/hyperlink" Target="javascript:void(0);" TargetMode="External"/><Relationship Id="rId1968" Type="http://schemas.openxmlformats.org/officeDocument/2006/relationships/hyperlink" Target="javascript:void(0);" TargetMode="External"/><Relationship Id="rId2286" Type="http://schemas.openxmlformats.org/officeDocument/2006/relationships/hyperlink" Target="javascript:void(0);" TargetMode="External"/><Relationship Id="rId258" Type="http://schemas.openxmlformats.org/officeDocument/2006/relationships/hyperlink" Target="javascript:void(0);" TargetMode="External"/><Relationship Id="rId465" Type="http://schemas.openxmlformats.org/officeDocument/2006/relationships/hyperlink" Target="javascript:void(0);" TargetMode="External"/><Relationship Id="rId672" Type="http://schemas.openxmlformats.org/officeDocument/2006/relationships/hyperlink" Target="javascript:void(0);" TargetMode="External"/><Relationship Id="rId1095" Type="http://schemas.openxmlformats.org/officeDocument/2006/relationships/hyperlink" Target="javascript:void(0);" TargetMode="External"/><Relationship Id="rId1316" Type="http://schemas.openxmlformats.org/officeDocument/2006/relationships/hyperlink" Target="javascript:void(0);" TargetMode="External"/><Relationship Id="rId1523" Type="http://schemas.openxmlformats.org/officeDocument/2006/relationships/hyperlink" Target="javascript:void(0);" TargetMode="External"/><Relationship Id="rId1730" Type="http://schemas.openxmlformats.org/officeDocument/2006/relationships/hyperlink" Target="javascript:void(0);" TargetMode="External"/><Relationship Id="rId2146" Type="http://schemas.openxmlformats.org/officeDocument/2006/relationships/hyperlink" Target="javascript:void(0);" TargetMode="External"/><Relationship Id="rId22" Type="http://schemas.openxmlformats.org/officeDocument/2006/relationships/hyperlink" Target="javascript:void(0);" TargetMode="External"/><Relationship Id="rId118" Type="http://schemas.openxmlformats.org/officeDocument/2006/relationships/hyperlink" Target="javascript:void(0);" TargetMode="External"/><Relationship Id="rId325" Type="http://schemas.openxmlformats.org/officeDocument/2006/relationships/hyperlink" Target="javascript:void(0);" TargetMode="External"/><Relationship Id="rId532" Type="http://schemas.openxmlformats.org/officeDocument/2006/relationships/hyperlink" Target="javascript:void(0);" TargetMode="External"/><Relationship Id="rId977" Type="http://schemas.openxmlformats.org/officeDocument/2006/relationships/hyperlink" Target="javascript:void(0);" TargetMode="External"/><Relationship Id="rId1162" Type="http://schemas.openxmlformats.org/officeDocument/2006/relationships/hyperlink" Target="javascript:void(0);" TargetMode="External"/><Relationship Id="rId1828" Type="http://schemas.openxmlformats.org/officeDocument/2006/relationships/hyperlink" Target="javascript:void(0);" TargetMode="External"/><Relationship Id="rId2006" Type="http://schemas.openxmlformats.org/officeDocument/2006/relationships/hyperlink" Target="javascript:void(0);" TargetMode="External"/><Relationship Id="rId2213" Type="http://schemas.openxmlformats.org/officeDocument/2006/relationships/hyperlink" Target="javascript:void(0);" TargetMode="External"/><Relationship Id="rId171" Type="http://schemas.openxmlformats.org/officeDocument/2006/relationships/hyperlink" Target="javascript:void(0);" TargetMode="External"/><Relationship Id="rId837" Type="http://schemas.openxmlformats.org/officeDocument/2006/relationships/hyperlink" Target="javascript:void(0);" TargetMode="External"/><Relationship Id="rId1022" Type="http://schemas.openxmlformats.org/officeDocument/2006/relationships/hyperlink" Target="javascript:void(0);" TargetMode="External"/><Relationship Id="rId1467" Type="http://schemas.openxmlformats.org/officeDocument/2006/relationships/hyperlink" Target="javascript:void(0);" TargetMode="External"/><Relationship Id="rId1674" Type="http://schemas.openxmlformats.org/officeDocument/2006/relationships/hyperlink" Target="javascript:void(0);" TargetMode="External"/><Relationship Id="rId1881" Type="http://schemas.openxmlformats.org/officeDocument/2006/relationships/hyperlink" Target="javascript:void(0);" TargetMode="External"/><Relationship Id="rId2297" Type="http://schemas.openxmlformats.org/officeDocument/2006/relationships/hyperlink" Target="javascript:void(0);" TargetMode="External"/><Relationship Id="rId269" Type="http://schemas.openxmlformats.org/officeDocument/2006/relationships/hyperlink" Target="javascript:void(0);" TargetMode="External"/><Relationship Id="rId476" Type="http://schemas.openxmlformats.org/officeDocument/2006/relationships/hyperlink" Target="javascript:void(0);" TargetMode="External"/><Relationship Id="rId683" Type="http://schemas.openxmlformats.org/officeDocument/2006/relationships/hyperlink" Target="javascript:void(0);" TargetMode="External"/><Relationship Id="rId890" Type="http://schemas.openxmlformats.org/officeDocument/2006/relationships/hyperlink" Target="javascript:void(0);" TargetMode="External"/><Relationship Id="rId904" Type="http://schemas.openxmlformats.org/officeDocument/2006/relationships/hyperlink" Target="javascript:void(0);" TargetMode="External"/><Relationship Id="rId1327" Type="http://schemas.openxmlformats.org/officeDocument/2006/relationships/hyperlink" Target="javascript:void(0);" TargetMode="External"/><Relationship Id="rId1534" Type="http://schemas.openxmlformats.org/officeDocument/2006/relationships/hyperlink" Target="javascript:void(0);" TargetMode="External"/><Relationship Id="rId1741" Type="http://schemas.openxmlformats.org/officeDocument/2006/relationships/hyperlink" Target="javascript:void(0);" TargetMode="External"/><Relationship Id="rId1979" Type="http://schemas.openxmlformats.org/officeDocument/2006/relationships/hyperlink" Target="javascript:void(0);" TargetMode="External"/><Relationship Id="rId2157" Type="http://schemas.openxmlformats.org/officeDocument/2006/relationships/hyperlink" Target="javascript:void(0);" TargetMode="External"/><Relationship Id="rId33" Type="http://schemas.openxmlformats.org/officeDocument/2006/relationships/hyperlink" Target="javascript:void(0);" TargetMode="External"/><Relationship Id="rId129" Type="http://schemas.openxmlformats.org/officeDocument/2006/relationships/hyperlink" Target="javascript:void(0);" TargetMode="External"/><Relationship Id="rId336" Type="http://schemas.openxmlformats.org/officeDocument/2006/relationships/hyperlink" Target="javascript:void(0);" TargetMode="External"/><Relationship Id="rId543" Type="http://schemas.openxmlformats.org/officeDocument/2006/relationships/hyperlink" Target="javascript:void(0);" TargetMode="External"/><Relationship Id="rId988" Type="http://schemas.openxmlformats.org/officeDocument/2006/relationships/hyperlink" Target="javascript:void(0);" TargetMode="External"/><Relationship Id="rId1173" Type="http://schemas.openxmlformats.org/officeDocument/2006/relationships/hyperlink" Target="javascript:void(0);" TargetMode="External"/><Relationship Id="rId1380" Type="http://schemas.openxmlformats.org/officeDocument/2006/relationships/hyperlink" Target="javascript:void(0);" TargetMode="External"/><Relationship Id="rId1601" Type="http://schemas.openxmlformats.org/officeDocument/2006/relationships/hyperlink" Target="javascript:void(0);" TargetMode="External"/><Relationship Id="rId1839" Type="http://schemas.openxmlformats.org/officeDocument/2006/relationships/hyperlink" Target="javascript:void(0);" TargetMode="External"/><Relationship Id="rId2017" Type="http://schemas.openxmlformats.org/officeDocument/2006/relationships/hyperlink" Target="javascript:void(0);" TargetMode="External"/><Relationship Id="rId2224" Type="http://schemas.openxmlformats.org/officeDocument/2006/relationships/hyperlink" Target="javascript:void(0);" TargetMode="External"/><Relationship Id="rId182" Type="http://schemas.openxmlformats.org/officeDocument/2006/relationships/hyperlink" Target="javascript:void(0);" TargetMode="External"/><Relationship Id="rId403" Type="http://schemas.openxmlformats.org/officeDocument/2006/relationships/hyperlink" Target="javascript:void(0);" TargetMode="External"/><Relationship Id="rId750" Type="http://schemas.openxmlformats.org/officeDocument/2006/relationships/hyperlink" Target="javascript:void(0);" TargetMode="External"/><Relationship Id="rId848" Type="http://schemas.openxmlformats.org/officeDocument/2006/relationships/hyperlink" Target="javascript:void(0);" TargetMode="External"/><Relationship Id="rId1033" Type="http://schemas.openxmlformats.org/officeDocument/2006/relationships/hyperlink" Target="javascript:void(0);" TargetMode="External"/><Relationship Id="rId1478" Type="http://schemas.openxmlformats.org/officeDocument/2006/relationships/hyperlink" Target="javascript:void(0);" TargetMode="External"/><Relationship Id="rId1685" Type="http://schemas.openxmlformats.org/officeDocument/2006/relationships/hyperlink" Target="javascript:void(0);" TargetMode="External"/><Relationship Id="rId1892" Type="http://schemas.openxmlformats.org/officeDocument/2006/relationships/hyperlink" Target="javascript:void(0);" TargetMode="External"/><Relationship Id="rId1906" Type="http://schemas.openxmlformats.org/officeDocument/2006/relationships/hyperlink" Target="javascript:void(0);" TargetMode="External"/><Relationship Id="rId487" Type="http://schemas.openxmlformats.org/officeDocument/2006/relationships/hyperlink" Target="javascript:void(0);" TargetMode="External"/><Relationship Id="rId610" Type="http://schemas.openxmlformats.org/officeDocument/2006/relationships/hyperlink" Target="javascript:void(0);" TargetMode="External"/><Relationship Id="rId694" Type="http://schemas.openxmlformats.org/officeDocument/2006/relationships/hyperlink" Target="javascript:void(0);" TargetMode="External"/><Relationship Id="rId708" Type="http://schemas.openxmlformats.org/officeDocument/2006/relationships/hyperlink" Target="javascript:void(0);" TargetMode="External"/><Relationship Id="rId915" Type="http://schemas.openxmlformats.org/officeDocument/2006/relationships/hyperlink" Target="javascript:void(0);" TargetMode="External"/><Relationship Id="rId1240" Type="http://schemas.openxmlformats.org/officeDocument/2006/relationships/hyperlink" Target="javascript:void(0);" TargetMode="External"/><Relationship Id="rId1338" Type="http://schemas.openxmlformats.org/officeDocument/2006/relationships/hyperlink" Target="javascript:void(0);" TargetMode="External"/><Relationship Id="rId1545" Type="http://schemas.openxmlformats.org/officeDocument/2006/relationships/hyperlink" Target="javascript:void(0);" TargetMode="External"/><Relationship Id="rId2070" Type="http://schemas.openxmlformats.org/officeDocument/2006/relationships/hyperlink" Target="javascript:void(0);" TargetMode="External"/><Relationship Id="rId2168" Type="http://schemas.openxmlformats.org/officeDocument/2006/relationships/hyperlink" Target="javascript:void(0);" TargetMode="External"/><Relationship Id="rId347" Type="http://schemas.openxmlformats.org/officeDocument/2006/relationships/hyperlink" Target="javascript:void(0);" TargetMode="External"/><Relationship Id="rId999" Type="http://schemas.openxmlformats.org/officeDocument/2006/relationships/hyperlink" Target="javascript:void(0);" TargetMode="External"/><Relationship Id="rId1100" Type="http://schemas.openxmlformats.org/officeDocument/2006/relationships/hyperlink" Target="javascript:void(0);" TargetMode="External"/><Relationship Id="rId1184" Type="http://schemas.openxmlformats.org/officeDocument/2006/relationships/hyperlink" Target="javascript:void(0);" TargetMode="External"/><Relationship Id="rId1405" Type="http://schemas.openxmlformats.org/officeDocument/2006/relationships/hyperlink" Target="javascript:void(0);" TargetMode="External"/><Relationship Id="rId1752" Type="http://schemas.openxmlformats.org/officeDocument/2006/relationships/hyperlink" Target="javascript:void(0);" TargetMode="External"/><Relationship Id="rId2028" Type="http://schemas.openxmlformats.org/officeDocument/2006/relationships/hyperlink" Target="javascript:void(0);" TargetMode="External"/><Relationship Id="rId44" Type="http://schemas.openxmlformats.org/officeDocument/2006/relationships/hyperlink" Target="javascript:void(0);" TargetMode="External"/><Relationship Id="rId554" Type="http://schemas.openxmlformats.org/officeDocument/2006/relationships/hyperlink" Target="javascript:void(0);" TargetMode="External"/><Relationship Id="rId761" Type="http://schemas.openxmlformats.org/officeDocument/2006/relationships/hyperlink" Target="javascript:void(0);" TargetMode="External"/><Relationship Id="rId859" Type="http://schemas.openxmlformats.org/officeDocument/2006/relationships/hyperlink" Target="javascript:void(0);" TargetMode="External"/><Relationship Id="rId1391" Type="http://schemas.openxmlformats.org/officeDocument/2006/relationships/hyperlink" Target="javascript:void(0);" TargetMode="External"/><Relationship Id="rId1489" Type="http://schemas.openxmlformats.org/officeDocument/2006/relationships/hyperlink" Target="javascript:void(0);" TargetMode="External"/><Relationship Id="rId1612" Type="http://schemas.openxmlformats.org/officeDocument/2006/relationships/hyperlink" Target="javascript:void(0);" TargetMode="External"/><Relationship Id="rId1696" Type="http://schemas.openxmlformats.org/officeDocument/2006/relationships/hyperlink" Target="javascript:void(0);" TargetMode="External"/><Relationship Id="rId1917" Type="http://schemas.openxmlformats.org/officeDocument/2006/relationships/hyperlink" Target="javascript:void(0);" TargetMode="External"/><Relationship Id="rId2235" Type="http://schemas.openxmlformats.org/officeDocument/2006/relationships/hyperlink" Target="javascript:void(0);" TargetMode="External"/><Relationship Id="rId193" Type="http://schemas.openxmlformats.org/officeDocument/2006/relationships/hyperlink" Target="javascript:void(0);" TargetMode="External"/><Relationship Id="rId207" Type="http://schemas.openxmlformats.org/officeDocument/2006/relationships/hyperlink" Target="javascript:void(0);" TargetMode="External"/><Relationship Id="rId414" Type="http://schemas.openxmlformats.org/officeDocument/2006/relationships/hyperlink" Target="javascript:void(0);" TargetMode="External"/><Relationship Id="rId498" Type="http://schemas.openxmlformats.org/officeDocument/2006/relationships/hyperlink" Target="javascript:void(0);" TargetMode="External"/><Relationship Id="rId621" Type="http://schemas.openxmlformats.org/officeDocument/2006/relationships/hyperlink" Target="javascript:void(0);" TargetMode="External"/><Relationship Id="rId1044" Type="http://schemas.openxmlformats.org/officeDocument/2006/relationships/hyperlink" Target="javascript:void(0);" TargetMode="External"/><Relationship Id="rId1251" Type="http://schemas.openxmlformats.org/officeDocument/2006/relationships/hyperlink" Target="javascript:void(0);" TargetMode="External"/><Relationship Id="rId1349" Type="http://schemas.openxmlformats.org/officeDocument/2006/relationships/hyperlink" Target="javascript:void(0);" TargetMode="External"/><Relationship Id="rId2081" Type="http://schemas.openxmlformats.org/officeDocument/2006/relationships/hyperlink" Target="javascript:void(0);" TargetMode="External"/><Relationship Id="rId2179" Type="http://schemas.openxmlformats.org/officeDocument/2006/relationships/hyperlink" Target="javascript:void(0);" TargetMode="External"/><Relationship Id="rId260" Type="http://schemas.openxmlformats.org/officeDocument/2006/relationships/hyperlink" Target="javascript:void(0);" TargetMode="External"/><Relationship Id="rId719" Type="http://schemas.openxmlformats.org/officeDocument/2006/relationships/hyperlink" Target="javascript:void(0);" TargetMode="External"/><Relationship Id="rId926" Type="http://schemas.openxmlformats.org/officeDocument/2006/relationships/hyperlink" Target="javascript:void(0);" TargetMode="External"/><Relationship Id="rId1111" Type="http://schemas.openxmlformats.org/officeDocument/2006/relationships/hyperlink" Target="javascript:void(0);" TargetMode="External"/><Relationship Id="rId1556" Type="http://schemas.openxmlformats.org/officeDocument/2006/relationships/hyperlink" Target="javascript:void(0);" TargetMode="External"/><Relationship Id="rId1763" Type="http://schemas.openxmlformats.org/officeDocument/2006/relationships/hyperlink" Target="javascript:void(0);" TargetMode="External"/><Relationship Id="rId1970" Type="http://schemas.openxmlformats.org/officeDocument/2006/relationships/hyperlink" Target="javascript:void(0);" TargetMode="External"/><Relationship Id="rId55" Type="http://schemas.openxmlformats.org/officeDocument/2006/relationships/hyperlink" Target="javascript:void(0);" TargetMode="External"/><Relationship Id="rId120" Type="http://schemas.openxmlformats.org/officeDocument/2006/relationships/hyperlink" Target="javascript:void(0);" TargetMode="External"/><Relationship Id="rId358" Type="http://schemas.openxmlformats.org/officeDocument/2006/relationships/hyperlink" Target="javascript:void(0);" TargetMode="External"/><Relationship Id="rId565" Type="http://schemas.openxmlformats.org/officeDocument/2006/relationships/hyperlink" Target="javascript:void(0);" TargetMode="External"/><Relationship Id="rId772" Type="http://schemas.openxmlformats.org/officeDocument/2006/relationships/hyperlink" Target="javascript:void(0);" TargetMode="External"/><Relationship Id="rId1195" Type="http://schemas.openxmlformats.org/officeDocument/2006/relationships/hyperlink" Target="javascript:void(0);" TargetMode="External"/><Relationship Id="rId1209" Type="http://schemas.openxmlformats.org/officeDocument/2006/relationships/hyperlink" Target="javascript:void(0);" TargetMode="External"/><Relationship Id="rId1416" Type="http://schemas.openxmlformats.org/officeDocument/2006/relationships/hyperlink" Target="javascript:void(0);" TargetMode="External"/><Relationship Id="rId1623" Type="http://schemas.openxmlformats.org/officeDocument/2006/relationships/hyperlink" Target="javascript:void(0);" TargetMode="External"/><Relationship Id="rId1830" Type="http://schemas.openxmlformats.org/officeDocument/2006/relationships/hyperlink" Target="javascript:void(0);" TargetMode="External"/><Relationship Id="rId2039" Type="http://schemas.openxmlformats.org/officeDocument/2006/relationships/hyperlink" Target="javascript:void(0);" TargetMode="External"/><Relationship Id="rId2246" Type="http://schemas.openxmlformats.org/officeDocument/2006/relationships/hyperlink" Target="javascript:void(0);" TargetMode="External"/><Relationship Id="rId218" Type="http://schemas.openxmlformats.org/officeDocument/2006/relationships/hyperlink" Target="javascript:void(0);" TargetMode="External"/><Relationship Id="rId425" Type="http://schemas.openxmlformats.org/officeDocument/2006/relationships/hyperlink" Target="javascript:void(0);" TargetMode="External"/><Relationship Id="rId632" Type="http://schemas.openxmlformats.org/officeDocument/2006/relationships/hyperlink" Target="javascript:void(0);" TargetMode="External"/><Relationship Id="rId1055" Type="http://schemas.openxmlformats.org/officeDocument/2006/relationships/hyperlink" Target="javascript:void(0);" TargetMode="External"/><Relationship Id="rId1262" Type="http://schemas.openxmlformats.org/officeDocument/2006/relationships/hyperlink" Target="javascript:void(0);" TargetMode="External"/><Relationship Id="rId1928" Type="http://schemas.openxmlformats.org/officeDocument/2006/relationships/hyperlink" Target="javascript:void(0);" TargetMode="External"/><Relationship Id="rId2092" Type="http://schemas.openxmlformats.org/officeDocument/2006/relationships/hyperlink" Target="javascript:void(0);" TargetMode="External"/><Relationship Id="rId2106" Type="http://schemas.openxmlformats.org/officeDocument/2006/relationships/hyperlink" Target="javascript:void(0);" TargetMode="External"/><Relationship Id="rId271" Type="http://schemas.openxmlformats.org/officeDocument/2006/relationships/hyperlink" Target="javascript:void(0);" TargetMode="External"/><Relationship Id="rId937" Type="http://schemas.openxmlformats.org/officeDocument/2006/relationships/hyperlink" Target="javascript:void(0);" TargetMode="External"/><Relationship Id="rId1122" Type="http://schemas.openxmlformats.org/officeDocument/2006/relationships/hyperlink" Target="javascript:void(0);" TargetMode="External"/><Relationship Id="rId1567" Type="http://schemas.openxmlformats.org/officeDocument/2006/relationships/hyperlink" Target="javascript:void(0);" TargetMode="External"/><Relationship Id="rId1774" Type="http://schemas.openxmlformats.org/officeDocument/2006/relationships/hyperlink" Target="javascript:void(0);" TargetMode="External"/><Relationship Id="rId1981" Type="http://schemas.openxmlformats.org/officeDocument/2006/relationships/hyperlink" Target="javascript:void(0);" TargetMode="External"/><Relationship Id="rId66" Type="http://schemas.openxmlformats.org/officeDocument/2006/relationships/hyperlink" Target="javascript:void(0);" TargetMode="External"/><Relationship Id="rId131" Type="http://schemas.openxmlformats.org/officeDocument/2006/relationships/hyperlink" Target="javascript:void(0);" TargetMode="External"/><Relationship Id="rId369" Type="http://schemas.openxmlformats.org/officeDocument/2006/relationships/hyperlink" Target="javascript:void(0);" TargetMode="External"/><Relationship Id="rId576" Type="http://schemas.openxmlformats.org/officeDocument/2006/relationships/hyperlink" Target="javascript:void(0);" TargetMode="External"/><Relationship Id="rId783" Type="http://schemas.openxmlformats.org/officeDocument/2006/relationships/hyperlink" Target="javascript:void(0);" TargetMode="External"/><Relationship Id="rId990" Type="http://schemas.openxmlformats.org/officeDocument/2006/relationships/hyperlink" Target="javascript:void(0);" TargetMode="External"/><Relationship Id="rId1427" Type="http://schemas.openxmlformats.org/officeDocument/2006/relationships/hyperlink" Target="javascript:void(0);" TargetMode="External"/><Relationship Id="rId1634" Type="http://schemas.openxmlformats.org/officeDocument/2006/relationships/hyperlink" Target="javascript:void(0);" TargetMode="External"/><Relationship Id="rId1841" Type="http://schemas.openxmlformats.org/officeDocument/2006/relationships/hyperlink" Target="javascript:void(0);" TargetMode="External"/><Relationship Id="rId2257" Type="http://schemas.openxmlformats.org/officeDocument/2006/relationships/hyperlink" Target="javascript:void(0);" TargetMode="External"/><Relationship Id="rId229" Type="http://schemas.openxmlformats.org/officeDocument/2006/relationships/hyperlink" Target="javascript:void(0);" TargetMode="External"/><Relationship Id="rId436" Type="http://schemas.openxmlformats.org/officeDocument/2006/relationships/hyperlink" Target="javascript:void(0);" TargetMode="External"/><Relationship Id="rId643" Type="http://schemas.openxmlformats.org/officeDocument/2006/relationships/hyperlink" Target="javascript:void(0);" TargetMode="External"/><Relationship Id="rId1066" Type="http://schemas.openxmlformats.org/officeDocument/2006/relationships/hyperlink" Target="javascript:void(0);" TargetMode="External"/><Relationship Id="rId1273" Type="http://schemas.openxmlformats.org/officeDocument/2006/relationships/hyperlink" Target="javascript:void(0);" TargetMode="External"/><Relationship Id="rId1480" Type="http://schemas.openxmlformats.org/officeDocument/2006/relationships/hyperlink" Target="javascript:void(0);" TargetMode="External"/><Relationship Id="rId1939" Type="http://schemas.openxmlformats.org/officeDocument/2006/relationships/hyperlink" Target="javascript:void(0);" TargetMode="External"/><Relationship Id="rId2117" Type="http://schemas.openxmlformats.org/officeDocument/2006/relationships/hyperlink" Target="javascript:void(0);" TargetMode="External"/><Relationship Id="rId850" Type="http://schemas.openxmlformats.org/officeDocument/2006/relationships/hyperlink" Target="javascript:void(0);" TargetMode="External"/><Relationship Id="rId948" Type="http://schemas.openxmlformats.org/officeDocument/2006/relationships/hyperlink" Target="javascript:void(0);" TargetMode="External"/><Relationship Id="rId1133" Type="http://schemas.openxmlformats.org/officeDocument/2006/relationships/hyperlink" Target="javascript:void(0);" TargetMode="External"/><Relationship Id="rId1578" Type="http://schemas.openxmlformats.org/officeDocument/2006/relationships/hyperlink" Target="javascript:void(0);" TargetMode="External"/><Relationship Id="rId1701" Type="http://schemas.openxmlformats.org/officeDocument/2006/relationships/hyperlink" Target="javascript:void(0);" TargetMode="External"/><Relationship Id="rId1785" Type="http://schemas.openxmlformats.org/officeDocument/2006/relationships/hyperlink" Target="javascript:void(0);" TargetMode="External"/><Relationship Id="rId1992" Type="http://schemas.openxmlformats.org/officeDocument/2006/relationships/hyperlink" Target="javascript:void(0);" TargetMode="External"/><Relationship Id="rId77" Type="http://schemas.openxmlformats.org/officeDocument/2006/relationships/hyperlink" Target="javascript:void(0);" TargetMode="External"/><Relationship Id="rId282" Type="http://schemas.openxmlformats.org/officeDocument/2006/relationships/hyperlink" Target="javascript:void(0);" TargetMode="External"/><Relationship Id="rId503" Type="http://schemas.openxmlformats.org/officeDocument/2006/relationships/hyperlink" Target="javascript:void(0);" TargetMode="External"/><Relationship Id="rId587" Type="http://schemas.openxmlformats.org/officeDocument/2006/relationships/hyperlink" Target="javascript:void(0);" TargetMode="External"/><Relationship Id="rId710" Type="http://schemas.openxmlformats.org/officeDocument/2006/relationships/hyperlink" Target="javascript:void(0);" TargetMode="External"/><Relationship Id="rId808" Type="http://schemas.openxmlformats.org/officeDocument/2006/relationships/hyperlink" Target="javascript:void(0);" TargetMode="External"/><Relationship Id="rId1340" Type="http://schemas.openxmlformats.org/officeDocument/2006/relationships/hyperlink" Target="javascript:void(0);" TargetMode="External"/><Relationship Id="rId1438" Type="http://schemas.openxmlformats.org/officeDocument/2006/relationships/hyperlink" Target="javascript:void(0);" TargetMode="External"/><Relationship Id="rId1645" Type="http://schemas.openxmlformats.org/officeDocument/2006/relationships/hyperlink" Target="javascript:void(0);" TargetMode="External"/><Relationship Id="rId2170" Type="http://schemas.openxmlformats.org/officeDocument/2006/relationships/hyperlink" Target="javascript:void(0);" TargetMode="External"/><Relationship Id="rId2268" Type="http://schemas.openxmlformats.org/officeDocument/2006/relationships/hyperlink" Target="javascript:void(0);" TargetMode="External"/><Relationship Id="rId8" Type="http://schemas.openxmlformats.org/officeDocument/2006/relationships/hyperlink" Target="javascript:void(0);" TargetMode="External"/><Relationship Id="rId142" Type="http://schemas.openxmlformats.org/officeDocument/2006/relationships/hyperlink" Target="javascript:void(0);" TargetMode="External"/><Relationship Id="rId447" Type="http://schemas.openxmlformats.org/officeDocument/2006/relationships/hyperlink" Target="javascript:void(0);" TargetMode="External"/><Relationship Id="rId794" Type="http://schemas.openxmlformats.org/officeDocument/2006/relationships/hyperlink" Target="javascript:void(0);" TargetMode="External"/><Relationship Id="rId1077" Type="http://schemas.openxmlformats.org/officeDocument/2006/relationships/hyperlink" Target="javascript:void(0);" TargetMode="External"/><Relationship Id="rId1200" Type="http://schemas.openxmlformats.org/officeDocument/2006/relationships/hyperlink" Target="javascript:void(0);" TargetMode="External"/><Relationship Id="rId1852" Type="http://schemas.openxmlformats.org/officeDocument/2006/relationships/hyperlink" Target="javascript:void(0);" TargetMode="External"/><Relationship Id="rId2030" Type="http://schemas.openxmlformats.org/officeDocument/2006/relationships/hyperlink" Target="javascript:void(0);" TargetMode="External"/><Relationship Id="rId2128" Type="http://schemas.openxmlformats.org/officeDocument/2006/relationships/hyperlink" Target="javascript:void(0);" TargetMode="External"/><Relationship Id="rId654" Type="http://schemas.openxmlformats.org/officeDocument/2006/relationships/hyperlink" Target="javascript:void(0);" TargetMode="External"/><Relationship Id="rId861" Type="http://schemas.openxmlformats.org/officeDocument/2006/relationships/hyperlink" Target="javascript:void(0);" TargetMode="External"/><Relationship Id="rId959" Type="http://schemas.openxmlformats.org/officeDocument/2006/relationships/hyperlink" Target="javascript:void(0);" TargetMode="External"/><Relationship Id="rId1284" Type="http://schemas.openxmlformats.org/officeDocument/2006/relationships/hyperlink" Target="javascript:void(0);" TargetMode="External"/><Relationship Id="rId1491" Type="http://schemas.openxmlformats.org/officeDocument/2006/relationships/hyperlink" Target="javascript:void(0);" TargetMode="External"/><Relationship Id="rId1505" Type="http://schemas.openxmlformats.org/officeDocument/2006/relationships/hyperlink" Target="javascript:void(0);" TargetMode="External"/><Relationship Id="rId1589" Type="http://schemas.openxmlformats.org/officeDocument/2006/relationships/hyperlink" Target="javascript:void(0);" TargetMode="External"/><Relationship Id="rId1712" Type="http://schemas.openxmlformats.org/officeDocument/2006/relationships/hyperlink" Target="javascript:void(0);" TargetMode="External"/><Relationship Id="rId293" Type="http://schemas.openxmlformats.org/officeDocument/2006/relationships/hyperlink" Target="javascript:void(0);" TargetMode="External"/><Relationship Id="rId307" Type="http://schemas.openxmlformats.org/officeDocument/2006/relationships/hyperlink" Target="javascript:void(0);" TargetMode="External"/><Relationship Id="rId514" Type="http://schemas.openxmlformats.org/officeDocument/2006/relationships/hyperlink" Target="javascript:void(0);" TargetMode="External"/><Relationship Id="rId721" Type="http://schemas.openxmlformats.org/officeDocument/2006/relationships/hyperlink" Target="javascript:void(0);" TargetMode="External"/><Relationship Id="rId1144" Type="http://schemas.openxmlformats.org/officeDocument/2006/relationships/hyperlink" Target="javascript:void(0);" TargetMode="External"/><Relationship Id="rId1351" Type="http://schemas.openxmlformats.org/officeDocument/2006/relationships/hyperlink" Target="javascript:void(0);" TargetMode="External"/><Relationship Id="rId1449" Type="http://schemas.openxmlformats.org/officeDocument/2006/relationships/hyperlink" Target="javascript:void(0);" TargetMode="External"/><Relationship Id="rId1796" Type="http://schemas.openxmlformats.org/officeDocument/2006/relationships/hyperlink" Target="javascript:void(0);" TargetMode="External"/><Relationship Id="rId2181" Type="http://schemas.openxmlformats.org/officeDocument/2006/relationships/hyperlink" Target="javascript:void(0);" TargetMode="External"/><Relationship Id="rId88" Type="http://schemas.openxmlformats.org/officeDocument/2006/relationships/hyperlink" Target="javascript:void(0);" TargetMode="External"/><Relationship Id="rId153" Type="http://schemas.openxmlformats.org/officeDocument/2006/relationships/hyperlink" Target="javascript:void(0);" TargetMode="External"/><Relationship Id="rId360" Type="http://schemas.openxmlformats.org/officeDocument/2006/relationships/hyperlink" Target="javascript:void(0);" TargetMode="External"/><Relationship Id="rId598" Type="http://schemas.openxmlformats.org/officeDocument/2006/relationships/hyperlink" Target="javascript:void(0);" TargetMode="External"/><Relationship Id="rId819" Type="http://schemas.openxmlformats.org/officeDocument/2006/relationships/hyperlink" Target="javascript:void(0);" TargetMode="External"/><Relationship Id="rId1004" Type="http://schemas.openxmlformats.org/officeDocument/2006/relationships/hyperlink" Target="javascript:void(0);" TargetMode="External"/><Relationship Id="rId1211" Type="http://schemas.openxmlformats.org/officeDocument/2006/relationships/hyperlink" Target="javascript:void(0);" TargetMode="External"/><Relationship Id="rId1656" Type="http://schemas.openxmlformats.org/officeDocument/2006/relationships/hyperlink" Target="javascript:void(0);" TargetMode="External"/><Relationship Id="rId1863" Type="http://schemas.openxmlformats.org/officeDocument/2006/relationships/hyperlink" Target="javascript:void(0);" TargetMode="External"/><Relationship Id="rId2041" Type="http://schemas.openxmlformats.org/officeDocument/2006/relationships/hyperlink" Target="javascript:void(0);" TargetMode="External"/><Relationship Id="rId2279" Type="http://schemas.openxmlformats.org/officeDocument/2006/relationships/hyperlink" Target="javascript:void(0);" TargetMode="External"/><Relationship Id="rId220" Type="http://schemas.openxmlformats.org/officeDocument/2006/relationships/hyperlink" Target="javascript:void(0);" TargetMode="External"/><Relationship Id="rId458" Type="http://schemas.openxmlformats.org/officeDocument/2006/relationships/hyperlink" Target="javascript:void(0);" TargetMode="External"/><Relationship Id="rId665" Type="http://schemas.openxmlformats.org/officeDocument/2006/relationships/hyperlink" Target="javascript:void(0);" TargetMode="External"/><Relationship Id="rId872" Type="http://schemas.openxmlformats.org/officeDocument/2006/relationships/hyperlink" Target="javascript:void(0);" TargetMode="External"/><Relationship Id="rId1088" Type="http://schemas.openxmlformats.org/officeDocument/2006/relationships/hyperlink" Target="javascript:void(0);" TargetMode="External"/><Relationship Id="rId1295" Type="http://schemas.openxmlformats.org/officeDocument/2006/relationships/hyperlink" Target="javascript:void(0);" TargetMode="External"/><Relationship Id="rId1309" Type="http://schemas.openxmlformats.org/officeDocument/2006/relationships/hyperlink" Target="javascript:void(0);" TargetMode="External"/><Relationship Id="rId1516" Type="http://schemas.openxmlformats.org/officeDocument/2006/relationships/hyperlink" Target="javascript:void(0);" TargetMode="External"/><Relationship Id="rId1723" Type="http://schemas.openxmlformats.org/officeDocument/2006/relationships/hyperlink" Target="javascript:void(0);" TargetMode="External"/><Relationship Id="rId1930" Type="http://schemas.openxmlformats.org/officeDocument/2006/relationships/hyperlink" Target="javascript:void(0);" TargetMode="External"/><Relationship Id="rId2139" Type="http://schemas.openxmlformats.org/officeDocument/2006/relationships/hyperlink" Target="javascript:void(0);" TargetMode="External"/><Relationship Id="rId15" Type="http://schemas.openxmlformats.org/officeDocument/2006/relationships/hyperlink" Target="javascript:void(0);" TargetMode="External"/><Relationship Id="rId318" Type="http://schemas.openxmlformats.org/officeDocument/2006/relationships/hyperlink" Target="javascript:void(0);" TargetMode="External"/><Relationship Id="rId525" Type="http://schemas.openxmlformats.org/officeDocument/2006/relationships/hyperlink" Target="javascript:void(0);" TargetMode="External"/><Relationship Id="rId732" Type="http://schemas.openxmlformats.org/officeDocument/2006/relationships/hyperlink" Target="javascript:void(0);" TargetMode="External"/><Relationship Id="rId1155" Type="http://schemas.openxmlformats.org/officeDocument/2006/relationships/hyperlink" Target="javascript:void(0);" TargetMode="External"/><Relationship Id="rId1362" Type="http://schemas.openxmlformats.org/officeDocument/2006/relationships/hyperlink" Target="javascript:void(0);" TargetMode="External"/><Relationship Id="rId2192" Type="http://schemas.openxmlformats.org/officeDocument/2006/relationships/hyperlink" Target="javascript:void(0);" TargetMode="External"/><Relationship Id="rId2206" Type="http://schemas.openxmlformats.org/officeDocument/2006/relationships/hyperlink" Target="javascript:void(0);" TargetMode="External"/><Relationship Id="rId99" Type="http://schemas.openxmlformats.org/officeDocument/2006/relationships/hyperlink" Target="javascript:void(0);" TargetMode="External"/><Relationship Id="rId164" Type="http://schemas.openxmlformats.org/officeDocument/2006/relationships/hyperlink" Target="javascript:void(0);" TargetMode="External"/><Relationship Id="rId371" Type="http://schemas.openxmlformats.org/officeDocument/2006/relationships/hyperlink" Target="javascript:void(0);" TargetMode="External"/><Relationship Id="rId1015" Type="http://schemas.openxmlformats.org/officeDocument/2006/relationships/hyperlink" Target="javascript:void(0);" TargetMode="External"/><Relationship Id="rId1222" Type="http://schemas.openxmlformats.org/officeDocument/2006/relationships/hyperlink" Target="javascript:void(0);" TargetMode="External"/><Relationship Id="rId1667" Type="http://schemas.openxmlformats.org/officeDocument/2006/relationships/hyperlink" Target="javascript:void(0);" TargetMode="External"/><Relationship Id="rId1874" Type="http://schemas.openxmlformats.org/officeDocument/2006/relationships/hyperlink" Target="javascript:void(0);" TargetMode="External"/><Relationship Id="rId2052" Type="http://schemas.openxmlformats.org/officeDocument/2006/relationships/hyperlink" Target="javascript:void(0);" TargetMode="External"/><Relationship Id="rId469" Type="http://schemas.openxmlformats.org/officeDocument/2006/relationships/hyperlink" Target="javascript:void(0);" TargetMode="External"/><Relationship Id="rId676" Type="http://schemas.openxmlformats.org/officeDocument/2006/relationships/hyperlink" Target="javascript:void(0);" TargetMode="External"/><Relationship Id="rId883" Type="http://schemas.openxmlformats.org/officeDocument/2006/relationships/hyperlink" Target="javascript:void(0);" TargetMode="External"/><Relationship Id="rId1099" Type="http://schemas.openxmlformats.org/officeDocument/2006/relationships/hyperlink" Target="javascript:void(0);" TargetMode="External"/><Relationship Id="rId1527" Type="http://schemas.openxmlformats.org/officeDocument/2006/relationships/hyperlink" Target="javascript:void(0);" TargetMode="External"/><Relationship Id="rId1734" Type="http://schemas.openxmlformats.org/officeDocument/2006/relationships/hyperlink" Target="javascript:void(0);" TargetMode="External"/><Relationship Id="rId1941" Type="http://schemas.openxmlformats.org/officeDocument/2006/relationships/hyperlink" Target="javascript:void(0);" TargetMode="External"/><Relationship Id="rId26" Type="http://schemas.openxmlformats.org/officeDocument/2006/relationships/hyperlink" Target="javascript:void(0);" TargetMode="External"/><Relationship Id="rId231" Type="http://schemas.openxmlformats.org/officeDocument/2006/relationships/hyperlink" Target="javascript:void(0);" TargetMode="External"/><Relationship Id="rId329" Type="http://schemas.openxmlformats.org/officeDocument/2006/relationships/hyperlink" Target="javascript:void(0);" TargetMode="External"/><Relationship Id="rId536" Type="http://schemas.openxmlformats.org/officeDocument/2006/relationships/hyperlink" Target="javascript:void(0);" TargetMode="External"/><Relationship Id="rId1166" Type="http://schemas.openxmlformats.org/officeDocument/2006/relationships/hyperlink" Target="javascript:void(0);" TargetMode="External"/><Relationship Id="rId1373" Type="http://schemas.openxmlformats.org/officeDocument/2006/relationships/hyperlink" Target="javascript:void(0);" TargetMode="External"/><Relationship Id="rId2217" Type="http://schemas.openxmlformats.org/officeDocument/2006/relationships/hyperlink" Target="javascript:void(0);" TargetMode="External"/><Relationship Id="rId175" Type="http://schemas.openxmlformats.org/officeDocument/2006/relationships/hyperlink" Target="javascript:void(0);" TargetMode="External"/><Relationship Id="rId743" Type="http://schemas.openxmlformats.org/officeDocument/2006/relationships/hyperlink" Target="javascript:void(0);" TargetMode="External"/><Relationship Id="rId950" Type="http://schemas.openxmlformats.org/officeDocument/2006/relationships/hyperlink" Target="javascript:void(0);" TargetMode="External"/><Relationship Id="rId1026" Type="http://schemas.openxmlformats.org/officeDocument/2006/relationships/hyperlink" Target="javascript:void(0);" TargetMode="External"/><Relationship Id="rId1580" Type="http://schemas.openxmlformats.org/officeDocument/2006/relationships/hyperlink" Target="javascript:void(0);" TargetMode="External"/><Relationship Id="rId1678" Type="http://schemas.openxmlformats.org/officeDocument/2006/relationships/hyperlink" Target="javascript:void(0);" TargetMode="External"/><Relationship Id="rId1801" Type="http://schemas.openxmlformats.org/officeDocument/2006/relationships/hyperlink" Target="javascript:void(0);" TargetMode="External"/><Relationship Id="rId1885" Type="http://schemas.openxmlformats.org/officeDocument/2006/relationships/hyperlink" Target="javascript:void(0);" TargetMode="External"/><Relationship Id="rId382" Type="http://schemas.openxmlformats.org/officeDocument/2006/relationships/hyperlink" Target="javascript:void(0);" TargetMode="External"/><Relationship Id="rId603" Type="http://schemas.openxmlformats.org/officeDocument/2006/relationships/hyperlink" Target="javascript:void(0);" TargetMode="External"/><Relationship Id="rId687" Type="http://schemas.openxmlformats.org/officeDocument/2006/relationships/hyperlink" Target="javascript:void(0);" TargetMode="External"/><Relationship Id="rId810" Type="http://schemas.openxmlformats.org/officeDocument/2006/relationships/hyperlink" Target="javascript:void(0);" TargetMode="External"/><Relationship Id="rId908" Type="http://schemas.openxmlformats.org/officeDocument/2006/relationships/hyperlink" Target="javascript:void(0);" TargetMode="External"/><Relationship Id="rId1233" Type="http://schemas.openxmlformats.org/officeDocument/2006/relationships/hyperlink" Target="javascript:void(0);" TargetMode="External"/><Relationship Id="rId1440" Type="http://schemas.openxmlformats.org/officeDocument/2006/relationships/hyperlink" Target="javascript:void(0);" TargetMode="External"/><Relationship Id="rId1538" Type="http://schemas.openxmlformats.org/officeDocument/2006/relationships/hyperlink" Target="javascript:void(0);" TargetMode="External"/><Relationship Id="rId2063" Type="http://schemas.openxmlformats.org/officeDocument/2006/relationships/hyperlink" Target="javascript:void(0);" TargetMode="External"/><Relationship Id="rId2270" Type="http://schemas.openxmlformats.org/officeDocument/2006/relationships/hyperlink" Target="javascript:void(0);" TargetMode="External"/><Relationship Id="rId242" Type="http://schemas.openxmlformats.org/officeDocument/2006/relationships/hyperlink" Target="javascript:void(0);" TargetMode="External"/><Relationship Id="rId894" Type="http://schemas.openxmlformats.org/officeDocument/2006/relationships/hyperlink" Target="javascript:void(0);" TargetMode="External"/><Relationship Id="rId1177" Type="http://schemas.openxmlformats.org/officeDocument/2006/relationships/hyperlink" Target="javascript:void(0);" TargetMode="External"/><Relationship Id="rId1300" Type="http://schemas.openxmlformats.org/officeDocument/2006/relationships/hyperlink" Target="javascript:void(0);" TargetMode="External"/><Relationship Id="rId1745" Type="http://schemas.openxmlformats.org/officeDocument/2006/relationships/hyperlink" Target="javascript:void(0);" TargetMode="External"/><Relationship Id="rId1952" Type="http://schemas.openxmlformats.org/officeDocument/2006/relationships/hyperlink" Target="javascript:void(0);" TargetMode="External"/><Relationship Id="rId2130" Type="http://schemas.openxmlformats.org/officeDocument/2006/relationships/hyperlink" Target="javascript:void(0);" TargetMode="External"/><Relationship Id="rId37" Type="http://schemas.openxmlformats.org/officeDocument/2006/relationships/hyperlink" Target="javascript:void(0);" TargetMode="External"/><Relationship Id="rId102" Type="http://schemas.openxmlformats.org/officeDocument/2006/relationships/hyperlink" Target="javascript:void(0);" TargetMode="External"/><Relationship Id="rId547" Type="http://schemas.openxmlformats.org/officeDocument/2006/relationships/hyperlink" Target="javascript:void(0);" TargetMode="External"/><Relationship Id="rId754" Type="http://schemas.openxmlformats.org/officeDocument/2006/relationships/hyperlink" Target="javascript:void(0);" TargetMode="External"/><Relationship Id="rId961" Type="http://schemas.openxmlformats.org/officeDocument/2006/relationships/hyperlink" Target="javascript:void(0);" TargetMode="External"/><Relationship Id="rId1384" Type="http://schemas.openxmlformats.org/officeDocument/2006/relationships/hyperlink" Target="javascript:void(0);" TargetMode="External"/><Relationship Id="rId1591" Type="http://schemas.openxmlformats.org/officeDocument/2006/relationships/hyperlink" Target="javascript:void(0);" TargetMode="External"/><Relationship Id="rId1605" Type="http://schemas.openxmlformats.org/officeDocument/2006/relationships/hyperlink" Target="javascript:void(0);" TargetMode="External"/><Relationship Id="rId1689" Type="http://schemas.openxmlformats.org/officeDocument/2006/relationships/hyperlink" Target="javascript:void(0);" TargetMode="External"/><Relationship Id="rId1812" Type="http://schemas.openxmlformats.org/officeDocument/2006/relationships/hyperlink" Target="javascript:void(0);" TargetMode="External"/><Relationship Id="rId2228" Type="http://schemas.openxmlformats.org/officeDocument/2006/relationships/hyperlink" Target="javascript:void(0);" TargetMode="External"/><Relationship Id="rId90" Type="http://schemas.openxmlformats.org/officeDocument/2006/relationships/hyperlink" Target="javascript:void(0);" TargetMode="External"/><Relationship Id="rId186" Type="http://schemas.openxmlformats.org/officeDocument/2006/relationships/hyperlink" Target="javascript:void(0);" TargetMode="External"/><Relationship Id="rId393" Type="http://schemas.openxmlformats.org/officeDocument/2006/relationships/hyperlink" Target="javascript:void(0);" TargetMode="External"/><Relationship Id="rId407" Type="http://schemas.openxmlformats.org/officeDocument/2006/relationships/hyperlink" Target="javascript:void(0);" TargetMode="External"/><Relationship Id="rId614" Type="http://schemas.openxmlformats.org/officeDocument/2006/relationships/hyperlink" Target="javascript:void(0);" TargetMode="External"/><Relationship Id="rId821" Type="http://schemas.openxmlformats.org/officeDocument/2006/relationships/hyperlink" Target="javascript:void(0);" TargetMode="External"/><Relationship Id="rId1037" Type="http://schemas.openxmlformats.org/officeDocument/2006/relationships/hyperlink" Target="javascript:void(0);" TargetMode="External"/><Relationship Id="rId1244" Type="http://schemas.openxmlformats.org/officeDocument/2006/relationships/hyperlink" Target="javascript:void(0);" TargetMode="External"/><Relationship Id="rId1451" Type="http://schemas.openxmlformats.org/officeDocument/2006/relationships/hyperlink" Target="javascript:void(0);" TargetMode="External"/><Relationship Id="rId1896" Type="http://schemas.openxmlformats.org/officeDocument/2006/relationships/hyperlink" Target="javascript:void(0);" TargetMode="External"/><Relationship Id="rId2074" Type="http://schemas.openxmlformats.org/officeDocument/2006/relationships/hyperlink" Target="javascript:void(0);" TargetMode="External"/><Relationship Id="rId2281" Type="http://schemas.openxmlformats.org/officeDocument/2006/relationships/hyperlink" Target="javascript:void(0);" TargetMode="External"/><Relationship Id="rId253" Type="http://schemas.openxmlformats.org/officeDocument/2006/relationships/hyperlink" Target="javascript:void(0);" TargetMode="External"/><Relationship Id="rId460" Type="http://schemas.openxmlformats.org/officeDocument/2006/relationships/hyperlink" Target="javascript:void(0);" TargetMode="External"/><Relationship Id="rId698" Type="http://schemas.openxmlformats.org/officeDocument/2006/relationships/hyperlink" Target="javascript:void(0);" TargetMode="External"/><Relationship Id="rId919" Type="http://schemas.openxmlformats.org/officeDocument/2006/relationships/hyperlink" Target="javascript:void(0);" TargetMode="External"/><Relationship Id="rId1090" Type="http://schemas.openxmlformats.org/officeDocument/2006/relationships/hyperlink" Target="javascript:void(0);" TargetMode="External"/><Relationship Id="rId1104" Type="http://schemas.openxmlformats.org/officeDocument/2006/relationships/hyperlink" Target="javascript:void(0);" TargetMode="External"/><Relationship Id="rId1311" Type="http://schemas.openxmlformats.org/officeDocument/2006/relationships/hyperlink" Target="javascript:void(0);" TargetMode="External"/><Relationship Id="rId1549" Type="http://schemas.openxmlformats.org/officeDocument/2006/relationships/hyperlink" Target="javascript:void(0);" TargetMode="External"/><Relationship Id="rId1756" Type="http://schemas.openxmlformats.org/officeDocument/2006/relationships/hyperlink" Target="javascript:void(0);" TargetMode="External"/><Relationship Id="rId1963" Type="http://schemas.openxmlformats.org/officeDocument/2006/relationships/hyperlink" Target="javascript:void(0);" TargetMode="External"/><Relationship Id="rId2141" Type="http://schemas.openxmlformats.org/officeDocument/2006/relationships/hyperlink" Target="javascript:void(0);" TargetMode="External"/><Relationship Id="rId48" Type="http://schemas.openxmlformats.org/officeDocument/2006/relationships/hyperlink" Target="javascript:void(0);" TargetMode="External"/><Relationship Id="rId113" Type="http://schemas.openxmlformats.org/officeDocument/2006/relationships/hyperlink" Target="javascript:void(0);" TargetMode="External"/><Relationship Id="rId320" Type="http://schemas.openxmlformats.org/officeDocument/2006/relationships/hyperlink" Target="javascript:void(0);" TargetMode="External"/><Relationship Id="rId558" Type="http://schemas.openxmlformats.org/officeDocument/2006/relationships/hyperlink" Target="javascript:void(0);" TargetMode="External"/><Relationship Id="rId765" Type="http://schemas.openxmlformats.org/officeDocument/2006/relationships/hyperlink" Target="javascript:void(0);" TargetMode="External"/><Relationship Id="rId972" Type="http://schemas.openxmlformats.org/officeDocument/2006/relationships/hyperlink" Target="javascript:void(0);" TargetMode="External"/><Relationship Id="rId1188" Type="http://schemas.openxmlformats.org/officeDocument/2006/relationships/hyperlink" Target="javascript:void(0);" TargetMode="External"/><Relationship Id="rId1395" Type="http://schemas.openxmlformats.org/officeDocument/2006/relationships/hyperlink" Target="javascript:void(0);" TargetMode="External"/><Relationship Id="rId1409" Type="http://schemas.openxmlformats.org/officeDocument/2006/relationships/hyperlink" Target="javascript:void(0);" TargetMode="External"/><Relationship Id="rId1616" Type="http://schemas.openxmlformats.org/officeDocument/2006/relationships/hyperlink" Target="javascript:void(0);" TargetMode="External"/><Relationship Id="rId1823" Type="http://schemas.openxmlformats.org/officeDocument/2006/relationships/hyperlink" Target="javascript:void(0);" TargetMode="External"/><Relationship Id="rId2001" Type="http://schemas.openxmlformats.org/officeDocument/2006/relationships/hyperlink" Target="javascript:void(0);" TargetMode="External"/><Relationship Id="rId2239" Type="http://schemas.openxmlformats.org/officeDocument/2006/relationships/hyperlink" Target="javascript:void(0);" TargetMode="External"/><Relationship Id="rId197" Type="http://schemas.openxmlformats.org/officeDocument/2006/relationships/hyperlink" Target="javascript:void(0);" TargetMode="External"/><Relationship Id="rId418" Type="http://schemas.openxmlformats.org/officeDocument/2006/relationships/hyperlink" Target="javascript:void(0);" TargetMode="External"/><Relationship Id="rId625" Type="http://schemas.openxmlformats.org/officeDocument/2006/relationships/hyperlink" Target="javascript:void(0);" TargetMode="External"/><Relationship Id="rId832" Type="http://schemas.openxmlformats.org/officeDocument/2006/relationships/hyperlink" Target="javascript:void(0);" TargetMode="External"/><Relationship Id="rId1048" Type="http://schemas.openxmlformats.org/officeDocument/2006/relationships/hyperlink" Target="javascript:void(0);" TargetMode="External"/><Relationship Id="rId1255" Type="http://schemas.openxmlformats.org/officeDocument/2006/relationships/hyperlink" Target="javascript:void(0);" TargetMode="External"/><Relationship Id="rId1462" Type="http://schemas.openxmlformats.org/officeDocument/2006/relationships/hyperlink" Target="javascript:void(0);" TargetMode="External"/><Relationship Id="rId2085" Type="http://schemas.openxmlformats.org/officeDocument/2006/relationships/hyperlink" Target="javascript:void(0);" TargetMode="External"/><Relationship Id="rId2292" Type="http://schemas.openxmlformats.org/officeDocument/2006/relationships/hyperlink" Target="javascript:void(0);" TargetMode="External"/><Relationship Id="rId264" Type="http://schemas.openxmlformats.org/officeDocument/2006/relationships/hyperlink" Target="javascript:void(0);" TargetMode="External"/><Relationship Id="rId471" Type="http://schemas.openxmlformats.org/officeDocument/2006/relationships/hyperlink" Target="javascript:void(0);" TargetMode="External"/><Relationship Id="rId1115" Type="http://schemas.openxmlformats.org/officeDocument/2006/relationships/hyperlink" Target="javascript:void(0);" TargetMode="External"/><Relationship Id="rId1322" Type="http://schemas.openxmlformats.org/officeDocument/2006/relationships/hyperlink" Target="javascript:void(0);" TargetMode="External"/><Relationship Id="rId1767" Type="http://schemas.openxmlformats.org/officeDocument/2006/relationships/hyperlink" Target="javascript:void(0);" TargetMode="External"/><Relationship Id="rId1974" Type="http://schemas.openxmlformats.org/officeDocument/2006/relationships/hyperlink" Target="javascript:void(0);" TargetMode="External"/><Relationship Id="rId2152" Type="http://schemas.openxmlformats.org/officeDocument/2006/relationships/hyperlink" Target="javascript:void(0);" TargetMode="External"/><Relationship Id="rId59" Type="http://schemas.openxmlformats.org/officeDocument/2006/relationships/hyperlink" Target="javascript:void(0);" TargetMode="External"/><Relationship Id="rId124" Type="http://schemas.openxmlformats.org/officeDocument/2006/relationships/hyperlink" Target="javascript:void(0);" TargetMode="External"/><Relationship Id="rId569" Type="http://schemas.openxmlformats.org/officeDocument/2006/relationships/hyperlink" Target="javascript:void(0);" TargetMode="External"/><Relationship Id="rId776" Type="http://schemas.openxmlformats.org/officeDocument/2006/relationships/hyperlink" Target="javascript:void(0);" TargetMode="External"/><Relationship Id="rId983" Type="http://schemas.openxmlformats.org/officeDocument/2006/relationships/hyperlink" Target="javascript:void(0);" TargetMode="External"/><Relationship Id="rId1199" Type="http://schemas.openxmlformats.org/officeDocument/2006/relationships/hyperlink" Target="javascript:void(0);" TargetMode="External"/><Relationship Id="rId1627" Type="http://schemas.openxmlformats.org/officeDocument/2006/relationships/hyperlink" Target="javascript:void(0);" TargetMode="External"/><Relationship Id="rId1834" Type="http://schemas.openxmlformats.org/officeDocument/2006/relationships/hyperlink" Target="javascript:void(0);" TargetMode="External"/><Relationship Id="rId331" Type="http://schemas.openxmlformats.org/officeDocument/2006/relationships/hyperlink" Target="javascript:void(0);" TargetMode="External"/><Relationship Id="rId429" Type="http://schemas.openxmlformats.org/officeDocument/2006/relationships/hyperlink" Target="javascript:void(0);" TargetMode="External"/><Relationship Id="rId636" Type="http://schemas.openxmlformats.org/officeDocument/2006/relationships/hyperlink" Target="javascript:void(0);" TargetMode="External"/><Relationship Id="rId1059" Type="http://schemas.openxmlformats.org/officeDocument/2006/relationships/hyperlink" Target="javascript:void(0);" TargetMode="External"/><Relationship Id="rId1266" Type="http://schemas.openxmlformats.org/officeDocument/2006/relationships/hyperlink" Target="javascript:void(0);" TargetMode="External"/><Relationship Id="rId1473" Type="http://schemas.openxmlformats.org/officeDocument/2006/relationships/hyperlink" Target="javascript:void(0);" TargetMode="External"/><Relationship Id="rId2012" Type="http://schemas.openxmlformats.org/officeDocument/2006/relationships/hyperlink" Target="javascript:void(0);" TargetMode="External"/><Relationship Id="rId2096" Type="http://schemas.openxmlformats.org/officeDocument/2006/relationships/hyperlink" Target="javascript:void(0);" TargetMode="External"/><Relationship Id="rId843" Type="http://schemas.openxmlformats.org/officeDocument/2006/relationships/hyperlink" Target="javascript:void(0);" TargetMode="External"/><Relationship Id="rId1126" Type="http://schemas.openxmlformats.org/officeDocument/2006/relationships/hyperlink" Target="javascript:void(0);" TargetMode="External"/><Relationship Id="rId1680" Type="http://schemas.openxmlformats.org/officeDocument/2006/relationships/hyperlink" Target="javascript:void(0);" TargetMode="External"/><Relationship Id="rId1778" Type="http://schemas.openxmlformats.org/officeDocument/2006/relationships/hyperlink" Target="javascript:void(0);" TargetMode="External"/><Relationship Id="rId1901" Type="http://schemas.openxmlformats.org/officeDocument/2006/relationships/hyperlink" Target="javascript:void(0);" TargetMode="External"/><Relationship Id="rId1985" Type="http://schemas.openxmlformats.org/officeDocument/2006/relationships/hyperlink" Target="javascript:void(0);" TargetMode="External"/><Relationship Id="rId275" Type="http://schemas.openxmlformats.org/officeDocument/2006/relationships/hyperlink" Target="javascript:void(0);" TargetMode="External"/><Relationship Id="rId482" Type="http://schemas.openxmlformats.org/officeDocument/2006/relationships/hyperlink" Target="javascript:void(0);" TargetMode="External"/><Relationship Id="rId703" Type="http://schemas.openxmlformats.org/officeDocument/2006/relationships/hyperlink" Target="javascript:void(0);" TargetMode="External"/><Relationship Id="rId910" Type="http://schemas.openxmlformats.org/officeDocument/2006/relationships/hyperlink" Target="javascript:void(0);" TargetMode="External"/><Relationship Id="rId1333" Type="http://schemas.openxmlformats.org/officeDocument/2006/relationships/hyperlink" Target="javascript:void(0);" TargetMode="External"/><Relationship Id="rId1540" Type="http://schemas.openxmlformats.org/officeDocument/2006/relationships/hyperlink" Target="javascript:void(0);" TargetMode="External"/><Relationship Id="rId1638" Type="http://schemas.openxmlformats.org/officeDocument/2006/relationships/hyperlink" Target="javascript:void(0);" TargetMode="External"/><Relationship Id="rId2163" Type="http://schemas.openxmlformats.org/officeDocument/2006/relationships/hyperlink" Target="javascript:void(0);" TargetMode="External"/><Relationship Id="rId135" Type="http://schemas.openxmlformats.org/officeDocument/2006/relationships/hyperlink" Target="javascript:void(0);" TargetMode="External"/><Relationship Id="rId342" Type="http://schemas.openxmlformats.org/officeDocument/2006/relationships/hyperlink" Target="javascript:void(0);" TargetMode="External"/><Relationship Id="rId787" Type="http://schemas.openxmlformats.org/officeDocument/2006/relationships/hyperlink" Target="javascript:void(0);" TargetMode="External"/><Relationship Id="rId994" Type="http://schemas.openxmlformats.org/officeDocument/2006/relationships/hyperlink" Target="javascript:void(0);" TargetMode="External"/><Relationship Id="rId1400" Type="http://schemas.openxmlformats.org/officeDocument/2006/relationships/hyperlink" Target="javascript:void(0);" TargetMode="External"/><Relationship Id="rId1845" Type="http://schemas.openxmlformats.org/officeDocument/2006/relationships/hyperlink" Target="javascript:void(0);" TargetMode="External"/><Relationship Id="rId2023" Type="http://schemas.openxmlformats.org/officeDocument/2006/relationships/hyperlink" Target="javascript:void(0);" TargetMode="External"/><Relationship Id="rId2230" Type="http://schemas.openxmlformats.org/officeDocument/2006/relationships/hyperlink" Target="javascript:void(0);" TargetMode="External"/><Relationship Id="rId202" Type="http://schemas.openxmlformats.org/officeDocument/2006/relationships/hyperlink" Target="javascript:void(0);" TargetMode="External"/><Relationship Id="rId647" Type="http://schemas.openxmlformats.org/officeDocument/2006/relationships/hyperlink" Target="javascript:void(0);" TargetMode="External"/><Relationship Id="rId854" Type="http://schemas.openxmlformats.org/officeDocument/2006/relationships/hyperlink" Target="javascript:void(0);" TargetMode="External"/><Relationship Id="rId1277" Type="http://schemas.openxmlformats.org/officeDocument/2006/relationships/hyperlink" Target="javascript:void(0);" TargetMode="External"/><Relationship Id="rId1484" Type="http://schemas.openxmlformats.org/officeDocument/2006/relationships/hyperlink" Target="javascript:void(0);" TargetMode="External"/><Relationship Id="rId1691" Type="http://schemas.openxmlformats.org/officeDocument/2006/relationships/hyperlink" Target="javascript:void(0);" TargetMode="External"/><Relationship Id="rId1705" Type="http://schemas.openxmlformats.org/officeDocument/2006/relationships/hyperlink" Target="javascript:void(0);" TargetMode="External"/><Relationship Id="rId1912" Type="http://schemas.openxmlformats.org/officeDocument/2006/relationships/hyperlink" Target="javascript:void(0);" TargetMode="External"/><Relationship Id="rId286" Type="http://schemas.openxmlformats.org/officeDocument/2006/relationships/hyperlink" Target="javascript:void(0);" TargetMode="External"/><Relationship Id="rId493" Type="http://schemas.openxmlformats.org/officeDocument/2006/relationships/hyperlink" Target="javascript:void(0);" TargetMode="External"/><Relationship Id="rId507" Type="http://schemas.openxmlformats.org/officeDocument/2006/relationships/hyperlink" Target="javascript:void(0);" TargetMode="External"/><Relationship Id="rId714" Type="http://schemas.openxmlformats.org/officeDocument/2006/relationships/hyperlink" Target="javascript:void(0);" TargetMode="External"/><Relationship Id="rId921" Type="http://schemas.openxmlformats.org/officeDocument/2006/relationships/hyperlink" Target="javascript:void(0);" TargetMode="External"/><Relationship Id="rId1137" Type="http://schemas.openxmlformats.org/officeDocument/2006/relationships/hyperlink" Target="javascript:void(0);" TargetMode="External"/><Relationship Id="rId1344" Type="http://schemas.openxmlformats.org/officeDocument/2006/relationships/hyperlink" Target="javascript:void(0);" TargetMode="External"/><Relationship Id="rId1551" Type="http://schemas.openxmlformats.org/officeDocument/2006/relationships/hyperlink" Target="javascript:void(0);" TargetMode="External"/><Relationship Id="rId1789" Type="http://schemas.openxmlformats.org/officeDocument/2006/relationships/hyperlink" Target="javascript:void(0);" TargetMode="External"/><Relationship Id="rId1996" Type="http://schemas.openxmlformats.org/officeDocument/2006/relationships/hyperlink" Target="javascript:void(0);" TargetMode="External"/><Relationship Id="rId2174" Type="http://schemas.openxmlformats.org/officeDocument/2006/relationships/hyperlink" Target="javascript:void(0);" TargetMode="External"/><Relationship Id="rId50" Type="http://schemas.openxmlformats.org/officeDocument/2006/relationships/hyperlink" Target="javascript:void(0);" TargetMode="External"/><Relationship Id="rId146" Type="http://schemas.openxmlformats.org/officeDocument/2006/relationships/hyperlink" Target="javascript:void(0);" TargetMode="External"/><Relationship Id="rId353" Type="http://schemas.openxmlformats.org/officeDocument/2006/relationships/hyperlink" Target="javascript:void(0);" TargetMode="External"/><Relationship Id="rId560" Type="http://schemas.openxmlformats.org/officeDocument/2006/relationships/hyperlink" Target="javascript:void(0);" TargetMode="External"/><Relationship Id="rId798" Type="http://schemas.openxmlformats.org/officeDocument/2006/relationships/hyperlink" Target="javascript:void(0);" TargetMode="External"/><Relationship Id="rId1190" Type="http://schemas.openxmlformats.org/officeDocument/2006/relationships/hyperlink" Target="javascript:void(0);" TargetMode="External"/><Relationship Id="rId1204" Type="http://schemas.openxmlformats.org/officeDocument/2006/relationships/hyperlink" Target="javascript:void(0);" TargetMode="External"/><Relationship Id="rId1411" Type="http://schemas.openxmlformats.org/officeDocument/2006/relationships/hyperlink" Target="javascript:void(0);" TargetMode="External"/><Relationship Id="rId1649" Type="http://schemas.openxmlformats.org/officeDocument/2006/relationships/hyperlink" Target="javascript:void(0);" TargetMode="External"/><Relationship Id="rId1856" Type="http://schemas.openxmlformats.org/officeDocument/2006/relationships/hyperlink" Target="javascript:void(0);" TargetMode="External"/><Relationship Id="rId2034" Type="http://schemas.openxmlformats.org/officeDocument/2006/relationships/hyperlink" Target="javascript:void(0);" TargetMode="External"/><Relationship Id="rId2241" Type="http://schemas.openxmlformats.org/officeDocument/2006/relationships/hyperlink" Target="javascript:void(0);" TargetMode="External"/><Relationship Id="rId213" Type="http://schemas.openxmlformats.org/officeDocument/2006/relationships/hyperlink" Target="javascript:void(0);" TargetMode="External"/><Relationship Id="rId420" Type="http://schemas.openxmlformats.org/officeDocument/2006/relationships/hyperlink" Target="javascript:void(0);" TargetMode="External"/><Relationship Id="rId658" Type="http://schemas.openxmlformats.org/officeDocument/2006/relationships/hyperlink" Target="javascript:void(0);" TargetMode="External"/><Relationship Id="rId865" Type="http://schemas.openxmlformats.org/officeDocument/2006/relationships/hyperlink" Target="javascript:void(0);" TargetMode="External"/><Relationship Id="rId1050" Type="http://schemas.openxmlformats.org/officeDocument/2006/relationships/hyperlink" Target="javascript:void(0);" TargetMode="External"/><Relationship Id="rId1288" Type="http://schemas.openxmlformats.org/officeDocument/2006/relationships/hyperlink" Target="javascript:void(0);" TargetMode="External"/><Relationship Id="rId1495" Type="http://schemas.openxmlformats.org/officeDocument/2006/relationships/hyperlink" Target="javascript:void(0);" TargetMode="External"/><Relationship Id="rId1509" Type="http://schemas.openxmlformats.org/officeDocument/2006/relationships/hyperlink" Target="javascript:void(0);" TargetMode="External"/><Relationship Id="rId1716" Type="http://schemas.openxmlformats.org/officeDocument/2006/relationships/hyperlink" Target="javascript:void(0);" TargetMode="External"/><Relationship Id="rId1923" Type="http://schemas.openxmlformats.org/officeDocument/2006/relationships/hyperlink" Target="javascript:void(0);" TargetMode="External"/><Relationship Id="rId2101" Type="http://schemas.openxmlformats.org/officeDocument/2006/relationships/hyperlink" Target="javascript:void(0);" TargetMode="External"/><Relationship Id="rId297" Type="http://schemas.openxmlformats.org/officeDocument/2006/relationships/hyperlink" Target="javascript:void(0);" TargetMode="External"/><Relationship Id="rId518" Type="http://schemas.openxmlformats.org/officeDocument/2006/relationships/hyperlink" Target="javascript:void(0);" TargetMode="External"/><Relationship Id="rId725" Type="http://schemas.openxmlformats.org/officeDocument/2006/relationships/hyperlink" Target="javascript:void(0);" TargetMode="External"/><Relationship Id="rId932" Type="http://schemas.openxmlformats.org/officeDocument/2006/relationships/hyperlink" Target="javascript:void(0);" TargetMode="External"/><Relationship Id="rId1148" Type="http://schemas.openxmlformats.org/officeDocument/2006/relationships/hyperlink" Target="javascript:void(0);" TargetMode="External"/><Relationship Id="rId1355" Type="http://schemas.openxmlformats.org/officeDocument/2006/relationships/hyperlink" Target="javascript:void(0);" TargetMode="External"/><Relationship Id="rId1562" Type="http://schemas.openxmlformats.org/officeDocument/2006/relationships/hyperlink" Target="javascript:void(0);" TargetMode="External"/><Relationship Id="rId2185" Type="http://schemas.openxmlformats.org/officeDocument/2006/relationships/hyperlink" Target="javascript:void(0);" TargetMode="External"/><Relationship Id="rId157" Type="http://schemas.openxmlformats.org/officeDocument/2006/relationships/hyperlink" Target="javascript:void(0);" TargetMode="External"/><Relationship Id="rId364" Type="http://schemas.openxmlformats.org/officeDocument/2006/relationships/hyperlink" Target="javascript:void(0);" TargetMode="External"/><Relationship Id="rId1008" Type="http://schemas.openxmlformats.org/officeDocument/2006/relationships/hyperlink" Target="javascript:void(0);" TargetMode="External"/><Relationship Id="rId1215" Type="http://schemas.openxmlformats.org/officeDocument/2006/relationships/hyperlink" Target="javascript:void(0);" TargetMode="External"/><Relationship Id="rId1422" Type="http://schemas.openxmlformats.org/officeDocument/2006/relationships/hyperlink" Target="javascript:void(0);" TargetMode="External"/><Relationship Id="rId1867" Type="http://schemas.openxmlformats.org/officeDocument/2006/relationships/hyperlink" Target="javascript:void(0);" TargetMode="External"/><Relationship Id="rId2045" Type="http://schemas.openxmlformats.org/officeDocument/2006/relationships/hyperlink" Target="javascript:void(0);" TargetMode="External"/><Relationship Id="rId61" Type="http://schemas.openxmlformats.org/officeDocument/2006/relationships/hyperlink" Target="javascript:void(0);" TargetMode="External"/><Relationship Id="rId571" Type="http://schemas.openxmlformats.org/officeDocument/2006/relationships/hyperlink" Target="javascript:void(0);" TargetMode="External"/><Relationship Id="rId669" Type="http://schemas.openxmlformats.org/officeDocument/2006/relationships/hyperlink" Target="javascript:void(0);" TargetMode="External"/><Relationship Id="rId876" Type="http://schemas.openxmlformats.org/officeDocument/2006/relationships/hyperlink" Target="javascript:void(0);" TargetMode="External"/><Relationship Id="rId1299" Type="http://schemas.openxmlformats.org/officeDocument/2006/relationships/hyperlink" Target="javascript:void(0);" TargetMode="External"/><Relationship Id="rId1727" Type="http://schemas.openxmlformats.org/officeDocument/2006/relationships/hyperlink" Target="javascript:void(0);" TargetMode="External"/><Relationship Id="rId1934" Type="http://schemas.openxmlformats.org/officeDocument/2006/relationships/hyperlink" Target="javascript:void(0);" TargetMode="External"/><Relationship Id="rId2252" Type="http://schemas.openxmlformats.org/officeDocument/2006/relationships/hyperlink" Target="javascript:void(0);" TargetMode="External"/><Relationship Id="rId19" Type="http://schemas.openxmlformats.org/officeDocument/2006/relationships/hyperlink" Target="javascript:void(0);" TargetMode="External"/><Relationship Id="rId224" Type="http://schemas.openxmlformats.org/officeDocument/2006/relationships/hyperlink" Target="javascript:void(0);" TargetMode="External"/><Relationship Id="rId431" Type="http://schemas.openxmlformats.org/officeDocument/2006/relationships/hyperlink" Target="javascript:void(0);" TargetMode="External"/><Relationship Id="rId529" Type="http://schemas.openxmlformats.org/officeDocument/2006/relationships/hyperlink" Target="javascript:void(0);" TargetMode="External"/><Relationship Id="rId736" Type="http://schemas.openxmlformats.org/officeDocument/2006/relationships/hyperlink" Target="javascript:void(0);" TargetMode="External"/><Relationship Id="rId1061" Type="http://schemas.openxmlformats.org/officeDocument/2006/relationships/hyperlink" Target="javascript:void(0);" TargetMode="External"/><Relationship Id="rId1159" Type="http://schemas.openxmlformats.org/officeDocument/2006/relationships/hyperlink" Target="javascript:void(0);" TargetMode="External"/><Relationship Id="rId1366" Type="http://schemas.openxmlformats.org/officeDocument/2006/relationships/hyperlink" Target="javascript:void(0);" TargetMode="External"/><Relationship Id="rId2112" Type="http://schemas.openxmlformats.org/officeDocument/2006/relationships/hyperlink" Target="javascript:void(0);" TargetMode="External"/><Relationship Id="rId2196" Type="http://schemas.openxmlformats.org/officeDocument/2006/relationships/hyperlink" Target="javascript:void(0);" TargetMode="External"/><Relationship Id="rId168" Type="http://schemas.openxmlformats.org/officeDocument/2006/relationships/hyperlink" Target="javascript:void(0);" TargetMode="External"/><Relationship Id="rId943" Type="http://schemas.openxmlformats.org/officeDocument/2006/relationships/hyperlink" Target="javascript:void(0);" TargetMode="External"/><Relationship Id="rId1019" Type="http://schemas.openxmlformats.org/officeDocument/2006/relationships/hyperlink" Target="javascript:void(0);" TargetMode="External"/><Relationship Id="rId1573" Type="http://schemas.openxmlformats.org/officeDocument/2006/relationships/hyperlink" Target="javascript:void(0);" TargetMode="External"/><Relationship Id="rId1780" Type="http://schemas.openxmlformats.org/officeDocument/2006/relationships/hyperlink" Target="javascript:void(0);" TargetMode="External"/><Relationship Id="rId1878" Type="http://schemas.openxmlformats.org/officeDocument/2006/relationships/hyperlink" Target="javascript:void(0);" TargetMode="External"/><Relationship Id="rId72" Type="http://schemas.openxmlformats.org/officeDocument/2006/relationships/hyperlink" Target="javascript:void(0);" TargetMode="External"/><Relationship Id="rId375" Type="http://schemas.openxmlformats.org/officeDocument/2006/relationships/hyperlink" Target="javascript:void(0);" TargetMode="External"/><Relationship Id="rId582" Type="http://schemas.openxmlformats.org/officeDocument/2006/relationships/hyperlink" Target="javascript:void(0);" TargetMode="External"/><Relationship Id="rId803" Type="http://schemas.openxmlformats.org/officeDocument/2006/relationships/hyperlink" Target="javascript:void(0);" TargetMode="External"/><Relationship Id="rId1226" Type="http://schemas.openxmlformats.org/officeDocument/2006/relationships/hyperlink" Target="javascript:void(0);" TargetMode="External"/><Relationship Id="rId1433" Type="http://schemas.openxmlformats.org/officeDocument/2006/relationships/hyperlink" Target="javascript:void(0);" TargetMode="External"/><Relationship Id="rId1640" Type="http://schemas.openxmlformats.org/officeDocument/2006/relationships/hyperlink" Target="javascript:void(0);" TargetMode="External"/><Relationship Id="rId1738" Type="http://schemas.openxmlformats.org/officeDocument/2006/relationships/hyperlink" Target="javascript:void(0);" TargetMode="External"/><Relationship Id="rId2056" Type="http://schemas.openxmlformats.org/officeDocument/2006/relationships/hyperlink" Target="javascript:void(0);" TargetMode="External"/><Relationship Id="rId2263" Type="http://schemas.openxmlformats.org/officeDocument/2006/relationships/hyperlink" Target="javascript:void(0);" TargetMode="External"/><Relationship Id="rId3" Type="http://schemas.openxmlformats.org/officeDocument/2006/relationships/hyperlink" Target="javascript:void(0);" TargetMode="External"/><Relationship Id="rId235" Type="http://schemas.openxmlformats.org/officeDocument/2006/relationships/hyperlink" Target="javascript:void(0);" TargetMode="External"/><Relationship Id="rId442" Type="http://schemas.openxmlformats.org/officeDocument/2006/relationships/hyperlink" Target="javascript:void(0);" TargetMode="External"/><Relationship Id="rId887" Type="http://schemas.openxmlformats.org/officeDocument/2006/relationships/hyperlink" Target="javascript:void(0);" TargetMode="External"/><Relationship Id="rId1072" Type="http://schemas.openxmlformats.org/officeDocument/2006/relationships/hyperlink" Target="javascript:void(0);" TargetMode="External"/><Relationship Id="rId1500" Type="http://schemas.openxmlformats.org/officeDocument/2006/relationships/hyperlink" Target="javascript:void(0);" TargetMode="External"/><Relationship Id="rId1945" Type="http://schemas.openxmlformats.org/officeDocument/2006/relationships/hyperlink" Target="javascript:void(0);" TargetMode="External"/><Relationship Id="rId2123" Type="http://schemas.openxmlformats.org/officeDocument/2006/relationships/hyperlink" Target="javascript:void(0);" TargetMode="External"/><Relationship Id="rId302" Type="http://schemas.openxmlformats.org/officeDocument/2006/relationships/hyperlink" Target="javascript:void(0);" TargetMode="External"/><Relationship Id="rId747" Type="http://schemas.openxmlformats.org/officeDocument/2006/relationships/hyperlink" Target="javascript:void(0);" TargetMode="External"/><Relationship Id="rId954" Type="http://schemas.openxmlformats.org/officeDocument/2006/relationships/hyperlink" Target="javascript:void(0);" TargetMode="External"/><Relationship Id="rId1377" Type="http://schemas.openxmlformats.org/officeDocument/2006/relationships/hyperlink" Target="javascript:void(0);" TargetMode="External"/><Relationship Id="rId1584" Type="http://schemas.openxmlformats.org/officeDocument/2006/relationships/hyperlink" Target="javascript:void(0);" TargetMode="External"/><Relationship Id="rId1791" Type="http://schemas.openxmlformats.org/officeDocument/2006/relationships/hyperlink" Target="javascript:void(0);" TargetMode="External"/><Relationship Id="rId1805" Type="http://schemas.openxmlformats.org/officeDocument/2006/relationships/hyperlink" Target="javascript:void(0);" TargetMode="External"/><Relationship Id="rId83" Type="http://schemas.openxmlformats.org/officeDocument/2006/relationships/hyperlink" Target="javascript:void(0);" TargetMode="External"/><Relationship Id="rId179" Type="http://schemas.openxmlformats.org/officeDocument/2006/relationships/hyperlink" Target="javascript:void(0);" TargetMode="External"/><Relationship Id="rId386" Type="http://schemas.openxmlformats.org/officeDocument/2006/relationships/hyperlink" Target="javascript:void(0);" TargetMode="External"/><Relationship Id="rId593" Type="http://schemas.openxmlformats.org/officeDocument/2006/relationships/hyperlink" Target="javascript:void(0);" TargetMode="External"/><Relationship Id="rId607" Type="http://schemas.openxmlformats.org/officeDocument/2006/relationships/hyperlink" Target="javascript:void(0);" TargetMode="External"/><Relationship Id="rId814" Type="http://schemas.openxmlformats.org/officeDocument/2006/relationships/hyperlink" Target="javascript:void(0);" TargetMode="External"/><Relationship Id="rId1237" Type="http://schemas.openxmlformats.org/officeDocument/2006/relationships/hyperlink" Target="javascript:void(0);" TargetMode="External"/><Relationship Id="rId1444" Type="http://schemas.openxmlformats.org/officeDocument/2006/relationships/hyperlink" Target="javascript:void(0);" TargetMode="External"/><Relationship Id="rId1651" Type="http://schemas.openxmlformats.org/officeDocument/2006/relationships/hyperlink" Target="javascript:void(0);" TargetMode="External"/><Relationship Id="rId1889" Type="http://schemas.openxmlformats.org/officeDocument/2006/relationships/hyperlink" Target="javascript:void(0);" TargetMode="External"/><Relationship Id="rId2067" Type="http://schemas.openxmlformats.org/officeDocument/2006/relationships/hyperlink" Target="javascript:void(0);" TargetMode="External"/><Relationship Id="rId2274" Type="http://schemas.openxmlformats.org/officeDocument/2006/relationships/hyperlink" Target="javascript:void(0);" TargetMode="External"/><Relationship Id="rId246" Type="http://schemas.openxmlformats.org/officeDocument/2006/relationships/hyperlink" Target="javascript:void(0);" TargetMode="External"/><Relationship Id="rId453" Type="http://schemas.openxmlformats.org/officeDocument/2006/relationships/hyperlink" Target="javascript:void(0);" TargetMode="External"/><Relationship Id="rId660" Type="http://schemas.openxmlformats.org/officeDocument/2006/relationships/hyperlink" Target="javascript:void(0);" TargetMode="External"/><Relationship Id="rId898" Type="http://schemas.openxmlformats.org/officeDocument/2006/relationships/hyperlink" Target="javascript:void(0);" TargetMode="External"/><Relationship Id="rId1083" Type="http://schemas.openxmlformats.org/officeDocument/2006/relationships/hyperlink" Target="javascript:void(0);" TargetMode="External"/><Relationship Id="rId1290" Type="http://schemas.openxmlformats.org/officeDocument/2006/relationships/hyperlink" Target="javascript:void(0);" TargetMode="External"/><Relationship Id="rId1304" Type="http://schemas.openxmlformats.org/officeDocument/2006/relationships/hyperlink" Target="javascript:void(0);" TargetMode="External"/><Relationship Id="rId1511" Type="http://schemas.openxmlformats.org/officeDocument/2006/relationships/hyperlink" Target="javascript:void(0);" TargetMode="External"/><Relationship Id="rId1749" Type="http://schemas.openxmlformats.org/officeDocument/2006/relationships/hyperlink" Target="javascript:void(0);" TargetMode="External"/><Relationship Id="rId1956" Type="http://schemas.openxmlformats.org/officeDocument/2006/relationships/hyperlink" Target="javascript:void(0);" TargetMode="External"/><Relationship Id="rId2134" Type="http://schemas.openxmlformats.org/officeDocument/2006/relationships/hyperlink" Target="javascript:void(0);" TargetMode="External"/><Relationship Id="rId106" Type="http://schemas.openxmlformats.org/officeDocument/2006/relationships/hyperlink" Target="javascript:void(0);" TargetMode="External"/><Relationship Id="rId313" Type="http://schemas.openxmlformats.org/officeDocument/2006/relationships/hyperlink" Target="javascript:void(0);" TargetMode="External"/><Relationship Id="rId758" Type="http://schemas.openxmlformats.org/officeDocument/2006/relationships/hyperlink" Target="javascript:void(0);" TargetMode="External"/><Relationship Id="rId965" Type="http://schemas.openxmlformats.org/officeDocument/2006/relationships/hyperlink" Target="javascript:void(0);" TargetMode="External"/><Relationship Id="rId1150" Type="http://schemas.openxmlformats.org/officeDocument/2006/relationships/hyperlink" Target="javascript:void(0);" TargetMode="External"/><Relationship Id="rId1388" Type="http://schemas.openxmlformats.org/officeDocument/2006/relationships/hyperlink" Target="javascript:void(0);" TargetMode="External"/><Relationship Id="rId1595" Type="http://schemas.openxmlformats.org/officeDocument/2006/relationships/hyperlink" Target="javascript:void(0);" TargetMode="External"/><Relationship Id="rId1609" Type="http://schemas.openxmlformats.org/officeDocument/2006/relationships/hyperlink" Target="javascript:void(0);" TargetMode="External"/><Relationship Id="rId1816" Type="http://schemas.openxmlformats.org/officeDocument/2006/relationships/hyperlink" Target="javascript:void(0);" TargetMode="External"/><Relationship Id="rId10" Type="http://schemas.openxmlformats.org/officeDocument/2006/relationships/hyperlink" Target="javascript:void(0);" TargetMode="External"/><Relationship Id="rId94" Type="http://schemas.openxmlformats.org/officeDocument/2006/relationships/hyperlink" Target="javascript:void(0);" TargetMode="External"/><Relationship Id="rId397" Type="http://schemas.openxmlformats.org/officeDocument/2006/relationships/hyperlink" Target="javascript:void(0);" TargetMode="External"/><Relationship Id="rId520" Type="http://schemas.openxmlformats.org/officeDocument/2006/relationships/hyperlink" Target="javascript:void(0);" TargetMode="External"/><Relationship Id="rId618" Type="http://schemas.openxmlformats.org/officeDocument/2006/relationships/hyperlink" Target="javascript:void(0);" TargetMode="External"/><Relationship Id="rId825" Type="http://schemas.openxmlformats.org/officeDocument/2006/relationships/hyperlink" Target="javascript:void(0);" TargetMode="External"/><Relationship Id="rId1248" Type="http://schemas.openxmlformats.org/officeDocument/2006/relationships/hyperlink" Target="javascript:void(0);" TargetMode="External"/><Relationship Id="rId1455" Type="http://schemas.openxmlformats.org/officeDocument/2006/relationships/hyperlink" Target="javascript:void(0);" TargetMode="External"/><Relationship Id="rId1662" Type="http://schemas.openxmlformats.org/officeDocument/2006/relationships/hyperlink" Target="javascript:void(0);" TargetMode="External"/><Relationship Id="rId2078" Type="http://schemas.openxmlformats.org/officeDocument/2006/relationships/hyperlink" Target="javascript:void(0);" TargetMode="External"/><Relationship Id="rId2201" Type="http://schemas.openxmlformats.org/officeDocument/2006/relationships/hyperlink" Target="javascript:void(0);" TargetMode="External"/><Relationship Id="rId2285" Type="http://schemas.openxmlformats.org/officeDocument/2006/relationships/hyperlink" Target="javascript:void(0);" TargetMode="External"/><Relationship Id="rId257" Type="http://schemas.openxmlformats.org/officeDocument/2006/relationships/hyperlink" Target="javascript:void(0);" TargetMode="External"/><Relationship Id="rId464" Type="http://schemas.openxmlformats.org/officeDocument/2006/relationships/hyperlink" Target="javascript:void(0);" TargetMode="External"/><Relationship Id="rId1010" Type="http://schemas.openxmlformats.org/officeDocument/2006/relationships/hyperlink" Target="javascript:void(0);" TargetMode="External"/><Relationship Id="rId1094" Type="http://schemas.openxmlformats.org/officeDocument/2006/relationships/hyperlink" Target="javascript:void(0);" TargetMode="External"/><Relationship Id="rId1108" Type="http://schemas.openxmlformats.org/officeDocument/2006/relationships/hyperlink" Target="javascript:void(0);" TargetMode="External"/><Relationship Id="rId1315" Type="http://schemas.openxmlformats.org/officeDocument/2006/relationships/hyperlink" Target="javascript:void(0);" TargetMode="External"/><Relationship Id="rId1967" Type="http://schemas.openxmlformats.org/officeDocument/2006/relationships/hyperlink" Target="javascript:void(0);" TargetMode="External"/><Relationship Id="rId2145" Type="http://schemas.openxmlformats.org/officeDocument/2006/relationships/hyperlink" Target="javascript:void(0);" TargetMode="External"/><Relationship Id="rId117" Type="http://schemas.openxmlformats.org/officeDocument/2006/relationships/hyperlink" Target="javascript:void(0);" TargetMode="External"/><Relationship Id="rId671" Type="http://schemas.openxmlformats.org/officeDocument/2006/relationships/hyperlink" Target="javascript:void(0);" TargetMode="External"/><Relationship Id="rId769" Type="http://schemas.openxmlformats.org/officeDocument/2006/relationships/hyperlink" Target="javascript:void(0);" TargetMode="External"/><Relationship Id="rId976" Type="http://schemas.openxmlformats.org/officeDocument/2006/relationships/hyperlink" Target="javascript:void(0);" TargetMode="External"/><Relationship Id="rId1399" Type="http://schemas.openxmlformats.org/officeDocument/2006/relationships/hyperlink" Target="javascript:void(0);" TargetMode="External"/><Relationship Id="rId324" Type="http://schemas.openxmlformats.org/officeDocument/2006/relationships/hyperlink" Target="javascript:void(0);" TargetMode="External"/><Relationship Id="rId531" Type="http://schemas.openxmlformats.org/officeDocument/2006/relationships/hyperlink" Target="javascript:void(0);" TargetMode="External"/><Relationship Id="rId629" Type="http://schemas.openxmlformats.org/officeDocument/2006/relationships/hyperlink" Target="javascript:void(0);" TargetMode="External"/><Relationship Id="rId1161" Type="http://schemas.openxmlformats.org/officeDocument/2006/relationships/hyperlink" Target="javascript:void(0);" TargetMode="External"/><Relationship Id="rId1259" Type="http://schemas.openxmlformats.org/officeDocument/2006/relationships/hyperlink" Target="javascript:void(0);" TargetMode="External"/><Relationship Id="rId1466" Type="http://schemas.openxmlformats.org/officeDocument/2006/relationships/hyperlink" Target="javascript:void(0);" TargetMode="External"/><Relationship Id="rId2005" Type="http://schemas.openxmlformats.org/officeDocument/2006/relationships/hyperlink" Target="javascript:void(0);" TargetMode="External"/><Relationship Id="rId2212" Type="http://schemas.openxmlformats.org/officeDocument/2006/relationships/hyperlink" Target="javascript:void(0);" TargetMode="External"/><Relationship Id="rId836" Type="http://schemas.openxmlformats.org/officeDocument/2006/relationships/hyperlink" Target="javascript:void(0);" TargetMode="External"/><Relationship Id="rId1021" Type="http://schemas.openxmlformats.org/officeDocument/2006/relationships/hyperlink" Target="javascript:void(0);" TargetMode="External"/><Relationship Id="rId1119" Type="http://schemas.openxmlformats.org/officeDocument/2006/relationships/hyperlink" Target="javascript:void(0);" TargetMode="External"/><Relationship Id="rId1673" Type="http://schemas.openxmlformats.org/officeDocument/2006/relationships/hyperlink" Target="javascript:void(0);" TargetMode="External"/><Relationship Id="rId1880" Type="http://schemas.openxmlformats.org/officeDocument/2006/relationships/hyperlink" Target="javascript:void(0);" TargetMode="External"/><Relationship Id="rId1978" Type="http://schemas.openxmlformats.org/officeDocument/2006/relationships/hyperlink" Target="javascript:void(0);" TargetMode="External"/><Relationship Id="rId903" Type="http://schemas.openxmlformats.org/officeDocument/2006/relationships/hyperlink" Target="javascript:void(0);" TargetMode="External"/><Relationship Id="rId1326" Type="http://schemas.openxmlformats.org/officeDocument/2006/relationships/hyperlink" Target="javascript:void(0);" TargetMode="External"/><Relationship Id="rId1533" Type="http://schemas.openxmlformats.org/officeDocument/2006/relationships/hyperlink" Target="javascript:void(0);" TargetMode="External"/><Relationship Id="rId1740" Type="http://schemas.openxmlformats.org/officeDocument/2006/relationships/hyperlink" Target="javascript:void(0);" TargetMode="External"/><Relationship Id="rId32" Type="http://schemas.openxmlformats.org/officeDocument/2006/relationships/hyperlink" Target="javascript:void(0);" TargetMode="External"/><Relationship Id="rId1600" Type="http://schemas.openxmlformats.org/officeDocument/2006/relationships/hyperlink" Target="javascript:void(0);" TargetMode="External"/><Relationship Id="rId1838" Type="http://schemas.openxmlformats.org/officeDocument/2006/relationships/hyperlink" Target="javascript:void(0);" TargetMode="External"/><Relationship Id="rId181" Type="http://schemas.openxmlformats.org/officeDocument/2006/relationships/hyperlink" Target="javascript:void(0);" TargetMode="External"/><Relationship Id="rId1905" Type="http://schemas.openxmlformats.org/officeDocument/2006/relationships/hyperlink" Target="javascript:void(0);" TargetMode="External"/><Relationship Id="rId279" Type="http://schemas.openxmlformats.org/officeDocument/2006/relationships/hyperlink" Target="javascript:void(0);" TargetMode="External"/><Relationship Id="rId486" Type="http://schemas.openxmlformats.org/officeDocument/2006/relationships/hyperlink" Target="javascript:void(0);" TargetMode="External"/><Relationship Id="rId693" Type="http://schemas.openxmlformats.org/officeDocument/2006/relationships/hyperlink" Target="javascript:void(0);" TargetMode="External"/><Relationship Id="rId2167" Type="http://schemas.openxmlformats.org/officeDocument/2006/relationships/hyperlink" Target="javascript:void(0);" TargetMode="External"/><Relationship Id="rId139" Type="http://schemas.openxmlformats.org/officeDocument/2006/relationships/hyperlink" Target="javascript:void(0);" TargetMode="External"/><Relationship Id="rId346" Type="http://schemas.openxmlformats.org/officeDocument/2006/relationships/hyperlink" Target="javascript:void(0);" TargetMode="External"/><Relationship Id="rId553" Type="http://schemas.openxmlformats.org/officeDocument/2006/relationships/hyperlink" Target="javascript:void(0);" TargetMode="External"/><Relationship Id="rId760" Type="http://schemas.openxmlformats.org/officeDocument/2006/relationships/hyperlink" Target="javascript:void(0);" TargetMode="External"/><Relationship Id="rId998" Type="http://schemas.openxmlformats.org/officeDocument/2006/relationships/hyperlink" Target="javascript:void(0);" TargetMode="External"/><Relationship Id="rId1183" Type="http://schemas.openxmlformats.org/officeDocument/2006/relationships/hyperlink" Target="javascript:void(0);" TargetMode="External"/><Relationship Id="rId1390" Type="http://schemas.openxmlformats.org/officeDocument/2006/relationships/hyperlink" Target="javascript:void(0);" TargetMode="External"/><Relationship Id="rId2027" Type="http://schemas.openxmlformats.org/officeDocument/2006/relationships/hyperlink" Target="javascript:void(0);" TargetMode="External"/><Relationship Id="rId2234" Type="http://schemas.openxmlformats.org/officeDocument/2006/relationships/hyperlink" Target="javascript:void(0);" TargetMode="External"/><Relationship Id="rId206" Type="http://schemas.openxmlformats.org/officeDocument/2006/relationships/hyperlink" Target="javascript:void(0);" TargetMode="External"/><Relationship Id="rId413" Type="http://schemas.openxmlformats.org/officeDocument/2006/relationships/hyperlink" Target="javascript:void(0);" TargetMode="External"/><Relationship Id="rId858" Type="http://schemas.openxmlformats.org/officeDocument/2006/relationships/hyperlink" Target="javascript:void(0);" TargetMode="External"/><Relationship Id="rId1043" Type="http://schemas.openxmlformats.org/officeDocument/2006/relationships/hyperlink" Target="javascript:void(0);" TargetMode="External"/><Relationship Id="rId1488" Type="http://schemas.openxmlformats.org/officeDocument/2006/relationships/hyperlink" Target="javascript:void(0);" TargetMode="External"/><Relationship Id="rId1695" Type="http://schemas.openxmlformats.org/officeDocument/2006/relationships/hyperlink" Target="javascript:void(0);" TargetMode="External"/><Relationship Id="rId620" Type="http://schemas.openxmlformats.org/officeDocument/2006/relationships/hyperlink" Target="javascript:void(0);" TargetMode="External"/><Relationship Id="rId718" Type="http://schemas.openxmlformats.org/officeDocument/2006/relationships/hyperlink" Target="javascript:void(0);" TargetMode="External"/><Relationship Id="rId925" Type="http://schemas.openxmlformats.org/officeDocument/2006/relationships/hyperlink" Target="javascript:void(0);" TargetMode="External"/><Relationship Id="rId1250" Type="http://schemas.openxmlformats.org/officeDocument/2006/relationships/hyperlink" Target="javascript:void(0);" TargetMode="External"/><Relationship Id="rId1348" Type="http://schemas.openxmlformats.org/officeDocument/2006/relationships/hyperlink" Target="javascript:void(0);" TargetMode="External"/><Relationship Id="rId1555" Type="http://schemas.openxmlformats.org/officeDocument/2006/relationships/hyperlink" Target="javascript:void(0);" TargetMode="External"/><Relationship Id="rId1762" Type="http://schemas.openxmlformats.org/officeDocument/2006/relationships/hyperlink" Target="javascript:void(0);" TargetMode="External"/><Relationship Id="rId1110" Type="http://schemas.openxmlformats.org/officeDocument/2006/relationships/hyperlink" Target="javascript:void(0);" TargetMode="External"/><Relationship Id="rId1208" Type="http://schemas.openxmlformats.org/officeDocument/2006/relationships/hyperlink" Target="javascript:void(0);" TargetMode="External"/><Relationship Id="rId1415" Type="http://schemas.openxmlformats.org/officeDocument/2006/relationships/hyperlink" Target="javascript:void(0);" TargetMode="External"/><Relationship Id="rId54" Type="http://schemas.openxmlformats.org/officeDocument/2006/relationships/hyperlink" Target="javascript:void(0);" TargetMode="External"/><Relationship Id="rId1622" Type="http://schemas.openxmlformats.org/officeDocument/2006/relationships/hyperlink" Target="javascript:void(0);" TargetMode="External"/><Relationship Id="rId1927" Type="http://schemas.openxmlformats.org/officeDocument/2006/relationships/hyperlink" Target="javascript:void(0);" TargetMode="External"/><Relationship Id="rId2091" Type="http://schemas.openxmlformats.org/officeDocument/2006/relationships/hyperlink" Target="javascript:void(0);" TargetMode="External"/><Relationship Id="rId2189" Type="http://schemas.openxmlformats.org/officeDocument/2006/relationships/hyperlink" Target="javascript:void(0);" TargetMode="External"/><Relationship Id="rId270" Type="http://schemas.openxmlformats.org/officeDocument/2006/relationships/hyperlink" Target="javascript:void(0);" TargetMode="External"/><Relationship Id="rId130" Type="http://schemas.openxmlformats.org/officeDocument/2006/relationships/hyperlink" Target="javascript:void(0);" TargetMode="External"/><Relationship Id="rId368" Type="http://schemas.openxmlformats.org/officeDocument/2006/relationships/hyperlink" Target="javascript:void(0);" TargetMode="External"/><Relationship Id="rId575" Type="http://schemas.openxmlformats.org/officeDocument/2006/relationships/hyperlink" Target="javascript:void(0);" TargetMode="External"/><Relationship Id="rId782" Type="http://schemas.openxmlformats.org/officeDocument/2006/relationships/hyperlink" Target="javascript:void(0);" TargetMode="External"/><Relationship Id="rId2049" Type="http://schemas.openxmlformats.org/officeDocument/2006/relationships/hyperlink" Target="javascript:void(0);" TargetMode="External"/><Relationship Id="rId2256" Type="http://schemas.openxmlformats.org/officeDocument/2006/relationships/hyperlink" Target="javascript:void(0);" TargetMode="External"/><Relationship Id="rId228" Type="http://schemas.openxmlformats.org/officeDocument/2006/relationships/hyperlink" Target="javascript:void(0);" TargetMode="External"/><Relationship Id="rId435" Type="http://schemas.openxmlformats.org/officeDocument/2006/relationships/hyperlink" Target="javascript:void(0);" TargetMode="External"/><Relationship Id="rId642" Type="http://schemas.openxmlformats.org/officeDocument/2006/relationships/hyperlink" Target="javascript:void(0);" TargetMode="External"/><Relationship Id="rId1065" Type="http://schemas.openxmlformats.org/officeDocument/2006/relationships/hyperlink" Target="javascript:void(0);" TargetMode="External"/><Relationship Id="rId1272" Type="http://schemas.openxmlformats.org/officeDocument/2006/relationships/hyperlink" Target="javascript:void(0);" TargetMode="External"/><Relationship Id="rId2116" Type="http://schemas.openxmlformats.org/officeDocument/2006/relationships/hyperlink" Target="javascript:void(0);" TargetMode="External"/><Relationship Id="rId502" Type="http://schemas.openxmlformats.org/officeDocument/2006/relationships/hyperlink" Target="javascript:void(0);" TargetMode="External"/><Relationship Id="rId947" Type="http://schemas.openxmlformats.org/officeDocument/2006/relationships/hyperlink" Target="javascript:void(0);" TargetMode="External"/><Relationship Id="rId1132" Type="http://schemas.openxmlformats.org/officeDocument/2006/relationships/hyperlink" Target="javascript:void(0);" TargetMode="External"/><Relationship Id="rId1577" Type="http://schemas.openxmlformats.org/officeDocument/2006/relationships/hyperlink" Target="javascript:void(0);" TargetMode="External"/><Relationship Id="rId1784" Type="http://schemas.openxmlformats.org/officeDocument/2006/relationships/hyperlink" Target="javascript:void(0);" TargetMode="External"/><Relationship Id="rId1991" Type="http://schemas.openxmlformats.org/officeDocument/2006/relationships/hyperlink" Target="javascript:void(0);" TargetMode="External"/><Relationship Id="rId76" Type="http://schemas.openxmlformats.org/officeDocument/2006/relationships/hyperlink" Target="javascript:void(0);" TargetMode="External"/><Relationship Id="rId807" Type="http://schemas.openxmlformats.org/officeDocument/2006/relationships/hyperlink" Target="javascript:void(0);" TargetMode="External"/><Relationship Id="rId1437" Type="http://schemas.openxmlformats.org/officeDocument/2006/relationships/hyperlink" Target="javascript:void(0);" TargetMode="External"/><Relationship Id="rId1644" Type="http://schemas.openxmlformats.org/officeDocument/2006/relationships/hyperlink" Target="javascript:void(0);" TargetMode="External"/><Relationship Id="rId1851" Type="http://schemas.openxmlformats.org/officeDocument/2006/relationships/hyperlink" Target="javascript:void(0);" TargetMode="External"/><Relationship Id="rId1504" Type="http://schemas.openxmlformats.org/officeDocument/2006/relationships/hyperlink" Target="javascript:void(0);" TargetMode="External"/><Relationship Id="rId1711" Type="http://schemas.openxmlformats.org/officeDocument/2006/relationships/hyperlink" Target="javascript:void(0);" TargetMode="External"/><Relationship Id="rId1949" Type="http://schemas.openxmlformats.org/officeDocument/2006/relationships/hyperlink" Target="javascript:void(0);" TargetMode="External"/><Relationship Id="rId292" Type="http://schemas.openxmlformats.org/officeDocument/2006/relationships/hyperlink" Target="javascript:void(0);" TargetMode="External"/><Relationship Id="rId1809" Type="http://schemas.openxmlformats.org/officeDocument/2006/relationships/hyperlink" Target="javascript:void(0);" TargetMode="External"/><Relationship Id="rId597" Type="http://schemas.openxmlformats.org/officeDocument/2006/relationships/hyperlink" Target="javascript:void(0);" TargetMode="External"/><Relationship Id="rId2180" Type="http://schemas.openxmlformats.org/officeDocument/2006/relationships/hyperlink" Target="javascript:void(0);" TargetMode="External"/><Relationship Id="rId2278" Type="http://schemas.openxmlformats.org/officeDocument/2006/relationships/hyperlink" Target="javascript:void(0);" TargetMode="External"/><Relationship Id="rId152" Type="http://schemas.openxmlformats.org/officeDocument/2006/relationships/hyperlink" Target="javascript:void(0);" TargetMode="External"/><Relationship Id="rId457" Type="http://schemas.openxmlformats.org/officeDocument/2006/relationships/hyperlink" Target="javascript:void(0);" TargetMode="External"/><Relationship Id="rId1087" Type="http://schemas.openxmlformats.org/officeDocument/2006/relationships/hyperlink" Target="javascript:void(0);" TargetMode="External"/><Relationship Id="rId1294" Type="http://schemas.openxmlformats.org/officeDocument/2006/relationships/hyperlink" Target="javascript:void(0);" TargetMode="External"/><Relationship Id="rId2040" Type="http://schemas.openxmlformats.org/officeDocument/2006/relationships/hyperlink" Target="javascript:void(0);" TargetMode="External"/><Relationship Id="rId2138" Type="http://schemas.openxmlformats.org/officeDocument/2006/relationships/hyperlink" Target="javascript:void(0);" TargetMode="External"/><Relationship Id="rId664" Type="http://schemas.openxmlformats.org/officeDocument/2006/relationships/hyperlink" Target="javascript:void(0);" TargetMode="External"/><Relationship Id="rId871" Type="http://schemas.openxmlformats.org/officeDocument/2006/relationships/hyperlink" Target="javascript:void(0);" TargetMode="External"/><Relationship Id="rId969" Type="http://schemas.openxmlformats.org/officeDocument/2006/relationships/hyperlink" Target="javascript:void(0);" TargetMode="External"/><Relationship Id="rId1599" Type="http://schemas.openxmlformats.org/officeDocument/2006/relationships/hyperlink" Target="javascript:void(0);" TargetMode="External"/><Relationship Id="rId317" Type="http://schemas.openxmlformats.org/officeDocument/2006/relationships/hyperlink" Target="javascript:void(0);" TargetMode="External"/><Relationship Id="rId524" Type="http://schemas.openxmlformats.org/officeDocument/2006/relationships/hyperlink" Target="javascript:void(0);" TargetMode="External"/><Relationship Id="rId731" Type="http://schemas.openxmlformats.org/officeDocument/2006/relationships/hyperlink" Target="javascript:void(0);" TargetMode="External"/><Relationship Id="rId1154" Type="http://schemas.openxmlformats.org/officeDocument/2006/relationships/hyperlink" Target="javascript:void(0);" TargetMode="External"/><Relationship Id="rId1361" Type="http://schemas.openxmlformats.org/officeDocument/2006/relationships/hyperlink" Target="javascript:void(0);" TargetMode="External"/><Relationship Id="rId1459" Type="http://schemas.openxmlformats.org/officeDocument/2006/relationships/hyperlink" Target="javascript:void(0);" TargetMode="External"/><Relationship Id="rId2205" Type="http://schemas.openxmlformats.org/officeDocument/2006/relationships/hyperlink" Target="javascript:void(0);" TargetMode="External"/><Relationship Id="rId98" Type="http://schemas.openxmlformats.org/officeDocument/2006/relationships/hyperlink" Target="javascript:void(0);" TargetMode="External"/><Relationship Id="rId829" Type="http://schemas.openxmlformats.org/officeDocument/2006/relationships/hyperlink" Target="javascript:void(0);" TargetMode="External"/><Relationship Id="rId1014" Type="http://schemas.openxmlformats.org/officeDocument/2006/relationships/hyperlink" Target="javascript:void(0);" TargetMode="External"/><Relationship Id="rId1221" Type="http://schemas.openxmlformats.org/officeDocument/2006/relationships/hyperlink" Target="javascript:void(0);" TargetMode="External"/><Relationship Id="rId1666" Type="http://schemas.openxmlformats.org/officeDocument/2006/relationships/hyperlink" Target="javascript:void(0);" TargetMode="External"/><Relationship Id="rId1873" Type="http://schemas.openxmlformats.org/officeDocument/2006/relationships/hyperlink" Target="javascript:void(0);" TargetMode="External"/><Relationship Id="rId1319" Type="http://schemas.openxmlformats.org/officeDocument/2006/relationships/hyperlink" Target="javascript:void(0);" TargetMode="External"/><Relationship Id="rId1526" Type="http://schemas.openxmlformats.org/officeDocument/2006/relationships/hyperlink" Target="javascript:void(0);" TargetMode="External"/><Relationship Id="rId1733" Type="http://schemas.openxmlformats.org/officeDocument/2006/relationships/hyperlink" Target="javascript:void(0);" TargetMode="External"/><Relationship Id="rId1940" Type="http://schemas.openxmlformats.org/officeDocument/2006/relationships/hyperlink" Target="javascript:void(0);" TargetMode="External"/><Relationship Id="rId25" Type="http://schemas.openxmlformats.org/officeDocument/2006/relationships/hyperlink" Target="javascript:void(0);" TargetMode="External"/><Relationship Id="rId1800" Type="http://schemas.openxmlformats.org/officeDocument/2006/relationships/hyperlink" Target="javascript:void(0);" TargetMode="External"/><Relationship Id="rId174" Type="http://schemas.openxmlformats.org/officeDocument/2006/relationships/hyperlink" Target="javascript:void(0);" TargetMode="External"/><Relationship Id="rId381" Type="http://schemas.openxmlformats.org/officeDocument/2006/relationships/hyperlink" Target="javascript:void(0);" TargetMode="External"/><Relationship Id="rId2062" Type="http://schemas.openxmlformats.org/officeDocument/2006/relationships/hyperlink" Target="javascript:void(0);" TargetMode="External"/><Relationship Id="rId241" Type="http://schemas.openxmlformats.org/officeDocument/2006/relationships/hyperlink" Target="javascript:void(0);" TargetMode="External"/><Relationship Id="rId479" Type="http://schemas.openxmlformats.org/officeDocument/2006/relationships/hyperlink" Target="javascript:void(0);" TargetMode="External"/><Relationship Id="rId686" Type="http://schemas.openxmlformats.org/officeDocument/2006/relationships/hyperlink" Target="javascript:void(0);" TargetMode="External"/><Relationship Id="rId893" Type="http://schemas.openxmlformats.org/officeDocument/2006/relationships/hyperlink" Target="javascript:void(0);" TargetMode="External"/><Relationship Id="rId339" Type="http://schemas.openxmlformats.org/officeDocument/2006/relationships/hyperlink" Target="javascript:void(0);" TargetMode="External"/><Relationship Id="rId546" Type="http://schemas.openxmlformats.org/officeDocument/2006/relationships/hyperlink" Target="javascript:void(0);" TargetMode="External"/><Relationship Id="rId753" Type="http://schemas.openxmlformats.org/officeDocument/2006/relationships/hyperlink" Target="javascript:void(0);" TargetMode="External"/><Relationship Id="rId1176" Type="http://schemas.openxmlformats.org/officeDocument/2006/relationships/hyperlink" Target="javascript:void(0);" TargetMode="External"/><Relationship Id="rId1383" Type="http://schemas.openxmlformats.org/officeDocument/2006/relationships/hyperlink" Target="javascript:void(0);" TargetMode="External"/><Relationship Id="rId2227" Type="http://schemas.openxmlformats.org/officeDocument/2006/relationships/hyperlink" Target="javascript:void(0);" TargetMode="External"/><Relationship Id="rId101" Type="http://schemas.openxmlformats.org/officeDocument/2006/relationships/hyperlink" Target="javascript:void(0);" TargetMode="External"/><Relationship Id="rId406" Type="http://schemas.openxmlformats.org/officeDocument/2006/relationships/hyperlink" Target="javascript:void(0);" TargetMode="External"/><Relationship Id="rId960" Type="http://schemas.openxmlformats.org/officeDocument/2006/relationships/hyperlink" Target="javascript:void(0);" TargetMode="External"/><Relationship Id="rId1036" Type="http://schemas.openxmlformats.org/officeDocument/2006/relationships/hyperlink" Target="javascript:void(0);" TargetMode="External"/><Relationship Id="rId1243" Type="http://schemas.openxmlformats.org/officeDocument/2006/relationships/hyperlink" Target="javascript:void(0);" TargetMode="External"/><Relationship Id="rId1590" Type="http://schemas.openxmlformats.org/officeDocument/2006/relationships/hyperlink" Target="javascript:void(0);" TargetMode="External"/><Relationship Id="rId1688" Type="http://schemas.openxmlformats.org/officeDocument/2006/relationships/hyperlink" Target="javascript:void(0);" TargetMode="External"/><Relationship Id="rId1895" Type="http://schemas.openxmlformats.org/officeDocument/2006/relationships/hyperlink" Target="javascript:void(0);" TargetMode="External"/><Relationship Id="rId613" Type="http://schemas.openxmlformats.org/officeDocument/2006/relationships/hyperlink" Target="javascript:void(0);" TargetMode="External"/><Relationship Id="rId820" Type="http://schemas.openxmlformats.org/officeDocument/2006/relationships/hyperlink" Target="javascript:void(0);" TargetMode="External"/><Relationship Id="rId918" Type="http://schemas.openxmlformats.org/officeDocument/2006/relationships/hyperlink" Target="javascript:void(0);" TargetMode="External"/><Relationship Id="rId1450" Type="http://schemas.openxmlformats.org/officeDocument/2006/relationships/hyperlink" Target="javascript:void(0);" TargetMode="External"/><Relationship Id="rId1548" Type="http://schemas.openxmlformats.org/officeDocument/2006/relationships/hyperlink" Target="javascript:void(0);" TargetMode="External"/><Relationship Id="rId1755" Type="http://schemas.openxmlformats.org/officeDocument/2006/relationships/hyperlink" Target="javascript:void(0);" TargetMode="External"/><Relationship Id="rId1103" Type="http://schemas.openxmlformats.org/officeDocument/2006/relationships/hyperlink" Target="javascript:void(0);" TargetMode="External"/><Relationship Id="rId1310" Type="http://schemas.openxmlformats.org/officeDocument/2006/relationships/hyperlink" Target="javascript:void(0);" TargetMode="External"/><Relationship Id="rId1408" Type="http://schemas.openxmlformats.org/officeDocument/2006/relationships/hyperlink" Target="javascript:void(0);" TargetMode="External"/><Relationship Id="rId1962" Type="http://schemas.openxmlformats.org/officeDocument/2006/relationships/hyperlink" Target="javascript:void(0);" TargetMode="External"/><Relationship Id="rId47" Type="http://schemas.openxmlformats.org/officeDocument/2006/relationships/hyperlink" Target="javascript:void(0);" TargetMode="External"/><Relationship Id="rId1615" Type="http://schemas.openxmlformats.org/officeDocument/2006/relationships/hyperlink" Target="javascript:void(0);" TargetMode="External"/><Relationship Id="rId1822" Type="http://schemas.openxmlformats.org/officeDocument/2006/relationships/hyperlink" Target="javascript:void(0);" TargetMode="External"/><Relationship Id="rId196" Type="http://schemas.openxmlformats.org/officeDocument/2006/relationships/hyperlink" Target="javascript:void(0);" TargetMode="External"/><Relationship Id="rId2084" Type="http://schemas.openxmlformats.org/officeDocument/2006/relationships/hyperlink" Target="javascript:void(0);" TargetMode="External"/><Relationship Id="rId2291" Type="http://schemas.openxmlformats.org/officeDocument/2006/relationships/hyperlink" Target="javascript:void(0);" TargetMode="External"/><Relationship Id="rId263" Type="http://schemas.openxmlformats.org/officeDocument/2006/relationships/hyperlink" Target="javascript:void(0);" TargetMode="External"/><Relationship Id="rId470" Type="http://schemas.openxmlformats.org/officeDocument/2006/relationships/hyperlink" Target="javascript:void(0);" TargetMode="External"/><Relationship Id="rId2151" Type="http://schemas.openxmlformats.org/officeDocument/2006/relationships/hyperlink" Target="javascript:void(0);" TargetMode="External"/><Relationship Id="rId123" Type="http://schemas.openxmlformats.org/officeDocument/2006/relationships/hyperlink" Target="javascript:void(0);" TargetMode="External"/><Relationship Id="rId330" Type="http://schemas.openxmlformats.org/officeDocument/2006/relationships/hyperlink" Target="javascript:void(0);" TargetMode="External"/><Relationship Id="rId568" Type="http://schemas.openxmlformats.org/officeDocument/2006/relationships/hyperlink" Target="javascript:void(0);" TargetMode="External"/><Relationship Id="rId775" Type="http://schemas.openxmlformats.org/officeDocument/2006/relationships/hyperlink" Target="javascript:void(0);" TargetMode="External"/><Relationship Id="rId982" Type="http://schemas.openxmlformats.org/officeDocument/2006/relationships/hyperlink" Target="javascript:void(0);" TargetMode="External"/><Relationship Id="rId1198" Type="http://schemas.openxmlformats.org/officeDocument/2006/relationships/hyperlink" Target="javascript:void(0);" TargetMode="External"/><Relationship Id="rId2011" Type="http://schemas.openxmlformats.org/officeDocument/2006/relationships/hyperlink" Target="javascript:void(0);" TargetMode="External"/><Relationship Id="rId2249" Type="http://schemas.openxmlformats.org/officeDocument/2006/relationships/hyperlink" Target="javascript:void(0);" TargetMode="External"/><Relationship Id="rId428" Type="http://schemas.openxmlformats.org/officeDocument/2006/relationships/hyperlink" Target="javascript:void(0);" TargetMode="External"/><Relationship Id="rId635" Type="http://schemas.openxmlformats.org/officeDocument/2006/relationships/hyperlink" Target="javascript:void(0);" TargetMode="External"/><Relationship Id="rId842" Type="http://schemas.openxmlformats.org/officeDocument/2006/relationships/hyperlink" Target="javascript:void(0);" TargetMode="External"/><Relationship Id="rId1058" Type="http://schemas.openxmlformats.org/officeDocument/2006/relationships/hyperlink" Target="javascript:void(0);" TargetMode="External"/><Relationship Id="rId1265" Type="http://schemas.openxmlformats.org/officeDocument/2006/relationships/hyperlink" Target="javascript:void(0);" TargetMode="External"/><Relationship Id="rId1472" Type="http://schemas.openxmlformats.org/officeDocument/2006/relationships/hyperlink" Target="javascript:void(0);" TargetMode="External"/><Relationship Id="rId2109" Type="http://schemas.openxmlformats.org/officeDocument/2006/relationships/hyperlink" Target="javascript:void(0);" TargetMode="External"/><Relationship Id="rId702" Type="http://schemas.openxmlformats.org/officeDocument/2006/relationships/hyperlink" Target="javascript:void(0);" TargetMode="External"/><Relationship Id="rId1125" Type="http://schemas.openxmlformats.org/officeDocument/2006/relationships/hyperlink" Target="javascript:void(0);" TargetMode="External"/><Relationship Id="rId1332" Type="http://schemas.openxmlformats.org/officeDocument/2006/relationships/hyperlink" Target="javascript:void(0);" TargetMode="External"/><Relationship Id="rId1777" Type="http://schemas.openxmlformats.org/officeDocument/2006/relationships/hyperlink" Target="javascript:void(0);" TargetMode="External"/><Relationship Id="rId1984" Type="http://schemas.openxmlformats.org/officeDocument/2006/relationships/hyperlink" Target="javascript:void(0);" TargetMode="External"/><Relationship Id="rId69" Type="http://schemas.openxmlformats.org/officeDocument/2006/relationships/hyperlink" Target="javascript:void(0);" TargetMode="External"/><Relationship Id="rId1637" Type="http://schemas.openxmlformats.org/officeDocument/2006/relationships/hyperlink" Target="javascript:void(0);" TargetMode="External"/><Relationship Id="rId1844" Type="http://schemas.openxmlformats.org/officeDocument/2006/relationships/hyperlink" Target="javascript:void(0);" TargetMode="External"/><Relationship Id="rId1704" Type="http://schemas.openxmlformats.org/officeDocument/2006/relationships/hyperlink" Target="javascript:void(0);" TargetMode="External"/><Relationship Id="rId285" Type="http://schemas.openxmlformats.org/officeDocument/2006/relationships/hyperlink" Target="javascript:void(0);" TargetMode="External"/><Relationship Id="rId1911" Type="http://schemas.openxmlformats.org/officeDocument/2006/relationships/hyperlink" Target="javascript:void(0);" TargetMode="External"/><Relationship Id="rId492" Type="http://schemas.openxmlformats.org/officeDocument/2006/relationships/hyperlink" Target="javascript:void(0);" TargetMode="External"/><Relationship Id="rId797" Type="http://schemas.openxmlformats.org/officeDocument/2006/relationships/hyperlink" Target="javascript:void(0);" TargetMode="External"/><Relationship Id="rId2173" Type="http://schemas.openxmlformats.org/officeDocument/2006/relationships/hyperlink" Target="javascript:void(0);" TargetMode="External"/><Relationship Id="rId145" Type="http://schemas.openxmlformats.org/officeDocument/2006/relationships/hyperlink" Target="javascript:void(0);" TargetMode="External"/><Relationship Id="rId352" Type="http://schemas.openxmlformats.org/officeDocument/2006/relationships/hyperlink" Target="javascript:void(0);" TargetMode="External"/><Relationship Id="rId1287" Type="http://schemas.openxmlformats.org/officeDocument/2006/relationships/hyperlink" Target="javascript:void(0);" TargetMode="External"/><Relationship Id="rId2033" Type="http://schemas.openxmlformats.org/officeDocument/2006/relationships/hyperlink" Target="javascript:void(0);" TargetMode="External"/><Relationship Id="rId2240" Type="http://schemas.openxmlformats.org/officeDocument/2006/relationships/hyperlink" Target="javascript:void(0);" TargetMode="External"/><Relationship Id="rId212" Type="http://schemas.openxmlformats.org/officeDocument/2006/relationships/hyperlink" Target="javascript:void(0);" TargetMode="External"/><Relationship Id="rId657" Type="http://schemas.openxmlformats.org/officeDocument/2006/relationships/hyperlink" Target="javascript:void(0);" TargetMode="External"/><Relationship Id="rId864" Type="http://schemas.openxmlformats.org/officeDocument/2006/relationships/hyperlink" Target="javascript:void(0);" TargetMode="External"/><Relationship Id="rId1494" Type="http://schemas.openxmlformats.org/officeDocument/2006/relationships/hyperlink" Target="javascript:void(0);" TargetMode="External"/><Relationship Id="rId1799" Type="http://schemas.openxmlformats.org/officeDocument/2006/relationships/hyperlink" Target="javascript:void(0);" TargetMode="External"/><Relationship Id="rId2100" Type="http://schemas.openxmlformats.org/officeDocument/2006/relationships/hyperlink" Target="javascript:void(0);" TargetMode="External"/><Relationship Id="rId517" Type="http://schemas.openxmlformats.org/officeDocument/2006/relationships/hyperlink" Target="javascript:void(0);" TargetMode="External"/><Relationship Id="rId724" Type="http://schemas.openxmlformats.org/officeDocument/2006/relationships/hyperlink" Target="javascript:void(0);" TargetMode="External"/><Relationship Id="rId931" Type="http://schemas.openxmlformats.org/officeDocument/2006/relationships/hyperlink" Target="javascript:void(0);" TargetMode="External"/><Relationship Id="rId1147" Type="http://schemas.openxmlformats.org/officeDocument/2006/relationships/hyperlink" Target="javascript:void(0);" TargetMode="External"/><Relationship Id="rId1354" Type="http://schemas.openxmlformats.org/officeDocument/2006/relationships/hyperlink" Target="javascript:void(0);" TargetMode="External"/><Relationship Id="rId1561" Type="http://schemas.openxmlformats.org/officeDocument/2006/relationships/hyperlink" Target="javascript:void(0);" TargetMode="External"/><Relationship Id="rId60" Type="http://schemas.openxmlformats.org/officeDocument/2006/relationships/hyperlink" Target="javascript:void(0);" TargetMode="External"/><Relationship Id="rId1007" Type="http://schemas.openxmlformats.org/officeDocument/2006/relationships/hyperlink" Target="javascript:void(0);" TargetMode="External"/><Relationship Id="rId1214" Type="http://schemas.openxmlformats.org/officeDocument/2006/relationships/hyperlink" Target="javascript:void(0);" TargetMode="External"/><Relationship Id="rId1421" Type="http://schemas.openxmlformats.org/officeDocument/2006/relationships/hyperlink" Target="javascript:void(0);" TargetMode="External"/><Relationship Id="rId1659" Type="http://schemas.openxmlformats.org/officeDocument/2006/relationships/hyperlink" Target="javascript:void(0);" TargetMode="External"/><Relationship Id="rId1866" Type="http://schemas.openxmlformats.org/officeDocument/2006/relationships/hyperlink" Target="javascript:void(0);" TargetMode="External"/><Relationship Id="rId1519" Type="http://schemas.openxmlformats.org/officeDocument/2006/relationships/hyperlink" Target="javascript:void(0);" TargetMode="External"/><Relationship Id="rId1726" Type="http://schemas.openxmlformats.org/officeDocument/2006/relationships/hyperlink" Target="javascript:void(0);" TargetMode="External"/><Relationship Id="rId1933" Type="http://schemas.openxmlformats.org/officeDocument/2006/relationships/hyperlink" Target="javascript:void(0);" TargetMode="External"/><Relationship Id="rId18" Type="http://schemas.openxmlformats.org/officeDocument/2006/relationships/hyperlink" Target="javascript:void(0);" TargetMode="External"/><Relationship Id="rId2195" Type="http://schemas.openxmlformats.org/officeDocument/2006/relationships/hyperlink" Target="javascript:void(0);" TargetMode="External"/><Relationship Id="rId167" Type="http://schemas.openxmlformats.org/officeDocument/2006/relationships/hyperlink" Target="javascript:void(0);" TargetMode="External"/><Relationship Id="rId374" Type="http://schemas.openxmlformats.org/officeDocument/2006/relationships/hyperlink" Target="javascript:void(0);" TargetMode="External"/><Relationship Id="rId581" Type="http://schemas.openxmlformats.org/officeDocument/2006/relationships/hyperlink" Target="javascript:void(0);" TargetMode="External"/><Relationship Id="rId2055" Type="http://schemas.openxmlformats.org/officeDocument/2006/relationships/hyperlink" Target="javascript:void(0);" TargetMode="External"/><Relationship Id="rId2262" Type="http://schemas.openxmlformats.org/officeDocument/2006/relationships/hyperlink" Target="javascript:void(0);" TargetMode="External"/><Relationship Id="rId234" Type="http://schemas.openxmlformats.org/officeDocument/2006/relationships/hyperlink" Target="javascript:void(0);" TargetMode="External"/><Relationship Id="rId679" Type="http://schemas.openxmlformats.org/officeDocument/2006/relationships/hyperlink" Target="javascript:void(0);" TargetMode="External"/><Relationship Id="rId886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441" Type="http://schemas.openxmlformats.org/officeDocument/2006/relationships/hyperlink" Target="javascript:void(0);" TargetMode="External"/><Relationship Id="rId539" Type="http://schemas.openxmlformats.org/officeDocument/2006/relationships/hyperlink" Target="javascript:void(0);" TargetMode="External"/><Relationship Id="rId746" Type="http://schemas.openxmlformats.org/officeDocument/2006/relationships/hyperlink" Target="javascript:void(0);" TargetMode="External"/><Relationship Id="rId1071" Type="http://schemas.openxmlformats.org/officeDocument/2006/relationships/hyperlink" Target="javascript:void(0);" TargetMode="External"/><Relationship Id="rId1169" Type="http://schemas.openxmlformats.org/officeDocument/2006/relationships/hyperlink" Target="javascript:void(0);" TargetMode="External"/><Relationship Id="rId1376" Type="http://schemas.openxmlformats.org/officeDocument/2006/relationships/hyperlink" Target="javascript:void(0);" TargetMode="External"/><Relationship Id="rId1583" Type="http://schemas.openxmlformats.org/officeDocument/2006/relationships/hyperlink" Target="javascript:void(0);" TargetMode="External"/><Relationship Id="rId2122" Type="http://schemas.openxmlformats.org/officeDocument/2006/relationships/hyperlink" Target="javascript:void(0);" TargetMode="External"/><Relationship Id="rId301" Type="http://schemas.openxmlformats.org/officeDocument/2006/relationships/hyperlink" Target="javascript:void(0);" TargetMode="External"/><Relationship Id="rId953" Type="http://schemas.openxmlformats.org/officeDocument/2006/relationships/hyperlink" Target="javascript:void(0);" TargetMode="External"/><Relationship Id="rId1029" Type="http://schemas.openxmlformats.org/officeDocument/2006/relationships/hyperlink" Target="javascript:void(0);" TargetMode="External"/><Relationship Id="rId1236" Type="http://schemas.openxmlformats.org/officeDocument/2006/relationships/hyperlink" Target="javascript:void(0);" TargetMode="External"/><Relationship Id="rId1790" Type="http://schemas.openxmlformats.org/officeDocument/2006/relationships/hyperlink" Target="javascript:void(0);" TargetMode="External"/><Relationship Id="rId1888" Type="http://schemas.openxmlformats.org/officeDocument/2006/relationships/hyperlink" Target="javascript:void(0);" TargetMode="External"/><Relationship Id="rId82" Type="http://schemas.openxmlformats.org/officeDocument/2006/relationships/hyperlink" Target="javascript:void(0);" TargetMode="External"/><Relationship Id="rId606" Type="http://schemas.openxmlformats.org/officeDocument/2006/relationships/hyperlink" Target="javascript:void(0);" TargetMode="External"/><Relationship Id="rId813" Type="http://schemas.openxmlformats.org/officeDocument/2006/relationships/hyperlink" Target="javascript:void(0);" TargetMode="External"/><Relationship Id="rId1443" Type="http://schemas.openxmlformats.org/officeDocument/2006/relationships/hyperlink" Target="javascript:void(0);" TargetMode="External"/><Relationship Id="rId1650" Type="http://schemas.openxmlformats.org/officeDocument/2006/relationships/hyperlink" Target="javascript:void(0);" TargetMode="External"/><Relationship Id="rId1748" Type="http://schemas.openxmlformats.org/officeDocument/2006/relationships/hyperlink" Target="javascript:void(0);" TargetMode="External"/><Relationship Id="rId1303" Type="http://schemas.openxmlformats.org/officeDocument/2006/relationships/hyperlink" Target="javascript:void(0);" TargetMode="External"/><Relationship Id="rId1510" Type="http://schemas.openxmlformats.org/officeDocument/2006/relationships/hyperlink" Target="javascript:void(0);" TargetMode="External"/><Relationship Id="rId1955" Type="http://schemas.openxmlformats.org/officeDocument/2006/relationships/hyperlink" Target="javascript:void(0);" TargetMode="External"/><Relationship Id="rId1608" Type="http://schemas.openxmlformats.org/officeDocument/2006/relationships/hyperlink" Target="javascript:void(0);" TargetMode="External"/><Relationship Id="rId1815" Type="http://schemas.openxmlformats.org/officeDocument/2006/relationships/hyperlink" Target="javascript:void(0);" TargetMode="External"/><Relationship Id="rId189" Type="http://schemas.openxmlformats.org/officeDocument/2006/relationships/hyperlink" Target="javascript:void(0);" TargetMode="External"/><Relationship Id="rId396" Type="http://schemas.openxmlformats.org/officeDocument/2006/relationships/hyperlink" Target="javascript:void(0);" TargetMode="External"/><Relationship Id="rId2077" Type="http://schemas.openxmlformats.org/officeDocument/2006/relationships/hyperlink" Target="javascript:void(0);" TargetMode="External"/><Relationship Id="rId2284" Type="http://schemas.openxmlformats.org/officeDocument/2006/relationships/hyperlink" Target="javascript:void(0);" TargetMode="External"/><Relationship Id="rId256" Type="http://schemas.openxmlformats.org/officeDocument/2006/relationships/hyperlink" Target="javascript:void(0);" TargetMode="External"/><Relationship Id="rId463" Type="http://schemas.openxmlformats.org/officeDocument/2006/relationships/hyperlink" Target="javascript:void(0);" TargetMode="External"/><Relationship Id="rId670" Type="http://schemas.openxmlformats.org/officeDocument/2006/relationships/hyperlink" Target="javascript:void(0);" TargetMode="External"/><Relationship Id="rId1093" Type="http://schemas.openxmlformats.org/officeDocument/2006/relationships/hyperlink" Target="javascript:void(0);" TargetMode="External"/><Relationship Id="rId2144" Type="http://schemas.openxmlformats.org/officeDocument/2006/relationships/hyperlink" Target="javascript:void(0);" TargetMode="External"/><Relationship Id="rId116" Type="http://schemas.openxmlformats.org/officeDocument/2006/relationships/hyperlink" Target="javascript:void(0);" TargetMode="External"/><Relationship Id="rId323" Type="http://schemas.openxmlformats.org/officeDocument/2006/relationships/hyperlink" Target="javascript:void(0);" TargetMode="External"/><Relationship Id="rId530" Type="http://schemas.openxmlformats.org/officeDocument/2006/relationships/hyperlink" Target="javascript:void(0);" TargetMode="External"/><Relationship Id="rId768" Type="http://schemas.openxmlformats.org/officeDocument/2006/relationships/hyperlink" Target="javascript:void(0);" TargetMode="External"/><Relationship Id="rId975" Type="http://schemas.openxmlformats.org/officeDocument/2006/relationships/hyperlink" Target="javascript:void(0);" TargetMode="External"/><Relationship Id="rId1160" Type="http://schemas.openxmlformats.org/officeDocument/2006/relationships/hyperlink" Target="javascript:void(0);" TargetMode="External"/><Relationship Id="rId1398" Type="http://schemas.openxmlformats.org/officeDocument/2006/relationships/hyperlink" Target="javascript:void(0);" TargetMode="External"/><Relationship Id="rId2004" Type="http://schemas.openxmlformats.org/officeDocument/2006/relationships/hyperlink" Target="javascript:void(0);" TargetMode="External"/><Relationship Id="rId2211" Type="http://schemas.openxmlformats.org/officeDocument/2006/relationships/hyperlink" Target="javascript:void(0);" TargetMode="External"/><Relationship Id="rId628" Type="http://schemas.openxmlformats.org/officeDocument/2006/relationships/hyperlink" Target="javascript:void(0);" TargetMode="External"/><Relationship Id="rId835" Type="http://schemas.openxmlformats.org/officeDocument/2006/relationships/hyperlink" Target="javascript:void(0);" TargetMode="External"/><Relationship Id="rId1258" Type="http://schemas.openxmlformats.org/officeDocument/2006/relationships/hyperlink" Target="javascript:void(0);" TargetMode="External"/><Relationship Id="rId1465" Type="http://schemas.openxmlformats.org/officeDocument/2006/relationships/hyperlink" Target="javascript:void(0);" TargetMode="External"/><Relationship Id="rId1672" Type="http://schemas.openxmlformats.org/officeDocument/2006/relationships/hyperlink" Target="javascript:void(0);" TargetMode="External"/><Relationship Id="rId1020" Type="http://schemas.openxmlformats.org/officeDocument/2006/relationships/hyperlink" Target="javascript:void(0);" TargetMode="External"/><Relationship Id="rId1118" Type="http://schemas.openxmlformats.org/officeDocument/2006/relationships/hyperlink" Target="javascript:void(0);" TargetMode="External"/><Relationship Id="rId1325" Type="http://schemas.openxmlformats.org/officeDocument/2006/relationships/hyperlink" Target="javascript:void(0);" TargetMode="External"/><Relationship Id="rId1532" Type="http://schemas.openxmlformats.org/officeDocument/2006/relationships/hyperlink" Target="javascript:void(0);" TargetMode="External"/><Relationship Id="rId1977" Type="http://schemas.openxmlformats.org/officeDocument/2006/relationships/hyperlink" Target="javascript:void(0);" TargetMode="External"/><Relationship Id="rId902" Type="http://schemas.openxmlformats.org/officeDocument/2006/relationships/hyperlink" Target="javascript:void(0);" TargetMode="External"/><Relationship Id="rId1837" Type="http://schemas.openxmlformats.org/officeDocument/2006/relationships/hyperlink" Target="javascript:void(0);" TargetMode="External"/><Relationship Id="rId31" Type="http://schemas.openxmlformats.org/officeDocument/2006/relationships/hyperlink" Target="javascript:void(0);" TargetMode="External"/><Relationship Id="rId2099" Type="http://schemas.openxmlformats.org/officeDocument/2006/relationships/hyperlink" Target="javascript:void(0);" TargetMode="External"/><Relationship Id="rId180" Type="http://schemas.openxmlformats.org/officeDocument/2006/relationships/hyperlink" Target="javascript:void(0);" TargetMode="External"/><Relationship Id="rId278" Type="http://schemas.openxmlformats.org/officeDocument/2006/relationships/hyperlink" Target="javascript:void(0);" TargetMode="External"/><Relationship Id="rId1904" Type="http://schemas.openxmlformats.org/officeDocument/2006/relationships/hyperlink" Target="javascript:void(0);" TargetMode="External"/><Relationship Id="rId485" Type="http://schemas.openxmlformats.org/officeDocument/2006/relationships/hyperlink" Target="javascript:void(0);" TargetMode="External"/><Relationship Id="rId692" Type="http://schemas.openxmlformats.org/officeDocument/2006/relationships/hyperlink" Target="javascript:void(0);" TargetMode="External"/><Relationship Id="rId2166" Type="http://schemas.openxmlformats.org/officeDocument/2006/relationships/hyperlink" Target="javascript:void(0);" TargetMode="External"/><Relationship Id="rId138" Type="http://schemas.openxmlformats.org/officeDocument/2006/relationships/hyperlink" Target="javascript:void(0);" TargetMode="External"/><Relationship Id="rId345" Type="http://schemas.openxmlformats.org/officeDocument/2006/relationships/hyperlink" Target="javascript:void(0);" TargetMode="External"/><Relationship Id="rId552" Type="http://schemas.openxmlformats.org/officeDocument/2006/relationships/hyperlink" Target="javascript:void(0);" TargetMode="External"/><Relationship Id="rId997" Type="http://schemas.openxmlformats.org/officeDocument/2006/relationships/hyperlink" Target="javascript:void(0);" TargetMode="External"/><Relationship Id="rId1182" Type="http://schemas.openxmlformats.org/officeDocument/2006/relationships/hyperlink" Target="javascript:void(0);" TargetMode="External"/><Relationship Id="rId2026" Type="http://schemas.openxmlformats.org/officeDocument/2006/relationships/hyperlink" Target="javascript:void(0);" TargetMode="External"/><Relationship Id="rId2233" Type="http://schemas.openxmlformats.org/officeDocument/2006/relationships/hyperlink" Target="javascript:void(0);" TargetMode="External"/><Relationship Id="rId205" Type="http://schemas.openxmlformats.org/officeDocument/2006/relationships/hyperlink" Target="javascript:void(0);" TargetMode="External"/><Relationship Id="rId412" Type="http://schemas.openxmlformats.org/officeDocument/2006/relationships/hyperlink" Target="javascript:void(0);" TargetMode="External"/><Relationship Id="rId857" Type="http://schemas.openxmlformats.org/officeDocument/2006/relationships/hyperlink" Target="javascript:void(0);" TargetMode="External"/><Relationship Id="rId1042" Type="http://schemas.openxmlformats.org/officeDocument/2006/relationships/hyperlink" Target="javascript:void(0);" TargetMode="External"/><Relationship Id="rId1487" Type="http://schemas.openxmlformats.org/officeDocument/2006/relationships/hyperlink" Target="javascript:void(0);" TargetMode="External"/><Relationship Id="rId1694" Type="http://schemas.openxmlformats.org/officeDocument/2006/relationships/hyperlink" Target="javascript:void(0);" TargetMode="External"/><Relationship Id="rId717" Type="http://schemas.openxmlformats.org/officeDocument/2006/relationships/hyperlink" Target="javascript:void(0);" TargetMode="External"/><Relationship Id="rId924" Type="http://schemas.openxmlformats.org/officeDocument/2006/relationships/hyperlink" Target="javascript:void(0);" TargetMode="External"/><Relationship Id="rId1347" Type="http://schemas.openxmlformats.org/officeDocument/2006/relationships/hyperlink" Target="javascript:void(0);" TargetMode="External"/><Relationship Id="rId1554" Type="http://schemas.openxmlformats.org/officeDocument/2006/relationships/hyperlink" Target="javascript:void(0);" TargetMode="External"/><Relationship Id="rId1761" Type="http://schemas.openxmlformats.org/officeDocument/2006/relationships/hyperlink" Target="javascript:void(0);" TargetMode="External"/><Relationship Id="rId1999" Type="http://schemas.openxmlformats.org/officeDocument/2006/relationships/hyperlink" Target="javascript:void(0);" TargetMode="External"/><Relationship Id="rId53" Type="http://schemas.openxmlformats.org/officeDocument/2006/relationships/hyperlink" Target="javascript:void(0);" TargetMode="External"/><Relationship Id="rId1207" Type="http://schemas.openxmlformats.org/officeDocument/2006/relationships/hyperlink" Target="javascript:void(0);" TargetMode="External"/><Relationship Id="rId1414" Type="http://schemas.openxmlformats.org/officeDocument/2006/relationships/hyperlink" Target="javascript:void(0);" TargetMode="External"/><Relationship Id="rId1621" Type="http://schemas.openxmlformats.org/officeDocument/2006/relationships/hyperlink" Target="javascript:void(0);" TargetMode="External"/><Relationship Id="rId1859" Type="http://schemas.openxmlformats.org/officeDocument/2006/relationships/hyperlink" Target="javascript:void(0);" TargetMode="External"/><Relationship Id="rId1719" Type="http://schemas.openxmlformats.org/officeDocument/2006/relationships/hyperlink" Target="javascript:void(0);" TargetMode="External"/><Relationship Id="rId1926" Type="http://schemas.openxmlformats.org/officeDocument/2006/relationships/hyperlink" Target="javascript:void(0);" TargetMode="External"/><Relationship Id="rId2090" Type="http://schemas.openxmlformats.org/officeDocument/2006/relationships/hyperlink" Target="javascript:void(0);" TargetMode="External"/><Relationship Id="rId2188" Type="http://schemas.openxmlformats.org/officeDocument/2006/relationships/hyperlink" Target="javascript:void(0);" TargetMode="External"/><Relationship Id="rId367" Type="http://schemas.openxmlformats.org/officeDocument/2006/relationships/hyperlink" Target="javascript:void(0);" TargetMode="External"/><Relationship Id="rId574" Type="http://schemas.openxmlformats.org/officeDocument/2006/relationships/hyperlink" Target="javascript:void(0);" TargetMode="External"/><Relationship Id="rId2048" Type="http://schemas.openxmlformats.org/officeDocument/2006/relationships/hyperlink" Target="javascript:void(0);" TargetMode="External"/><Relationship Id="rId2255" Type="http://schemas.openxmlformats.org/officeDocument/2006/relationships/hyperlink" Target="javascript:void(0);" TargetMode="External"/><Relationship Id="rId227" Type="http://schemas.openxmlformats.org/officeDocument/2006/relationships/hyperlink" Target="javascript:void(0);" TargetMode="External"/><Relationship Id="rId781" Type="http://schemas.openxmlformats.org/officeDocument/2006/relationships/hyperlink" Target="javascript:void(0);" TargetMode="External"/><Relationship Id="rId879" Type="http://schemas.openxmlformats.org/officeDocument/2006/relationships/hyperlink" Target="javascript:void(0);" TargetMode="External"/><Relationship Id="rId434" Type="http://schemas.openxmlformats.org/officeDocument/2006/relationships/hyperlink" Target="javascript:void(0);" TargetMode="External"/><Relationship Id="rId641" Type="http://schemas.openxmlformats.org/officeDocument/2006/relationships/hyperlink" Target="javascript:void(0);" TargetMode="External"/><Relationship Id="rId739" Type="http://schemas.openxmlformats.org/officeDocument/2006/relationships/hyperlink" Target="javascript:void(0);" TargetMode="External"/><Relationship Id="rId1064" Type="http://schemas.openxmlformats.org/officeDocument/2006/relationships/hyperlink" Target="javascript:void(0);" TargetMode="External"/><Relationship Id="rId1271" Type="http://schemas.openxmlformats.org/officeDocument/2006/relationships/hyperlink" Target="javascript:void(0);" TargetMode="External"/><Relationship Id="rId1369" Type="http://schemas.openxmlformats.org/officeDocument/2006/relationships/hyperlink" Target="javascript:void(0);" TargetMode="External"/><Relationship Id="rId1576" Type="http://schemas.openxmlformats.org/officeDocument/2006/relationships/hyperlink" Target="javascript:void(0);" TargetMode="External"/><Relationship Id="rId2115" Type="http://schemas.openxmlformats.org/officeDocument/2006/relationships/hyperlink" Target="javascript:void(0);" TargetMode="External"/><Relationship Id="rId501" Type="http://schemas.openxmlformats.org/officeDocument/2006/relationships/hyperlink" Target="javascript:void(0);" TargetMode="External"/><Relationship Id="rId946" Type="http://schemas.openxmlformats.org/officeDocument/2006/relationships/hyperlink" Target="javascript:void(0);" TargetMode="External"/><Relationship Id="rId1131" Type="http://schemas.openxmlformats.org/officeDocument/2006/relationships/hyperlink" Target="javascript:void(0);" TargetMode="External"/><Relationship Id="rId1229" Type="http://schemas.openxmlformats.org/officeDocument/2006/relationships/hyperlink" Target="javascript:void(0);" TargetMode="External"/><Relationship Id="rId1783" Type="http://schemas.openxmlformats.org/officeDocument/2006/relationships/hyperlink" Target="javascript:void(0);" TargetMode="External"/><Relationship Id="rId1990" Type="http://schemas.openxmlformats.org/officeDocument/2006/relationships/hyperlink" Target="javascript:void(0);" TargetMode="External"/><Relationship Id="rId75" Type="http://schemas.openxmlformats.org/officeDocument/2006/relationships/hyperlink" Target="javascript:void(0);" TargetMode="External"/><Relationship Id="rId806" Type="http://schemas.openxmlformats.org/officeDocument/2006/relationships/hyperlink" Target="javascript:void(0);" TargetMode="External"/><Relationship Id="rId1436" Type="http://schemas.openxmlformats.org/officeDocument/2006/relationships/hyperlink" Target="javascript:void(0);" TargetMode="External"/><Relationship Id="rId1643" Type="http://schemas.openxmlformats.org/officeDocument/2006/relationships/hyperlink" Target="javascript:void(0);" TargetMode="External"/><Relationship Id="rId1850" Type="http://schemas.openxmlformats.org/officeDocument/2006/relationships/hyperlink" Target="javascript:void(0);" TargetMode="External"/><Relationship Id="rId1503" Type="http://schemas.openxmlformats.org/officeDocument/2006/relationships/hyperlink" Target="javascript:void(0);" TargetMode="External"/><Relationship Id="rId1710" Type="http://schemas.openxmlformats.org/officeDocument/2006/relationships/hyperlink" Target="javascript:void(0);" TargetMode="External"/><Relationship Id="rId1948" Type="http://schemas.openxmlformats.org/officeDocument/2006/relationships/hyperlink" Target="javascript:void(0);" TargetMode="External"/><Relationship Id="rId291" Type="http://schemas.openxmlformats.org/officeDocument/2006/relationships/hyperlink" Target="javascript:void(0);" TargetMode="External"/><Relationship Id="rId1808" Type="http://schemas.openxmlformats.org/officeDocument/2006/relationships/hyperlink" Target="javascript:void(0);" TargetMode="External"/><Relationship Id="rId151" Type="http://schemas.openxmlformats.org/officeDocument/2006/relationships/hyperlink" Target="javascript:void(0);" TargetMode="External"/><Relationship Id="rId389" Type="http://schemas.openxmlformats.org/officeDocument/2006/relationships/hyperlink" Target="javascript:void(0);" TargetMode="External"/><Relationship Id="rId596" Type="http://schemas.openxmlformats.org/officeDocument/2006/relationships/hyperlink" Target="javascript:void(0);" TargetMode="External"/><Relationship Id="rId2277" Type="http://schemas.openxmlformats.org/officeDocument/2006/relationships/hyperlink" Target="javascript:void(0);" TargetMode="External"/><Relationship Id="rId249" Type="http://schemas.openxmlformats.org/officeDocument/2006/relationships/hyperlink" Target="javascript:void(0);" TargetMode="External"/><Relationship Id="rId456" Type="http://schemas.openxmlformats.org/officeDocument/2006/relationships/hyperlink" Target="javascript:void(0);" TargetMode="External"/><Relationship Id="rId663" Type="http://schemas.openxmlformats.org/officeDocument/2006/relationships/hyperlink" Target="javascript:void(0);" TargetMode="External"/><Relationship Id="rId870" Type="http://schemas.openxmlformats.org/officeDocument/2006/relationships/hyperlink" Target="javascript:void(0);" TargetMode="External"/><Relationship Id="rId1086" Type="http://schemas.openxmlformats.org/officeDocument/2006/relationships/hyperlink" Target="javascript:void(0);" TargetMode="External"/><Relationship Id="rId1293" Type="http://schemas.openxmlformats.org/officeDocument/2006/relationships/hyperlink" Target="javascript:void(0);" TargetMode="External"/><Relationship Id="rId2137" Type="http://schemas.openxmlformats.org/officeDocument/2006/relationships/hyperlink" Target="javascript:void(0);" TargetMode="External"/><Relationship Id="rId109" Type="http://schemas.openxmlformats.org/officeDocument/2006/relationships/hyperlink" Target="javascript:void(0);" TargetMode="External"/><Relationship Id="rId316" Type="http://schemas.openxmlformats.org/officeDocument/2006/relationships/hyperlink" Target="javascript:void(0);" TargetMode="External"/><Relationship Id="rId523" Type="http://schemas.openxmlformats.org/officeDocument/2006/relationships/hyperlink" Target="javascript:void(0);" TargetMode="External"/><Relationship Id="rId968" Type="http://schemas.openxmlformats.org/officeDocument/2006/relationships/hyperlink" Target="javascript:void(0);" TargetMode="External"/><Relationship Id="rId1153" Type="http://schemas.openxmlformats.org/officeDocument/2006/relationships/hyperlink" Target="javascript:void(0);" TargetMode="External"/><Relationship Id="rId1598" Type="http://schemas.openxmlformats.org/officeDocument/2006/relationships/hyperlink" Target="javascript:void(0);" TargetMode="External"/><Relationship Id="rId2204" Type="http://schemas.openxmlformats.org/officeDocument/2006/relationships/hyperlink" Target="javascript:void(0);" TargetMode="External"/><Relationship Id="rId97" Type="http://schemas.openxmlformats.org/officeDocument/2006/relationships/hyperlink" Target="javascript:void(0);" TargetMode="External"/><Relationship Id="rId730" Type="http://schemas.openxmlformats.org/officeDocument/2006/relationships/hyperlink" Target="javascript:void(0);" TargetMode="External"/><Relationship Id="rId828" Type="http://schemas.openxmlformats.org/officeDocument/2006/relationships/hyperlink" Target="javascript:void(0);" TargetMode="External"/><Relationship Id="rId1013" Type="http://schemas.openxmlformats.org/officeDocument/2006/relationships/hyperlink" Target="javascript:void(0);" TargetMode="External"/><Relationship Id="rId1360" Type="http://schemas.openxmlformats.org/officeDocument/2006/relationships/hyperlink" Target="javascript:void(0);" TargetMode="External"/><Relationship Id="rId1458" Type="http://schemas.openxmlformats.org/officeDocument/2006/relationships/hyperlink" Target="javascript:void(0);" TargetMode="External"/><Relationship Id="rId1665" Type="http://schemas.openxmlformats.org/officeDocument/2006/relationships/hyperlink" Target="javascript:void(0);" TargetMode="External"/><Relationship Id="rId1872" Type="http://schemas.openxmlformats.org/officeDocument/2006/relationships/hyperlink" Target="javascript:void(0);" TargetMode="External"/><Relationship Id="rId1220" Type="http://schemas.openxmlformats.org/officeDocument/2006/relationships/hyperlink" Target="javascript:void(0);" TargetMode="External"/><Relationship Id="rId1318" Type="http://schemas.openxmlformats.org/officeDocument/2006/relationships/hyperlink" Target="javascript:void(0);" TargetMode="External"/><Relationship Id="rId1525" Type="http://schemas.openxmlformats.org/officeDocument/2006/relationships/hyperlink" Target="javascript:void(0);" TargetMode="External"/><Relationship Id="rId1732" Type="http://schemas.openxmlformats.org/officeDocument/2006/relationships/hyperlink" Target="javascript:void(0);" TargetMode="External"/><Relationship Id="rId24" Type="http://schemas.openxmlformats.org/officeDocument/2006/relationships/hyperlink" Target="javascript:void(0);" TargetMode="External"/><Relationship Id="rId2299" Type="http://schemas.openxmlformats.org/officeDocument/2006/relationships/drawing" Target="../drawings/drawing1.xml"/><Relationship Id="rId173" Type="http://schemas.openxmlformats.org/officeDocument/2006/relationships/hyperlink" Target="javascript:void(0);" TargetMode="External"/><Relationship Id="rId380" Type="http://schemas.openxmlformats.org/officeDocument/2006/relationships/hyperlink" Target="javascript:void(0);" TargetMode="External"/><Relationship Id="rId2061" Type="http://schemas.openxmlformats.org/officeDocument/2006/relationships/hyperlink" Target="javascript:void(0);" TargetMode="External"/><Relationship Id="rId240" Type="http://schemas.openxmlformats.org/officeDocument/2006/relationships/hyperlink" Target="javascript:void(0);" TargetMode="External"/><Relationship Id="rId478" Type="http://schemas.openxmlformats.org/officeDocument/2006/relationships/hyperlink" Target="javascript:void(0);" TargetMode="External"/><Relationship Id="rId685" Type="http://schemas.openxmlformats.org/officeDocument/2006/relationships/hyperlink" Target="javascript:void(0);" TargetMode="External"/><Relationship Id="rId892" Type="http://schemas.openxmlformats.org/officeDocument/2006/relationships/hyperlink" Target="javascript:void(0);" TargetMode="External"/><Relationship Id="rId2159" Type="http://schemas.openxmlformats.org/officeDocument/2006/relationships/hyperlink" Target="javascript:void(0);" TargetMode="External"/><Relationship Id="rId100" Type="http://schemas.openxmlformats.org/officeDocument/2006/relationships/hyperlink" Target="javascript:void(0);" TargetMode="External"/><Relationship Id="rId338" Type="http://schemas.openxmlformats.org/officeDocument/2006/relationships/hyperlink" Target="javascript:void(0);" TargetMode="External"/><Relationship Id="rId545" Type="http://schemas.openxmlformats.org/officeDocument/2006/relationships/hyperlink" Target="javascript:void(0);" TargetMode="External"/><Relationship Id="rId752" Type="http://schemas.openxmlformats.org/officeDocument/2006/relationships/hyperlink" Target="javascript:void(0);" TargetMode="External"/><Relationship Id="rId1175" Type="http://schemas.openxmlformats.org/officeDocument/2006/relationships/hyperlink" Target="javascript:void(0);" TargetMode="External"/><Relationship Id="rId1382" Type="http://schemas.openxmlformats.org/officeDocument/2006/relationships/hyperlink" Target="javascript:void(0);" TargetMode="External"/><Relationship Id="rId2019" Type="http://schemas.openxmlformats.org/officeDocument/2006/relationships/hyperlink" Target="javascript:void(0);" TargetMode="External"/><Relationship Id="rId2226" Type="http://schemas.openxmlformats.org/officeDocument/2006/relationships/hyperlink" Target="javascript:void(0);" TargetMode="External"/><Relationship Id="rId405" Type="http://schemas.openxmlformats.org/officeDocument/2006/relationships/hyperlink" Target="javascript:void(0);" TargetMode="External"/><Relationship Id="rId612" Type="http://schemas.openxmlformats.org/officeDocument/2006/relationships/hyperlink" Target="javascript:void(0);" TargetMode="External"/><Relationship Id="rId1035" Type="http://schemas.openxmlformats.org/officeDocument/2006/relationships/hyperlink" Target="javascript:void(0);" TargetMode="External"/><Relationship Id="rId1242" Type="http://schemas.openxmlformats.org/officeDocument/2006/relationships/hyperlink" Target="javascript:void(0);" TargetMode="External"/><Relationship Id="rId1687" Type="http://schemas.openxmlformats.org/officeDocument/2006/relationships/hyperlink" Target="javascript:void(0);" TargetMode="External"/><Relationship Id="rId1894" Type="http://schemas.openxmlformats.org/officeDocument/2006/relationships/hyperlink" Target="javascript:void(0);" TargetMode="External"/><Relationship Id="rId917" Type="http://schemas.openxmlformats.org/officeDocument/2006/relationships/hyperlink" Target="javascript:void(0);" TargetMode="External"/><Relationship Id="rId1102" Type="http://schemas.openxmlformats.org/officeDocument/2006/relationships/hyperlink" Target="javascript:void(0);" TargetMode="External"/><Relationship Id="rId1547" Type="http://schemas.openxmlformats.org/officeDocument/2006/relationships/hyperlink" Target="javascript:void(0);" TargetMode="External"/><Relationship Id="rId1754" Type="http://schemas.openxmlformats.org/officeDocument/2006/relationships/hyperlink" Target="javascript:void(0);" TargetMode="External"/><Relationship Id="rId1961" Type="http://schemas.openxmlformats.org/officeDocument/2006/relationships/hyperlink" Target="javascript:void(0);" TargetMode="External"/><Relationship Id="rId46" Type="http://schemas.openxmlformats.org/officeDocument/2006/relationships/hyperlink" Target="javascript:void(0);" TargetMode="External"/><Relationship Id="rId1407" Type="http://schemas.openxmlformats.org/officeDocument/2006/relationships/hyperlink" Target="javascript:void(0);" TargetMode="External"/><Relationship Id="rId1614" Type="http://schemas.openxmlformats.org/officeDocument/2006/relationships/hyperlink" Target="javascript:void(0);" TargetMode="External"/><Relationship Id="rId1821" Type="http://schemas.openxmlformats.org/officeDocument/2006/relationships/hyperlink" Target="javascript:void(0);" TargetMode="External"/><Relationship Id="rId195" Type="http://schemas.openxmlformats.org/officeDocument/2006/relationships/hyperlink" Target="javascript:void(0);" TargetMode="External"/><Relationship Id="rId1919" Type="http://schemas.openxmlformats.org/officeDocument/2006/relationships/hyperlink" Target="javascript:void(0);" TargetMode="External"/><Relationship Id="rId2083" Type="http://schemas.openxmlformats.org/officeDocument/2006/relationships/hyperlink" Target="javascript:void(0);" TargetMode="External"/><Relationship Id="rId2290" Type="http://schemas.openxmlformats.org/officeDocument/2006/relationships/hyperlink" Target="javascript:void(0);" TargetMode="External"/><Relationship Id="rId262" Type="http://schemas.openxmlformats.org/officeDocument/2006/relationships/hyperlink" Target="javascript:void(0);" TargetMode="External"/><Relationship Id="rId567" Type="http://schemas.openxmlformats.org/officeDocument/2006/relationships/hyperlink" Target="javascript:void(0);" TargetMode="External"/><Relationship Id="rId1197" Type="http://schemas.openxmlformats.org/officeDocument/2006/relationships/hyperlink" Target="javascript:void(0);" TargetMode="External"/><Relationship Id="rId2150" Type="http://schemas.openxmlformats.org/officeDocument/2006/relationships/hyperlink" Target="javascript:void(0);" TargetMode="External"/><Relationship Id="rId2248" Type="http://schemas.openxmlformats.org/officeDocument/2006/relationships/hyperlink" Target="javascript:void(0);" TargetMode="External"/><Relationship Id="rId122" Type="http://schemas.openxmlformats.org/officeDocument/2006/relationships/hyperlink" Target="javascript:void(0);" TargetMode="External"/><Relationship Id="rId774" Type="http://schemas.openxmlformats.org/officeDocument/2006/relationships/hyperlink" Target="javascript:void(0);" TargetMode="External"/><Relationship Id="rId981" Type="http://schemas.openxmlformats.org/officeDocument/2006/relationships/hyperlink" Target="javascript:void(0);" TargetMode="External"/><Relationship Id="rId1057" Type="http://schemas.openxmlformats.org/officeDocument/2006/relationships/hyperlink" Target="javascript:void(0);" TargetMode="External"/><Relationship Id="rId2010" Type="http://schemas.openxmlformats.org/officeDocument/2006/relationships/hyperlink" Target="javascript:void(0);" TargetMode="External"/><Relationship Id="rId427" Type="http://schemas.openxmlformats.org/officeDocument/2006/relationships/hyperlink" Target="javascript:void(0);" TargetMode="External"/><Relationship Id="rId634" Type="http://schemas.openxmlformats.org/officeDocument/2006/relationships/hyperlink" Target="javascript:void(0);" TargetMode="External"/><Relationship Id="rId841" Type="http://schemas.openxmlformats.org/officeDocument/2006/relationships/hyperlink" Target="javascript:void(0);" TargetMode="External"/><Relationship Id="rId1264" Type="http://schemas.openxmlformats.org/officeDocument/2006/relationships/hyperlink" Target="javascript:void(0);" TargetMode="External"/><Relationship Id="rId1471" Type="http://schemas.openxmlformats.org/officeDocument/2006/relationships/hyperlink" Target="javascript:void(0);" TargetMode="External"/><Relationship Id="rId1569" Type="http://schemas.openxmlformats.org/officeDocument/2006/relationships/hyperlink" Target="javascript:void(0);" TargetMode="External"/><Relationship Id="rId2108" Type="http://schemas.openxmlformats.org/officeDocument/2006/relationships/hyperlink" Target="javascript:void(0);" TargetMode="External"/><Relationship Id="rId701" Type="http://schemas.openxmlformats.org/officeDocument/2006/relationships/hyperlink" Target="javascript:void(0);" TargetMode="External"/><Relationship Id="rId939" Type="http://schemas.openxmlformats.org/officeDocument/2006/relationships/hyperlink" Target="javascript:void(0);" TargetMode="External"/><Relationship Id="rId1124" Type="http://schemas.openxmlformats.org/officeDocument/2006/relationships/hyperlink" Target="javascript:void(0);" TargetMode="External"/><Relationship Id="rId1331" Type="http://schemas.openxmlformats.org/officeDocument/2006/relationships/hyperlink" Target="javascript:void(0);" TargetMode="External"/><Relationship Id="rId1776" Type="http://schemas.openxmlformats.org/officeDocument/2006/relationships/hyperlink" Target="javascript:void(0);" TargetMode="External"/><Relationship Id="rId1983" Type="http://schemas.openxmlformats.org/officeDocument/2006/relationships/hyperlink" Target="javascript:void(0);" TargetMode="External"/><Relationship Id="rId68" Type="http://schemas.openxmlformats.org/officeDocument/2006/relationships/hyperlink" Target="javascript:void(0);" TargetMode="External"/><Relationship Id="rId1429" Type="http://schemas.openxmlformats.org/officeDocument/2006/relationships/hyperlink" Target="javascript:void(0);" TargetMode="External"/><Relationship Id="rId1636" Type="http://schemas.openxmlformats.org/officeDocument/2006/relationships/hyperlink" Target="javascript:void(0);" TargetMode="External"/><Relationship Id="rId1843" Type="http://schemas.openxmlformats.org/officeDocument/2006/relationships/hyperlink" Target="javascript:void(0);" TargetMode="External"/><Relationship Id="rId1703" Type="http://schemas.openxmlformats.org/officeDocument/2006/relationships/hyperlink" Target="javascript:void(0);" TargetMode="External"/><Relationship Id="rId1910" Type="http://schemas.openxmlformats.org/officeDocument/2006/relationships/hyperlink" Target="javascript:void(0);" TargetMode="External"/><Relationship Id="rId284" Type="http://schemas.openxmlformats.org/officeDocument/2006/relationships/hyperlink" Target="javascript:void(0);" TargetMode="External"/><Relationship Id="rId491" Type="http://schemas.openxmlformats.org/officeDocument/2006/relationships/hyperlink" Target="javascript:void(0);" TargetMode="External"/><Relationship Id="rId2172" Type="http://schemas.openxmlformats.org/officeDocument/2006/relationships/hyperlink" Target="javascript:void(0);" TargetMode="External"/><Relationship Id="rId144" Type="http://schemas.openxmlformats.org/officeDocument/2006/relationships/hyperlink" Target="javascript:void(0);" TargetMode="External"/><Relationship Id="rId589" Type="http://schemas.openxmlformats.org/officeDocument/2006/relationships/hyperlink" Target="javascript:void(0);" TargetMode="External"/><Relationship Id="rId796" Type="http://schemas.openxmlformats.org/officeDocument/2006/relationships/hyperlink" Target="javascript:void(0);" TargetMode="External"/><Relationship Id="rId351" Type="http://schemas.openxmlformats.org/officeDocument/2006/relationships/hyperlink" Target="javascript:void(0);" TargetMode="External"/><Relationship Id="rId449" Type="http://schemas.openxmlformats.org/officeDocument/2006/relationships/hyperlink" Target="javascript:void(0);" TargetMode="External"/><Relationship Id="rId656" Type="http://schemas.openxmlformats.org/officeDocument/2006/relationships/hyperlink" Target="javascript:void(0);" TargetMode="External"/><Relationship Id="rId863" Type="http://schemas.openxmlformats.org/officeDocument/2006/relationships/hyperlink" Target="javascript:void(0);" TargetMode="External"/><Relationship Id="rId1079" Type="http://schemas.openxmlformats.org/officeDocument/2006/relationships/hyperlink" Target="javascript:void(0);" TargetMode="External"/><Relationship Id="rId1286" Type="http://schemas.openxmlformats.org/officeDocument/2006/relationships/hyperlink" Target="javascript:void(0);" TargetMode="External"/><Relationship Id="rId1493" Type="http://schemas.openxmlformats.org/officeDocument/2006/relationships/hyperlink" Target="javascript:void(0);" TargetMode="External"/><Relationship Id="rId2032" Type="http://schemas.openxmlformats.org/officeDocument/2006/relationships/hyperlink" Target="javascript:void(0);" TargetMode="External"/><Relationship Id="rId211" Type="http://schemas.openxmlformats.org/officeDocument/2006/relationships/hyperlink" Target="javascript:void(0);" TargetMode="External"/><Relationship Id="rId309" Type="http://schemas.openxmlformats.org/officeDocument/2006/relationships/hyperlink" Target="javascript:void(0);" TargetMode="External"/><Relationship Id="rId516" Type="http://schemas.openxmlformats.org/officeDocument/2006/relationships/hyperlink" Target="javascript:void(0);" TargetMode="External"/><Relationship Id="rId1146" Type="http://schemas.openxmlformats.org/officeDocument/2006/relationships/hyperlink" Target="javascript:void(0);" TargetMode="External"/><Relationship Id="rId1798" Type="http://schemas.openxmlformats.org/officeDocument/2006/relationships/hyperlink" Target="javascript:void(0);" TargetMode="External"/><Relationship Id="rId723" Type="http://schemas.openxmlformats.org/officeDocument/2006/relationships/hyperlink" Target="javascript:void(0);" TargetMode="External"/><Relationship Id="rId930" Type="http://schemas.openxmlformats.org/officeDocument/2006/relationships/hyperlink" Target="javascript:void(0);" TargetMode="External"/><Relationship Id="rId1006" Type="http://schemas.openxmlformats.org/officeDocument/2006/relationships/hyperlink" Target="javascript:void(0);" TargetMode="External"/><Relationship Id="rId1353" Type="http://schemas.openxmlformats.org/officeDocument/2006/relationships/hyperlink" Target="javascript:void(0);" TargetMode="External"/><Relationship Id="rId1560" Type="http://schemas.openxmlformats.org/officeDocument/2006/relationships/hyperlink" Target="javascript:void(0);" TargetMode="External"/><Relationship Id="rId1658" Type="http://schemas.openxmlformats.org/officeDocument/2006/relationships/hyperlink" Target="javascript:void(0);" TargetMode="External"/><Relationship Id="rId1865" Type="http://schemas.openxmlformats.org/officeDocument/2006/relationships/hyperlink" Target="javascript:void(0);" TargetMode="External"/><Relationship Id="rId1213" Type="http://schemas.openxmlformats.org/officeDocument/2006/relationships/hyperlink" Target="javascript:void(0);" TargetMode="External"/><Relationship Id="rId1420" Type="http://schemas.openxmlformats.org/officeDocument/2006/relationships/hyperlink" Target="javascript:void(0);" TargetMode="External"/><Relationship Id="rId1518" Type="http://schemas.openxmlformats.org/officeDocument/2006/relationships/hyperlink" Target="javascript:void(0);" TargetMode="External"/><Relationship Id="rId1725" Type="http://schemas.openxmlformats.org/officeDocument/2006/relationships/hyperlink" Target="javascript:void(0);" TargetMode="External"/><Relationship Id="rId1932" Type="http://schemas.openxmlformats.org/officeDocument/2006/relationships/hyperlink" Target="javascript:void(0);" TargetMode="External"/><Relationship Id="rId17" Type="http://schemas.openxmlformats.org/officeDocument/2006/relationships/hyperlink" Target="javascript:void(0);" TargetMode="External"/><Relationship Id="rId2194" Type="http://schemas.openxmlformats.org/officeDocument/2006/relationships/hyperlink" Target="javascript:void(0);" TargetMode="External"/><Relationship Id="rId166" Type="http://schemas.openxmlformats.org/officeDocument/2006/relationships/hyperlink" Target="javascript:void(0);" TargetMode="External"/><Relationship Id="rId373" Type="http://schemas.openxmlformats.org/officeDocument/2006/relationships/hyperlink" Target="javascript:void(0);" TargetMode="External"/><Relationship Id="rId580" Type="http://schemas.openxmlformats.org/officeDocument/2006/relationships/hyperlink" Target="javascript:void(0);" TargetMode="External"/><Relationship Id="rId2054" Type="http://schemas.openxmlformats.org/officeDocument/2006/relationships/hyperlink" Target="javascript:void(0);" TargetMode="External"/><Relationship Id="rId2261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233" Type="http://schemas.openxmlformats.org/officeDocument/2006/relationships/hyperlink" Target="javascript:void(0);" TargetMode="External"/><Relationship Id="rId440" Type="http://schemas.openxmlformats.org/officeDocument/2006/relationships/hyperlink" Target="javascript:void(0);" TargetMode="External"/><Relationship Id="rId678" Type="http://schemas.openxmlformats.org/officeDocument/2006/relationships/hyperlink" Target="javascript:void(0);" TargetMode="External"/><Relationship Id="rId885" Type="http://schemas.openxmlformats.org/officeDocument/2006/relationships/hyperlink" Target="javascript:void(0);" TargetMode="External"/><Relationship Id="rId1070" Type="http://schemas.openxmlformats.org/officeDocument/2006/relationships/hyperlink" Target="javascript:void(0);" TargetMode="External"/><Relationship Id="rId2121" Type="http://schemas.openxmlformats.org/officeDocument/2006/relationships/hyperlink" Target="javascript:void(0);" TargetMode="External"/><Relationship Id="rId300" Type="http://schemas.openxmlformats.org/officeDocument/2006/relationships/hyperlink" Target="javascript:void(0);" TargetMode="External"/><Relationship Id="rId538" Type="http://schemas.openxmlformats.org/officeDocument/2006/relationships/hyperlink" Target="javascript:void(0);" TargetMode="External"/><Relationship Id="rId745" Type="http://schemas.openxmlformats.org/officeDocument/2006/relationships/hyperlink" Target="javascript:void(0);" TargetMode="External"/><Relationship Id="rId952" Type="http://schemas.openxmlformats.org/officeDocument/2006/relationships/hyperlink" Target="javascript:void(0);" TargetMode="External"/><Relationship Id="rId1168" Type="http://schemas.openxmlformats.org/officeDocument/2006/relationships/hyperlink" Target="javascript:void(0);" TargetMode="External"/><Relationship Id="rId1375" Type="http://schemas.openxmlformats.org/officeDocument/2006/relationships/hyperlink" Target="javascript:void(0);" TargetMode="External"/><Relationship Id="rId1582" Type="http://schemas.openxmlformats.org/officeDocument/2006/relationships/hyperlink" Target="javascript:void(0);" TargetMode="External"/><Relationship Id="rId2219" Type="http://schemas.openxmlformats.org/officeDocument/2006/relationships/hyperlink" Target="javascript:void(0);" TargetMode="External"/><Relationship Id="rId81" Type="http://schemas.openxmlformats.org/officeDocument/2006/relationships/hyperlink" Target="javascript:void(0);" TargetMode="External"/><Relationship Id="rId605" Type="http://schemas.openxmlformats.org/officeDocument/2006/relationships/hyperlink" Target="javascript:void(0);" TargetMode="External"/><Relationship Id="rId812" Type="http://schemas.openxmlformats.org/officeDocument/2006/relationships/hyperlink" Target="javascript:void(0);" TargetMode="External"/><Relationship Id="rId1028" Type="http://schemas.openxmlformats.org/officeDocument/2006/relationships/hyperlink" Target="javascript:void(0);" TargetMode="External"/><Relationship Id="rId1235" Type="http://schemas.openxmlformats.org/officeDocument/2006/relationships/hyperlink" Target="javascript:void(0);" TargetMode="External"/><Relationship Id="rId1442" Type="http://schemas.openxmlformats.org/officeDocument/2006/relationships/hyperlink" Target="javascript:void(0);" TargetMode="External"/><Relationship Id="rId1887" Type="http://schemas.openxmlformats.org/officeDocument/2006/relationships/hyperlink" Target="javascript:void(0);" TargetMode="External"/><Relationship Id="rId1302" Type="http://schemas.openxmlformats.org/officeDocument/2006/relationships/hyperlink" Target="javascript:void(0);" TargetMode="External"/><Relationship Id="rId1747" Type="http://schemas.openxmlformats.org/officeDocument/2006/relationships/hyperlink" Target="javascript:void(0);" TargetMode="External"/><Relationship Id="rId1954" Type="http://schemas.openxmlformats.org/officeDocument/2006/relationships/hyperlink" Target="javascript:void(0);" TargetMode="External"/><Relationship Id="rId39" Type="http://schemas.openxmlformats.org/officeDocument/2006/relationships/hyperlink" Target="javascript:void(0);" TargetMode="External"/><Relationship Id="rId1607" Type="http://schemas.openxmlformats.org/officeDocument/2006/relationships/hyperlink" Target="javascript:void(0);" TargetMode="External"/><Relationship Id="rId1814" Type="http://schemas.openxmlformats.org/officeDocument/2006/relationships/hyperlink" Target="javascript:void(0);" TargetMode="External"/><Relationship Id="rId188" Type="http://schemas.openxmlformats.org/officeDocument/2006/relationships/hyperlink" Target="javascript:void(0);" TargetMode="External"/><Relationship Id="rId395" Type="http://schemas.openxmlformats.org/officeDocument/2006/relationships/hyperlink" Target="javascript:void(0);" TargetMode="External"/><Relationship Id="rId2076" Type="http://schemas.openxmlformats.org/officeDocument/2006/relationships/hyperlink" Target="javascript:void(0);" TargetMode="External"/><Relationship Id="rId2283" Type="http://schemas.openxmlformats.org/officeDocument/2006/relationships/hyperlink" Target="javascript:void(0);" TargetMode="External"/><Relationship Id="rId255" Type="http://schemas.openxmlformats.org/officeDocument/2006/relationships/hyperlink" Target="javascript:void(0);" TargetMode="External"/><Relationship Id="rId462" Type="http://schemas.openxmlformats.org/officeDocument/2006/relationships/hyperlink" Target="javascript:void(0);" TargetMode="External"/><Relationship Id="rId1092" Type="http://schemas.openxmlformats.org/officeDocument/2006/relationships/hyperlink" Target="javascript:void(0);" TargetMode="External"/><Relationship Id="rId1397" Type="http://schemas.openxmlformats.org/officeDocument/2006/relationships/hyperlink" Target="javascript:void(0);" TargetMode="External"/><Relationship Id="rId2143" Type="http://schemas.openxmlformats.org/officeDocument/2006/relationships/hyperlink" Target="javascript:void(0);" TargetMode="External"/><Relationship Id="rId115" Type="http://schemas.openxmlformats.org/officeDocument/2006/relationships/hyperlink" Target="javascript:void(0);" TargetMode="External"/><Relationship Id="rId322" Type="http://schemas.openxmlformats.org/officeDocument/2006/relationships/hyperlink" Target="javascript:void(0);" TargetMode="External"/><Relationship Id="rId767" Type="http://schemas.openxmlformats.org/officeDocument/2006/relationships/hyperlink" Target="javascript:void(0);" TargetMode="External"/><Relationship Id="rId974" Type="http://schemas.openxmlformats.org/officeDocument/2006/relationships/hyperlink" Target="javascript:void(0);" TargetMode="External"/><Relationship Id="rId2003" Type="http://schemas.openxmlformats.org/officeDocument/2006/relationships/hyperlink" Target="javascript:void(0);" TargetMode="External"/><Relationship Id="rId2210" Type="http://schemas.openxmlformats.org/officeDocument/2006/relationships/hyperlink" Target="javascript:void(0);" TargetMode="External"/><Relationship Id="rId627" Type="http://schemas.openxmlformats.org/officeDocument/2006/relationships/hyperlink" Target="javascript:void(0);" TargetMode="External"/><Relationship Id="rId834" Type="http://schemas.openxmlformats.org/officeDocument/2006/relationships/hyperlink" Target="javascript:void(0);" TargetMode="External"/><Relationship Id="rId1257" Type="http://schemas.openxmlformats.org/officeDocument/2006/relationships/hyperlink" Target="javascript:void(0);" TargetMode="External"/><Relationship Id="rId1464" Type="http://schemas.openxmlformats.org/officeDocument/2006/relationships/hyperlink" Target="javascript:void(0);" TargetMode="External"/><Relationship Id="rId1671" Type="http://schemas.openxmlformats.org/officeDocument/2006/relationships/hyperlink" Target="javascript:void(0);" TargetMode="External"/><Relationship Id="rId901" Type="http://schemas.openxmlformats.org/officeDocument/2006/relationships/hyperlink" Target="javascript:void(0);" TargetMode="External"/><Relationship Id="rId1117" Type="http://schemas.openxmlformats.org/officeDocument/2006/relationships/hyperlink" Target="javascript:void(0);" TargetMode="External"/><Relationship Id="rId1324" Type="http://schemas.openxmlformats.org/officeDocument/2006/relationships/hyperlink" Target="javascript:void(0);" TargetMode="External"/><Relationship Id="rId1531" Type="http://schemas.openxmlformats.org/officeDocument/2006/relationships/hyperlink" Target="javascript:void(0);" TargetMode="External"/><Relationship Id="rId1769" Type="http://schemas.openxmlformats.org/officeDocument/2006/relationships/hyperlink" Target="javascript:void(0);" TargetMode="External"/><Relationship Id="rId1976" Type="http://schemas.openxmlformats.org/officeDocument/2006/relationships/hyperlink" Target="javascript:void(0);" TargetMode="External"/><Relationship Id="rId30" Type="http://schemas.openxmlformats.org/officeDocument/2006/relationships/hyperlink" Target="javascript:void(0);" TargetMode="External"/><Relationship Id="rId1629" Type="http://schemas.openxmlformats.org/officeDocument/2006/relationships/hyperlink" Target="javascript:void(0);" TargetMode="External"/><Relationship Id="rId1836" Type="http://schemas.openxmlformats.org/officeDocument/2006/relationships/hyperlink" Target="javascript:void(0);" TargetMode="External"/><Relationship Id="rId1903" Type="http://schemas.openxmlformats.org/officeDocument/2006/relationships/hyperlink" Target="javascript:void(0);" TargetMode="External"/><Relationship Id="rId2098" Type="http://schemas.openxmlformats.org/officeDocument/2006/relationships/hyperlink" Target="javascript:void(0);" TargetMode="External"/><Relationship Id="rId277" Type="http://schemas.openxmlformats.org/officeDocument/2006/relationships/hyperlink" Target="javascript:void(0);" TargetMode="External"/><Relationship Id="rId484" Type="http://schemas.openxmlformats.org/officeDocument/2006/relationships/hyperlink" Target="javascript:void(0);" TargetMode="External"/><Relationship Id="rId2165" Type="http://schemas.openxmlformats.org/officeDocument/2006/relationships/hyperlink" Target="javascript:void(0);" TargetMode="External"/><Relationship Id="rId137" Type="http://schemas.openxmlformats.org/officeDocument/2006/relationships/hyperlink" Target="javascript:void(0);" TargetMode="External"/><Relationship Id="rId344" Type="http://schemas.openxmlformats.org/officeDocument/2006/relationships/hyperlink" Target="javascript:void(0);" TargetMode="External"/><Relationship Id="rId691" Type="http://schemas.openxmlformats.org/officeDocument/2006/relationships/hyperlink" Target="javascript:void(0);" TargetMode="External"/><Relationship Id="rId789" Type="http://schemas.openxmlformats.org/officeDocument/2006/relationships/hyperlink" Target="javascript:void(0);" TargetMode="External"/><Relationship Id="rId996" Type="http://schemas.openxmlformats.org/officeDocument/2006/relationships/hyperlink" Target="javascript:void(0);" TargetMode="External"/><Relationship Id="rId2025" Type="http://schemas.openxmlformats.org/officeDocument/2006/relationships/hyperlink" Target="javascript:void(0);" TargetMode="External"/><Relationship Id="rId551" Type="http://schemas.openxmlformats.org/officeDocument/2006/relationships/hyperlink" Target="javascript:void(0);" TargetMode="External"/><Relationship Id="rId649" Type="http://schemas.openxmlformats.org/officeDocument/2006/relationships/hyperlink" Target="javascript:void(0);" TargetMode="External"/><Relationship Id="rId856" Type="http://schemas.openxmlformats.org/officeDocument/2006/relationships/hyperlink" Target="javascript:void(0);" TargetMode="External"/><Relationship Id="rId1181" Type="http://schemas.openxmlformats.org/officeDocument/2006/relationships/hyperlink" Target="javascript:void(0);" TargetMode="External"/><Relationship Id="rId1279" Type="http://schemas.openxmlformats.org/officeDocument/2006/relationships/hyperlink" Target="javascript:void(0);" TargetMode="External"/><Relationship Id="rId1486" Type="http://schemas.openxmlformats.org/officeDocument/2006/relationships/hyperlink" Target="javascript:void(0);" TargetMode="External"/><Relationship Id="rId2232" Type="http://schemas.openxmlformats.org/officeDocument/2006/relationships/hyperlink" Target="javascript:void(0);" TargetMode="External"/><Relationship Id="rId204" Type="http://schemas.openxmlformats.org/officeDocument/2006/relationships/hyperlink" Target="javascript:void(0);" TargetMode="External"/><Relationship Id="rId411" Type="http://schemas.openxmlformats.org/officeDocument/2006/relationships/hyperlink" Target="javascript:void(0);" TargetMode="External"/><Relationship Id="rId509" Type="http://schemas.openxmlformats.org/officeDocument/2006/relationships/hyperlink" Target="javascript:void(0);" TargetMode="External"/><Relationship Id="rId1041" Type="http://schemas.openxmlformats.org/officeDocument/2006/relationships/hyperlink" Target="javascript:void(0);" TargetMode="External"/><Relationship Id="rId1139" Type="http://schemas.openxmlformats.org/officeDocument/2006/relationships/hyperlink" Target="javascript:void(0);" TargetMode="External"/><Relationship Id="rId1346" Type="http://schemas.openxmlformats.org/officeDocument/2006/relationships/hyperlink" Target="javascript:void(0);" TargetMode="External"/><Relationship Id="rId1693" Type="http://schemas.openxmlformats.org/officeDocument/2006/relationships/hyperlink" Target="javascript:void(0);" TargetMode="External"/><Relationship Id="rId1998" Type="http://schemas.openxmlformats.org/officeDocument/2006/relationships/hyperlink" Target="javascript:void(0);" TargetMode="External"/><Relationship Id="rId716" Type="http://schemas.openxmlformats.org/officeDocument/2006/relationships/hyperlink" Target="javascript:void(0);" TargetMode="External"/><Relationship Id="rId923" Type="http://schemas.openxmlformats.org/officeDocument/2006/relationships/hyperlink" Target="javascript:void(0);" TargetMode="External"/><Relationship Id="rId1553" Type="http://schemas.openxmlformats.org/officeDocument/2006/relationships/hyperlink" Target="javascript:void(0);" TargetMode="External"/><Relationship Id="rId1760" Type="http://schemas.openxmlformats.org/officeDocument/2006/relationships/hyperlink" Target="javascript:void(0);" TargetMode="External"/><Relationship Id="rId1858" Type="http://schemas.openxmlformats.org/officeDocument/2006/relationships/hyperlink" Target="javascript:void(0);" TargetMode="External"/><Relationship Id="rId52" Type="http://schemas.openxmlformats.org/officeDocument/2006/relationships/hyperlink" Target="javascript:void(0);" TargetMode="External"/><Relationship Id="rId1206" Type="http://schemas.openxmlformats.org/officeDocument/2006/relationships/hyperlink" Target="javascript:void(0);" TargetMode="External"/><Relationship Id="rId1413" Type="http://schemas.openxmlformats.org/officeDocument/2006/relationships/hyperlink" Target="javascript:void(0);" TargetMode="External"/><Relationship Id="rId1620" Type="http://schemas.openxmlformats.org/officeDocument/2006/relationships/hyperlink" Target="javascript:void(0);" TargetMode="External"/><Relationship Id="rId1718" Type="http://schemas.openxmlformats.org/officeDocument/2006/relationships/hyperlink" Target="javascript:void(0);" TargetMode="External"/><Relationship Id="rId1925" Type="http://schemas.openxmlformats.org/officeDocument/2006/relationships/hyperlink" Target="javascript:void(0);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hl.com/ice/player.htm?id=8470638" TargetMode="External"/><Relationship Id="rId299" Type="http://schemas.openxmlformats.org/officeDocument/2006/relationships/hyperlink" Target="javascript:void(0);" TargetMode="External"/><Relationship Id="rId303" Type="http://schemas.openxmlformats.org/officeDocument/2006/relationships/hyperlink" Target="javascript:void(0);" TargetMode="External"/><Relationship Id="rId21" Type="http://schemas.openxmlformats.org/officeDocument/2006/relationships/hyperlink" Target="http://www.nhl.com/ice/player.htm?id=8473994" TargetMode="External"/><Relationship Id="rId42" Type="http://schemas.openxmlformats.org/officeDocument/2006/relationships/hyperlink" Target="javascript:void(0);" TargetMode="External"/><Relationship Id="rId63" Type="http://schemas.openxmlformats.org/officeDocument/2006/relationships/hyperlink" Target="http://www.nhl.com/ice/player.htm?id=8476887" TargetMode="External"/><Relationship Id="rId84" Type="http://schemas.openxmlformats.org/officeDocument/2006/relationships/hyperlink" Target="javascript:void(0);" TargetMode="External"/><Relationship Id="rId138" Type="http://schemas.openxmlformats.org/officeDocument/2006/relationships/hyperlink" Target="javascript:void(0);" TargetMode="External"/><Relationship Id="rId159" Type="http://schemas.openxmlformats.org/officeDocument/2006/relationships/hyperlink" Target="http://www.nhl.com/ice/player.htm?id=8467338" TargetMode="External"/><Relationship Id="rId324" Type="http://schemas.openxmlformats.org/officeDocument/2006/relationships/hyperlink" Target="http://www.nhl.com/ice/player.htm?id=8467389" TargetMode="External"/><Relationship Id="rId345" Type="http://schemas.openxmlformats.org/officeDocument/2006/relationships/hyperlink" Target="javascript:void(0);" TargetMode="External"/><Relationship Id="rId170" Type="http://schemas.openxmlformats.org/officeDocument/2006/relationships/hyperlink" Target="javascript:void(0);" TargetMode="External"/><Relationship Id="rId191" Type="http://schemas.openxmlformats.org/officeDocument/2006/relationships/hyperlink" Target="javascript:void(0);" TargetMode="External"/><Relationship Id="rId205" Type="http://schemas.openxmlformats.org/officeDocument/2006/relationships/hyperlink" Target="javascript:void(0);" TargetMode="External"/><Relationship Id="rId226" Type="http://schemas.openxmlformats.org/officeDocument/2006/relationships/hyperlink" Target="http://www.nhl.com/ice/player.htm?id=8473419" TargetMode="External"/><Relationship Id="rId247" Type="http://schemas.openxmlformats.org/officeDocument/2006/relationships/hyperlink" Target="javascript:void(0);" TargetMode="External"/><Relationship Id="rId107" Type="http://schemas.openxmlformats.org/officeDocument/2006/relationships/hyperlink" Target="http://www.nhl.com/ice/player.htm?id=8466139" TargetMode="External"/><Relationship Id="rId268" Type="http://schemas.openxmlformats.org/officeDocument/2006/relationships/hyperlink" Target="http://www.nhl.com/ice/player.htm?id=8475906" TargetMode="External"/><Relationship Id="rId289" Type="http://schemas.openxmlformats.org/officeDocument/2006/relationships/hyperlink" Target="javascript:void(0);" TargetMode="External"/><Relationship Id="rId11" Type="http://schemas.openxmlformats.org/officeDocument/2006/relationships/hyperlink" Target="http://www.nhl.com/ice/player.htm?id=8474161" TargetMode="External"/><Relationship Id="rId32" Type="http://schemas.openxmlformats.org/officeDocument/2006/relationships/hyperlink" Target="javascript:void(0);" TargetMode="External"/><Relationship Id="rId53" Type="http://schemas.openxmlformats.org/officeDocument/2006/relationships/hyperlink" Target="http://www.nhl.com/ice/player.htm?id=8471217" TargetMode="External"/><Relationship Id="rId74" Type="http://schemas.openxmlformats.org/officeDocument/2006/relationships/hyperlink" Target="javascript:void(0);" TargetMode="External"/><Relationship Id="rId128" Type="http://schemas.openxmlformats.org/officeDocument/2006/relationships/hyperlink" Target="javascript:void(0);" TargetMode="External"/><Relationship Id="rId149" Type="http://schemas.openxmlformats.org/officeDocument/2006/relationships/hyperlink" Target="http://www.nhl.com/ice/player.htm?id=8475753" TargetMode="External"/><Relationship Id="rId314" Type="http://schemas.openxmlformats.org/officeDocument/2006/relationships/hyperlink" Target="http://www.nhl.com/ice/player.htm?id=8474040" TargetMode="External"/><Relationship Id="rId335" Type="http://schemas.openxmlformats.org/officeDocument/2006/relationships/hyperlink" Target="javascript:void(0);" TargetMode="External"/><Relationship Id="rId5" Type="http://schemas.openxmlformats.org/officeDocument/2006/relationships/hyperlink" Target="http://www.nhl.com/ice/player.htm?id=8473563" TargetMode="External"/><Relationship Id="rId95" Type="http://schemas.openxmlformats.org/officeDocument/2006/relationships/hyperlink" Target="http://www.nhl.com/ice/player.htm?id=8468085" TargetMode="External"/><Relationship Id="rId160" Type="http://schemas.openxmlformats.org/officeDocument/2006/relationships/hyperlink" Target="javascript:void(0);" TargetMode="External"/><Relationship Id="rId181" Type="http://schemas.openxmlformats.org/officeDocument/2006/relationships/hyperlink" Target="http://www.nhl.com/ice/player.htm?id=8470616" TargetMode="External"/><Relationship Id="rId216" Type="http://schemas.openxmlformats.org/officeDocument/2006/relationships/hyperlink" Target="http://www.nhl.com/ice/player.htm?id=8470144" TargetMode="External"/><Relationship Id="rId237" Type="http://schemas.openxmlformats.org/officeDocument/2006/relationships/hyperlink" Target="javascript:void(0);" TargetMode="External"/><Relationship Id="rId258" Type="http://schemas.openxmlformats.org/officeDocument/2006/relationships/hyperlink" Target="http://www.nhl.com/ice/player.htm?id=8475172" TargetMode="External"/><Relationship Id="rId279" Type="http://schemas.openxmlformats.org/officeDocument/2006/relationships/hyperlink" Target="javascript:void(0);" TargetMode="External"/><Relationship Id="rId22" Type="http://schemas.openxmlformats.org/officeDocument/2006/relationships/hyperlink" Target="javascript:void(0);" TargetMode="External"/><Relationship Id="rId43" Type="http://schemas.openxmlformats.org/officeDocument/2006/relationships/hyperlink" Target="http://www.nhl.com/ice/player.htm?id=8466138" TargetMode="External"/><Relationship Id="rId64" Type="http://schemas.openxmlformats.org/officeDocument/2006/relationships/hyperlink" Target="javascript:void(0);" TargetMode="External"/><Relationship Id="rId118" Type="http://schemas.openxmlformats.org/officeDocument/2006/relationships/hyperlink" Target="javascript:void(0);" TargetMode="External"/><Relationship Id="rId139" Type="http://schemas.openxmlformats.org/officeDocument/2006/relationships/hyperlink" Target="http://www.nhl.com/ice/player.htm?id=8474068" TargetMode="External"/><Relationship Id="rId290" Type="http://schemas.openxmlformats.org/officeDocument/2006/relationships/hyperlink" Target="http://www.nhl.com/ice/player.htm?id=8471426" TargetMode="External"/><Relationship Id="rId304" Type="http://schemas.openxmlformats.org/officeDocument/2006/relationships/hyperlink" Target="http://www.nhl.com/ice/player.htm?id=8475171" TargetMode="External"/><Relationship Id="rId325" Type="http://schemas.openxmlformats.org/officeDocument/2006/relationships/hyperlink" Target="javascript:void(0);" TargetMode="External"/><Relationship Id="rId346" Type="http://schemas.openxmlformats.org/officeDocument/2006/relationships/hyperlink" Target="http://www.nhl.com/ice/player.htm?id=8462038" TargetMode="External"/><Relationship Id="rId85" Type="http://schemas.openxmlformats.org/officeDocument/2006/relationships/hyperlink" Target="http://www.nhl.com/ice/player.htm?id=8474578" TargetMode="External"/><Relationship Id="rId150" Type="http://schemas.openxmlformats.org/officeDocument/2006/relationships/hyperlink" Target="javascript:void(0);" TargetMode="External"/><Relationship Id="rId171" Type="http://schemas.openxmlformats.org/officeDocument/2006/relationships/hyperlink" Target="http://www.nhl.com/ice/player.htm?id=8474884" TargetMode="External"/><Relationship Id="rId192" Type="http://schemas.openxmlformats.org/officeDocument/2006/relationships/hyperlink" Target="http://www.nhl.com/ice/player.htm?id=8475848" TargetMode="External"/><Relationship Id="rId206" Type="http://schemas.openxmlformats.org/officeDocument/2006/relationships/hyperlink" Target="http://www.nhl.com/ice/player.htm?id=8474031" TargetMode="External"/><Relationship Id="rId227" Type="http://schemas.openxmlformats.org/officeDocument/2006/relationships/hyperlink" Target="javascript:void(0);" TargetMode="External"/><Relationship Id="rId248" Type="http://schemas.openxmlformats.org/officeDocument/2006/relationships/hyperlink" Target="http://www.nhl.com/ice/player.htm?id=8474102" TargetMode="External"/><Relationship Id="rId269" Type="http://schemas.openxmlformats.org/officeDocument/2006/relationships/hyperlink" Target="javascript:void(0);" TargetMode="External"/><Relationship Id="rId12" Type="http://schemas.openxmlformats.org/officeDocument/2006/relationships/hyperlink" Target="javascript:void(0);" TargetMode="External"/><Relationship Id="rId33" Type="http://schemas.openxmlformats.org/officeDocument/2006/relationships/hyperlink" Target="http://www.nhl.com/ice/player.htm?id=8467876" TargetMode="External"/><Relationship Id="rId108" Type="http://schemas.openxmlformats.org/officeDocument/2006/relationships/hyperlink" Target="javascript:void(0);" TargetMode="External"/><Relationship Id="rId129" Type="http://schemas.openxmlformats.org/officeDocument/2006/relationships/hyperlink" Target="http://www.nhl.com/ice/player.htm?id=8462042" TargetMode="External"/><Relationship Id="rId280" Type="http://schemas.openxmlformats.org/officeDocument/2006/relationships/hyperlink" Target="http://www.nhl.com/ice/player.htm?id=8474641" TargetMode="External"/><Relationship Id="rId315" Type="http://schemas.openxmlformats.org/officeDocument/2006/relationships/hyperlink" Target="javascript:void(0);" TargetMode="External"/><Relationship Id="rId336" Type="http://schemas.openxmlformats.org/officeDocument/2006/relationships/hyperlink" Target="http://www.nhl.com/ice/player.htm?id=8475164" TargetMode="External"/><Relationship Id="rId54" Type="http://schemas.openxmlformats.org/officeDocument/2006/relationships/hyperlink" Target="javascript:void(0);" TargetMode="External"/><Relationship Id="rId75" Type="http://schemas.openxmlformats.org/officeDocument/2006/relationships/hyperlink" Target="http://www.nhl.com/ice/player.htm?id=8473412" TargetMode="External"/><Relationship Id="rId96" Type="http://schemas.openxmlformats.org/officeDocument/2006/relationships/hyperlink" Target="javascript:void(0);" TargetMode="External"/><Relationship Id="rId140" Type="http://schemas.openxmlformats.org/officeDocument/2006/relationships/hyperlink" Target="javascript:void(0);" TargetMode="External"/><Relationship Id="rId161" Type="http://schemas.openxmlformats.org/officeDocument/2006/relationships/hyperlink" Target="http://www.nhl.com/ice/player.htm?id=8475913" TargetMode="External"/><Relationship Id="rId182" Type="http://schemas.openxmlformats.org/officeDocument/2006/relationships/hyperlink" Target="javascript:void(0);" TargetMode="External"/><Relationship Id="rId217" Type="http://schemas.openxmlformats.org/officeDocument/2006/relationships/hyperlink" Target="javascript:void(0);" TargetMode="External"/><Relationship Id="rId6" Type="http://schemas.openxmlformats.org/officeDocument/2006/relationships/hyperlink" Target="javascript:void(0);" TargetMode="External"/><Relationship Id="rId238" Type="http://schemas.openxmlformats.org/officeDocument/2006/relationships/hyperlink" Target="http://www.nhl.com/ice/player.htm?id=8468509" TargetMode="External"/><Relationship Id="rId259" Type="http://schemas.openxmlformats.org/officeDocument/2006/relationships/hyperlink" Target="javascript:void(0);" TargetMode="External"/><Relationship Id="rId23" Type="http://schemas.openxmlformats.org/officeDocument/2006/relationships/hyperlink" Target="http://www.nhl.com/ice/player.htm?id=8474564" TargetMode="External"/><Relationship Id="rId119" Type="http://schemas.openxmlformats.org/officeDocument/2006/relationships/hyperlink" Target="http://www.nhl.com/ice/player.htm?id=8469506" TargetMode="External"/><Relationship Id="rId270" Type="http://schemas.openxmlformats.org/officeDocument/2006/relationships/hyperlink" Target="http://www.nhl.com/ice/player.htm?id=8474565" TargetMode="External"/><Relationship Id="rId291" Type="http://schemas.openxmlformats.org/officeDocument/2006/relationships/hyperlink" Target="javascript:void(0);" TargetMode="External"/><Relationship Id="rId305" Type="http://schemas.openxmlformats.org/officeDocument/2006/relationships/hyperlink" Target="javascript:void(0);" TargetMode="External"/><Relationship Id="rId326" Type="http://schemas.openxmlformats.org/officeDocument/2006/relationships/hyperlink" Target="http://www.nhl.com/ice/player.htm?id=8474162" TargetMode="External"/><Relationship Id="rId347" Type="http://schemas.openxmlformats.org/officeDocument/2006/relationships/hyperlink" Target="javascript:void(0);" TargetMode="External"/><Relationship Id="rId44" Type="http://schemas.openxmlformats.org/officeDocument/2006/relationships/hyperlink" Target="javascript:void(0);" TargetMode="External"/><Relationship Id="rId65" Type="http://schemas.openxmlformats.org/officeDocument/2006/relationships/hyperlink" Target="http://www.nhl.com/ice/player.htm?id=8469455" TargetMode="External"/><Relationship Id="rId86" Type="http://schemas.openxmlformats.org/officeDocument/2006/relationships/hyperlink" Target="javascript:void(0);" TargetMode="External"/><Relationship Id="rId130" Type="http://schemas.openxmlformats.org/officeDocument/2006/relationships/hyperlink" Target="javascript:void(0);" TargetMode="External"/><Relationship Id="rId151" Type="http://schemas.openxmlformats.org/officeDocument/2006/relationships/hyperlink" Target="http://www.nhl.com/ice/player.htm?id=8475197" TargetMode="External"/><Relationship Id="rId172" Type="http://schemas.openxmlformats.org/officeDocument/2006/relationships/hyperlink" Target="javascript:void(0);" TargetMode="External"/><Relationship Id="rId193" Type="http://schemas.openxmlformats.org/officeDocument/2006/relationships/hyperlink" Target="javascript:void(0);" TargetMode="External"/><Relationship Id="rId207" Type="http://schemas.openxmlformats.org/officeDocument/2006/relationships/hyperlink" Target="javascript:void(0);" TargetMode="External"/><Relationship Id="rId228" Type="http://schemas.openxmlformats.org/officeDocument/2006/relationships/hyperlink" Target="http://www.nhl.com/ice/player.htm?id=8475149" TargetMode="External"/><Relationship Id="rId249" Type="http://schemas.openxmlformats.org/officeDocument/2006/relationships/hyperlink" Target="http://www.nhl.com/ice/player.htm?id=8473473" TargetMode="External"/><Relationship Id="rId13" Type="http://schemas.openxmlformats.org/officeDocument/2006/relationships/hyperlink" Target="http://www.nhl.com/ice/player.htm?id=8475765" TargetMode="External"/><Relationship Id="rId109" Type="http://schemas.openxmlformats.org/officeDocument/2006/relationships/hyperlink" Target="http://www.nhl.com/ice/player.htm?id=8470966" TargetMode="External"/><Relationship Id="rId260" Type="http://schemas.openxmlformats.org/officeDocument/2006/relationships/hyperlink" Target="http://www.nhl.com/ice/player.htm?id=8474573" TargetMode="External"/><Relationship Id="rId281" Type="http://schemas.openxmlformats.org/officeDocument/2006/relationships/hyperlink" Target="javascript:void(0);" TargetMode="External"/><Relationship Id="rId316" Type="http://schemas.openxmlformats.org/officeDocument/2006/relationships/hyperlink" Target="http://www.nhl.com/ice/player.htm?id=8448208" TargetMode="External"/><Relationship Id="rId337" Type="http://schemas.openxmlformats.org/officeDocument/2006/relationships/hyperlink" Target="javascript:void(0);" TargetMode="External"/><Relationship Id="rId34" Type="http://schemas.openxmlformats.org/officeDocument/2006/relationships/hyperlink" Target="javascript:void(0);" TargetMode="External"/><Relationship Id="rId55" Type="http://schemas.openxmlformats.org/officeDocument/2006/relationships/hyperlink" Target="http://www.nhl.com/ice/player.htm?id=8474053" TargetMode="External"/><Relationship Id="rId76" Type="http://schemas.openxmlformats.org/officeDocument/2006/relationships/hyperlink" Target="javascript:void(0);" TargetMode="External"/><Relationship Id="rId97" Type="http://schemas.openxmlformats.org/officeDocument/2006/relationships/hyperlink" Target="http://www.nhl.com/ice/player.htm?id=8475193" TargetMode="External"/><Relationship Id="rId120" Type="http://schemas.openxmlformats.org/officeDocument/2006/relationships/hyperlink" Target="javascript:void(0);" TargetMode="External"/><Relationship Id="rId141" Type="http://schemas.openxmlformats.org/officeDocument/2006/relationships/hyperlink" Target="http://www.nhl.com/ice/player.htm?id=8470047" TargetMode="External"/><Relationship Id="rId7" Type="http://schemas.openxmlformats.org/officeDocument/2006/relationships/hyperlink" Target="http://www.nhl.com/ice/player.htm?id=8471215" TargetMode="External"/><Relationship Id="rId162" Type="http://schemas.openxmlformats.org/officeDocument/2006/relationships/hyperlink" Target="javascript:void(0);" TargetMode="External"/><Relationship Id="rId183" Type="http://schemas.openxmlformats.org/officeDocument/2006/relationships/hyperlink" Target="http://www.nhl.com/ice/player.htm?id=8469770" TargetMode="External"/><Relationship Id="rId218" Type="http://schemas.openxmlformats.org/officeDocument/2006/relationships/hyperlink" Target="http://www.nhl.com/ice/player.htm?id=8476456" TargetMode="External"/><Relationship Id="rId239" Type="http://schemas.openxmlformats.org/officeDocument/2006/relationships/hyperlink" Target="javascript:void(0);" TargetMode="External"/><Relationship Id="rId250" Type="http://schemas.openxmlformats.org/officeDocument/2006/relationships/hyperlink" Target="javascript:void(0);" TargetMode="External"/><Relationship Id="rId271" Type="http://schemas.openxmlformats.org/officeDocument/2006/relationships/hyperlink" Target="javascript:void(0);" TargetMode="External"/><Relationship Id="rId292" Type="http://schemas.openxmlformats.org/officeDocument/2006/relationships/hyperlink" Target="http://www.nhl.com/ice/player.htm?id=8475184" TargetMode="External"/><Relationship Id="rId306" Type="http://schemas.openxmlformats.org/officeDocument/2006/relationships/hyperlink" Target="http://www.nhl.com/ice/player.htm?id=8470110" TargetMode="External"/><Relationship Id="rId24" Type="http://schemas.openxmlformats.org/officeDocument/2006/relationships/hyperlink" Target="javascript:void(0);" TargetMode="External"/><Relationship Id="rId45" Type="http://schemas.openxmlformats.org/officeDocument/2006/relationships/hyperlink" Target="http://www.nhl.com/ice/player.htm?id=8476453" TargetMode="External"/><Relationship Id="rId66" Type="http://schemas.openxmlformats.org/officeDocument/2006/relationships/hyperlink" Target="javascript:void(0);" TargetMode="External"/><Relationship Id="rId87" Type="http://schemas.openxmlformats.org/officeDocument/2006/relationships/hyperlink" Target="http://www.nhl.com/ice/player.htm?id=8471685" TargetMode="External"/><Relationship Id="rId110" Type="http://schemas.openxmlformats.org/officeDocument/2006/relationships/hyperlink" Target="javascript:void(0);" TargetMode="External"/><Relationship Id="rId131" Type="http://schemas.openxmlformats.org/officeDocument/2006/relationships/hyperlink" Target="http://www.nhl.com/ice/player.htm?id=8471698" TargetMode="External"/><Relationship Id="rId327" Type="http://schemas.openxmlformats.org/officeDocument/2006/relationships/hyperlink" Target="javascript:void(0);" TargetMode="External"/><Relationship Id="rId348" Type="http://schemas.openxmlformats.org/officeDocument/2006/relationships/hyperlink" Target="http://www.nhl.com/ice/player.htm?id=8471226" TargetMode="External"/><Relationship Id="rId152" Type="http://schemas.openxmlformats.org/officeDocument/2006/relationships/hyperlink" Target="javascript:void(0);" TargetMode="External"/><Relationship Id="rId173" Type="http://schemas.openxmlformats.org/officeDocument/2006/relationships/hyperlink" Target="http://www.nhl.com/ice/player.htm?id=8471887" TargetMode="External"/><Relationship Id="rId194" Type="http://schemas.openxmlformats.org/officeDocument/2006/relationships/hyperlink" Target="http://www.nhl.com/ice/player.htm?id=8476851" TargetMode="External"/><Relationship Id="rId208" Type="http://schemas.openxmlformats.org/officeDocument/2006/relationships/hyperlink" Target="http://www.nhl.com/ice/player.htm?id=8475225" TargetMode="External"/><Relationship Id="rId229" Type="http://schemas.openxmlformats.org/officeDocument/2006/relationships/hyperlink" Target="javascript:void(0);" TargetMode="External"/><Relationship Id="rId240" Type="http://schemas.openxmlformats.org/officeDocument/2006/relationships/hyperlink" Target="http://www.nhl.com/ice/player.htm?id=8474563" TargetMode="External"/><Relationship Id="rId261" Type="http://schemas.openxmlformats.org/officeDocument/2006/relationships/hyperlink" Target="javascript:void(0);" TargetMode="External"/><Relationship Id="rId14" Type="http://schemas.openxmlformats.org/officeDocument/2006/relationships/hyperlink" Target="javascript:void(0);" TargetMode="External"/><Relationship Id="rId35" Type="http://schemas.openxmlformats.org/officeDocument/2006/relationships/hyperlink" Target="http://www.nhl.com/ice/player.htm?id=8473422" TargetMode="External"/><Relationship Id="rId56" Type="http://schemas.openxmlformats.org/officeDocument/2006/relationships/hyperlink" Target="javascript:void(0);" TargetMode="External"/><Relationship Id="rId77" Type="http://schemas.openxmlformats.org/officeDocument/2006/relationships/hyperlink" Target="http://www.nhl.com/ice/player.htm?id=8473548" TargetMode="External"/><Relationship Id="rId100" Type="http://schemas.openxmlformats.org/officeDocument/2006/relationships/hyperlink" Target="javascript:void(0);" TargetMode="External"/><Relationship Id="rId282" Type="http://schemas.openxmlformats.org/officeDocument/2006/relationships/hyperlink" Target="http://www.nhl.com/ice/player.htm?id=8473986" TargetMode="External"/><Relationship Id="rId317" Type="http://schemas.openxmlformats.org/officeDocument/2006/relationships/hyperlink" Target="http://www.nhl.com/ice/player.htm?id=8476792" TargetMode="External"/><Relationship Id="rId338" Type="http://schemas.openxmlformats.org/officeDocument/2006/relationships/hyperlink" Target="http://www.nhl.com/ice/player.htm?id=8473492" TargetMode="External"/><Relationship Id="rId8" Type="http://schemas.openxmlformats.org/officeDocument/2006/relationships/hyperlink" Target="javascript:void(0);" TargetMode="External"/><Relationship Id="rId98" Type="http://schemas.openxmlformats.org/officeDocument/2006/relationships/hyperlink" Target="javascript:void(0);" TargetMode="External"/><Relationship Id="rId121" Type="http://schemas.openxmlformats.org/officeDocument/2006/relationships/hyperlink" Target="http://www.nhl.com/ice/player.htm?id=8474600" TargetMode="External"/><Relationship Id="rId142" Type="http://schemas.openxmlformats.org/officeDocument/2006/relationships/hyperlink" Target="javascript:void(0);" TargetMode="External"/><Relationship Id="rId163" Type="http://schemas.openxmlformats.org/officeDocument/2006/relationships/hyperlink" Target="http://www.nhl.com/ice/player.htm?id=8470642" TargetMode="External"/><Relationship Id="rId184" Type="http://schemas.openxmlformats.org/officeDocument/2006/relationships/hyperlink" Target="javascript:void(0);" TargetMode="External"/><Relationship Id="rId219" Type="http://schemas.openxmlformats.org/officeDocument/2006/relationships/hyperlink" Target="javascript:void(0);" TargetMode="External"/><Relationship Id="rId230" Type="http://schemas.openxmlformats.org/officeDocument/2006/relationships/hyperlink" Target="http://www.nhl.com/ice/player.htm?id=8477492" TargetMode="External"/><Relationship Id="rId251" Type="http://schemas.openxmlformats.org/officeDocument/2006/relationships/hyperlink" Target="http://www.nhl.com/ice/player.htm?id=8470281" TargetMode="External"/><Relationship Id="rId25" Type="http://schemas.openxmlformats.org/officeDocument/2006/relationships/hyperlink" Target="http://www.nhl.com/ice/player.htm?id=8470794" TargetMode="External"/><Relationship Id="rId46" Type="http://schemas.openxmlformats.org/officeDocument/2006/relationships/hyperlink" Target="javascript:void(0);" TargetMode="External"/><Relationship Id="rId67" Type="http://schemas.openxmlformats.org/officeDocument/2006/relationships/hyperlink" Target="http://www.nhl.com/ice/player.htm?id=8470610" TargetMode="External"/><Relationship Id="rId272" Type="http://schemas.openxmlformats.org/officeDocument/2006/relationships/hyperlink" Target="http://www.nhl.com/ice/player.htm?id=8469638" TargetMode="External"/><Relationship Id="rId293" Type="http://schemas.openxmlformats.org/officeDocument/2006/relationships/hyperlink" Target="javascript:void(0);" TargetMode="External"/><Relationship Id="rId307" Type="http://schemas.openxmlformats.org/officeDocument/2006/relationships/hyperlink" Target="javascript:void(0);" TargetMode="External"/><Relationship Id="rId328" Type="http://schemas.openxmlformats.org/officeDocument/2006/relationships/hyperlink" Target="http://www.nhl.com/ice/player.htm?id=8470187" TargetMode="External"/><Relationship Id="rId349" Type="http://schemas.openxmlformats.org/officeDocument/2006/relationships/hyperlink" Target="http://www.nhl.com/ice/player.htm?id=8471390" TargetMode="External"/><Relationship Id="rId20" Type="http://schemas.openxmlformats.org/officeDocument/2006/relationships/hyperlink" Target="javascript:void(0);" TargetMode="External"/><Relationship Id="rId41" Type="http://schemas.openxmlformats.org/officeDocument/2006/relationships/hyperlink" Target="http://www.nhl.com/ice/player.htm?id=8475793" TargetMode="External"/><Relationship Id="rId62" Type="http://schemas.openxmlformats.org/officeDocument/2006/relationships/hyperlink" Target="javascript:void(0);" TargetMode="External"/><Relationship Id="rId83" Type="http://schemas.openxmlformats.org/officeDocument/2006/relationships/hyperlink" Target="http://www.nhl.com/ice/player.htm?id=8471218" TargetMode="External"/><Relationship Id="rId88" Type="http://schemas.openxmlformats.org/officeDocument/2006/relationships/hyperlink" Target="javascript:void(0);" TargetMode="External"/><Relationship Id="rId111" Type="http://schemas.openxmlformats.org/officeDocument/2006/relationships/hyperlink" Target="http://www.nhl.com/ice/player.htm?id=8477497" TargetMode="External"/><Relationship Id="rId132" Type="http://schemas.openxmlformats.org/officeDocument/2006/relationships/hyperlink" Target="javascript:void(0);" TargetMode="External"/><Relationship Id="rId153" Type="http://schemas.openxmlformats.org/officeDocument/2006/relationships/hyperlink" Target="http://www.nhl.com/ice/player.htm?id=8476438" TargetMode="External"/><Relationship Id="rId174" Type="http://schemas.openxmlformats.org/officeDocument/2006/relationships/hyperlink" Target="javascript:void(0);" TargetMode="External"/><Relationship Id="rId179" Type="http://schemas.openxmlformats.org/officeDocument/2006/relationships/hyperlink" Target="http://www.nhl.com/ice/player.htm?id=8470834" TargetMode="External"/><Relationship Id="rId195" Type="http://schemas.openxmlformats.org/officeDocument/2006/relationships/hyperlink" Target="javascript:void(0);" TargetMode="External"/><Relationship Id="rId209" Type="http://schemas.openxmlformats.org/officeDocument/2006/relationships/hyperlink" Target="javascript:void(0);" TargetMode="External"/><Relationship Id="rId190" Type="http://schemas.openxmlformats.org/officeDocument/2006/relationships/hyperlink" Target="http://www.nhl.com/ice/player.htm?id=8474569" TargetMode="External"/><Relationship Id="rId204" Type="http://schemas.openxmlformats.org/officeDocument/2006/relationships/hyperlink" Target="http://www.nhl.com/ice/player.htm?id=8467496" TargetMode="External"/><Relationship Id="rId220" Type="http://schemas.openxmlformats.org/officeDocument/2006/relationships/hyperlink" Target="http://www.nhl.com/ice/player.htm?id=8476462" TargetMode="External"/><Relationship Id="rId225" Type="http://schemas.openxmlformats.org/officeDocument/2006/relationships/hyperlink" Target="javascript:void(0);" TargetMode="External"/><Relationship Id="rId241" Type="http://schemas.openxmlformats.org/officeDocument/2006/relationships/hyperlink" Target="javascript:void(0);" TargetMode="External"/><Relationship Id="rId246" Type="http://schemas.openxmlformats.org/officeDocument/2006/relationships/hyperlink" Target="http://www.nhl.com/ice/player.htm?id=8476459" TargetMode="External"/><Relationship Id="rId267" Type="http://schemas.openxmlformats.org/officeDocument/2006/relationships/hyperlink" Target="javascript:void(0);" TargetMode="External"/><Relationship Id="rId288" Type="http://schemas.openxmlformats.org/officeDocument/2006/relationships/hyperlink" Target="http://www.nhl.com/ice/player.htm?id=8469500" TargetMode="External"/><Relationship Id="rId15" Type="http://schemas.openxmlformats.org/officeDocument/2006/relationships/hyperlink" Target="http://www.nhl.com/ice/player.htm?id=8474870" TargetMode="External"/><Relationship Id="rId36" Type="http://schemas.openxmlformats.org/officeDocument/2006/relationships/hyperlink" Target="javascript:void(0);" TargetMode="External"/><Relationship Id="rId57" Type="http://schemas.openxmlformats.org/officeDocument/2006/relationships/hyperlink" Target="http://www.nhl.com/ice/player.htm?id=8473604" TargetMode="External"/><Relationship Id="rId106" Type="http://schemas.openxmlformats.org/officeDocument/2006/relationships/hyperlink" Target="javascript:void(0);" TargetMode="External"/><Relationship Id="rId127" Type="http://schemas.openxmlformats.org/officeDocument/2006/relationships/hyperlink" Target="http://www.nhl.com/ice/player.htm?id=8474679" TargetMode="External"/><Relationship Id="rId262" Type="http://schemas.openxmlformats.org/officeDocument/2006/relationships/hyperlink" Target="http://www.nhl.com/ice/player.htm?id=8475170" TargetMode="External"/><Relationship Id="rId283" Type="http://schemas.openxmlformats.org/officeDocument/2006/relationships/hyperlink" Target="javascript:void(0);" TargetMode="External"/><Relationship Id="rId313" Type="http://schemas.openxmlformats.org/officeDocument/2006/relationships/hyperlink" Target="javascript:void(0);" TargetMode="External"/><Relationship Id="rId318" Type="http://schemas.openxmlformats.org/officeDocument/2006/relationships/hyperlink" Target="javascript:void(0);" TargetMode="External"/><Relationship Id="rId339" Type="http://schemas.openxmlformats.org/officeDocument/2006/relationships/hyperlink" Target="javascript:void(0);" TargetMode="External"/><Relationship Id="rId10" Type="http://schemas.openxmlformats.org/officeDocument/2006/relationships/hyperlink" Target="javascript:void(0);" TargetMode="External"/><Relationship Id="rId31" Type="http://schemas.openxmlformats.org/officeDocument/2006/relationships/hyperlink" Target="http://www.nhl.com/ice/player.htm?id=8473512" TargetMode="External"/><Relationship Id="rId52" Type="http://schemas.openxmlformats.org/officeDocument/2006/relationships/hyperlink" Target="javascript:void(0);" TargetMode="External"/><Relationship Id="rId73" Type="http://schemas.openxmlformats.org/officeDocument/2006/relationships/hyperlink" Target="http://www.nhl.com/ice/player.htm?id=8473544" TargetMode="External"/><Relationship Id="rId78" Type="http://schemas.openxmlformats.org/officeDocument/2006/relationships/hyperlink" Target="javascript:void(0);" TargetMode="External"/><Relationship Id="rId94" Type="http://schemas.openxmlformats.org/officeDocument/2006/relationships/hyperlink" Target="javascript:void(0);" TargetMode="External"/><Relationship Id="rId99" Type="http://schemas.openxmlformats.org/officeDocument/2006/relationships/hyperlink" Target="http://www.nhl.com/ice/player.htm?id=8474037" TargetMode="External"/><Relationship Id="rId101" Type="http://schemas.openxmlformats.org/officeDocument/2006/relationships/hyperlink" Target="http://www.nhl.com/ice/player.htm?id=8466148" TargetMode="External"/><Relationship Id="rId122" Type="http://schemas.openxmlformats.org/officeDocument/2006/relationships/hyperlink" Target="javascript:void(0);" TargetMode="External"/><Relationship Id="rId143" Type="http://schemas.openxmlformats.org/officeDocument/2006/relationships/hyperlink" Target="http://www.nhl.com/ice/player.htm?id=8474190" TargetMode="External"/><Relationship Id="rId148" Type="http://schemas.openxmlformats.org/officeDocument/2006/relationships/hyperlink" Target="javascript:void(0);" TargetMode="External"/><Relationship Id="rId164" Type="http://schemas.openxmlformats.org/officeDocument/2006/relationships/hyperlink" Target="javascript:void(0);" TargetMode="External"/><Relationship Id="rId169" Type="http://schemas.openxmlformats.org/officeDocument/2006/relationships/hyperlink" Target="http://www.nhl.com/ice/player.htm?id=8468309" TargetMode="External"/><Relationship Id="rId185" Type="http://schemas.openxmlformats.org/officeDocument/2006/relationships/hyperlink" Target="http://www.nhl.com/ice/player.htm?id=8471976" TargetMode="External"/><Relationship Id="rId334" Type="http://schemas.openxmlformats.org/officeDocument/2006/relationships/hyperlink" Target="http://www.nhl.com/ice/player.htm?id=8475772" TargetMode="External"/><Relationship Id="rId350" Type="http://schemas.openxmlformats.org/officeDocument/2006/relationships/hyperlink" Target="http://www.nhl.com/ice/player.htm?id=8475791" TargetMode="External"/><Relationship Id="rId4" Type="http://schemas.openxmlformats.org/officeDocument/2006/relationships/hyperlink" Target="javascript:void(0);" TargetMode="External"/><Relationship Id="rId9" Type="http://schemas.openxmlformats.org/officeDocument/2006/relationships/hyperlink" Target="http://www.nhl.com/ice/player.htm?id=8471675" TargetMode="External"/><Relationship Id="rId180" Type="http://schemas.openxmlformats.org/officeDocument/2006/relationships/hyperlink" Target="javascript:void(0);" TargetMode="External"/><Relationship Id="rId210" Type="http://schemas.openxmlformats.org/officeDocument/2006/relationships/hyperlink" Target="http://www.nhl.com/ice/player.htm?id=8475754" TargetMode="External"/><Relationship Id="rId215" Type="http://schemas.openxmlformats.org/officeDocument/2006/relationships/hyperlink" Target="javascript:void(0);" TargetMode="External"/><Relationship Id="rId236" Type="http://schemas.openxmlformats.org/officeDocument/2006/relationships/hyperlink" Target="http://www.nhl.com/ice/player.htm?id=8474627" TargetMode="External"/><Relationship Id="rId257" Type="http://schemas.openxmlformats.org/officeDocument/2006/relationships/hyperlink" Target="javascript:void(0);" TargetMode="External"/><Relationship Id="rId278" Type="http://schemas.openxmlformats.org/officeDocument/2006/relationships/hyperlink" Target="http://www.nhl.com/ice/player.htm?id=8467370" TargetMode="External"/><Relationship Id="rId26" Type="http://schemas.openxmlformats.org/officeDocument/2006/relationships/hyperlink" Target="javascript:void(0);" TargetMode="External"/><Relationship Id="rId231" Type="http://schemas.openxmlformats.org/officeDocument/2006/relationships/hyperlink" Target="javascript:void(0);" TargetMode="External"/><Relationship Id="rId252" Type="http://schemas.openxmlformats.org/officeDocument/2006/relationships/hyperlink" Target="javascript:void(0);" TargetMode="External"/><Relationship Id="rId273" Type="http://schemas.openxmlformats.org/officeDocument/2006/relationships/hyperlink" Target="javascript:void(0);" TargetMode="External"/><Relationship Id="rId294" Type="http://schemas.openxmlformats.org/officeDocument/2006/relationships/hyperlink" Target="http://www.nhl.com/ice/player.htm?id=8474589" TargetMode="External"/><Relationship Id="rId308" Type="http://schemas.openxmlformats.org/officeDocument/2006/relationships/hyperlink" Target="http://www.nhl.com/ice/player.htm?id=8468508" TargetMode="External"/><Relationship Id="rId329" Type="http://schemas.openxmlformats.org/officeDocument/2006/relationships/hyperlink" Target="javascript:void(0);" TargetMode="External"/><Relationship Id="rId47" Type="http://schemas.openxmlformats.org/officeDocument/2006/relationships/hyperlink" Target="http://www.nhl.com/ice/player.htm?id=8470201" TargetMode="External"/><Relationship Id="rId68" Type="http://schemas.openxmlformats.org/officeDocument/2006/relationships/hyperlink" Target="javascript:void(0);" TargetMode="External"/><Relationship Id="rId89" Type="http://schemas.openxmlformats.org/officeDocument/2006/relationships/hyperlink" Target="http://www.nhl.com/ice/player.htm?id=8471676" TargetMode="External"/><Relationship Id="rId112" Type="http://schemas.openxmlformats.org/officeDocument/2006/relationships/hyperlink" Target="javascript:void(0);" TargetMode="External"/><Relationship Id="rId133" Type="http://schemas.openxmlformats.org/officeDocument/2006/relationships/hyperlink" Target="http://www.nhl.com/ice/player.htm?id=8474590" TargetMode="External"/><Relationship Id="rId154" Type="http://schemas.openxmlformats.org/officeDocument/2006/relationships/hyperlink" Target="javascript:void(0);" TargetMode="External"/><Relationship Id="rId175" Type="http://schemas.openxmlformats.org/officeDocument/2006/relationships/hyperlink" Target="http://www.nhl.com/ice/player.htm?id=8475168" TargetMode="External"/><Relationship Id="rId340" Type="http://schemas.openxmlformats.org/officeDocument/2006/relationships/hyperlink" Target="http://www.nhl.com/ice/player.htm?id=8476878" TargetMode="External"/><Relationship Id="rId196" Type="http://schemas.openxmlformats.org/officeDocument/2006/relationships/hyperlink" Target="http://www.nhl.com/ice/player.htm?id=8475726" TargetMode="External"/><Relationship Id="rId200" Type="http://schemas.openxmlformats.org/officeDocument/2006/relationships/hyperlink" Target="http://www.nhl.com/ice/player.htm?id=8475692" TargetMode="External"/><Relationship Id="rId16" Type="http://schemas.openxmlformats.org/officeDocument/2006/relationships/hyperlink" Target="javascript:void(0);" TargetMode="External"/><Relationship Id="rId221" Type="http://schemas.openxmlformats.org/officeDocument/2006/relationships/hyperlink" Target="javascript:void(0);" TargetMode="External"/><Relationship Id="rId242" Type="http://schemas.openxmlformats.org/officeDocument/2006/relationships/hyperlink" Target="http://www.nhl.com/ice/player.htm?id=8471242" TargetMode="External"/><Relationship Id="rId263" Type="http://schemas.openxmlformats.org/officeDocument/2006/relationships/hyperlink" Target="javascript:void(0);" TargetMode="External"/><Relationship Id="rId284" Type="http://schemas.openxmlformats.org/officeDocument/2006/relationships/hyperlink" Target="http://www.nhl.com/ice/player.htm?id=8468535" TargetMode="External"/><Relationship Id="rId319" Type="http://schemas.openxmlformats.org/officeDocument/2006/relationships/hyperlink" Target="http://www.nhl.com/ice/player.htm?id=8468504" TargetMode="External"/><Relationship Id="rId37" Type="http://schemas.openxmlformats.org/officeDocument/2006/relationships/hyperlink" Target="http://www.nhl.com/ice/player.htm?id=8467875" TargetMode="External"/><Relationship Id="rId58" Type="http://schemas.openxmlformats.org/officeDocument/2006/relationships/hyperlink" Target="javascript:void(0);" TargetMode="External"/><Relationship Id="rId79" Type="http://schemas.openxmlformats.org/officeDocument/2006/relationships/hyperlink" Target="http://www.nhl.com/ice/player.htm?id=8470604" TargetMode="External"/><Relationship Id="rId102" Type="http://schemas.openxmlformats.org/officeDocument/2006/relationships/hyperlink" Target="javascript:void(0);" TargetMode="External"/><Relationship Id="rId123" Type="http://schemas.openxmlformats.org/officeDocument/2006/relationships/hyperlink" Target="http://www.nhl.com/ice/player.htm?id=8470621" TargetMode="External"/><Relationship Id="rId144" Type="http://schemas.openxmlformats.org/officeDocument/2006/relationships/hyperlink" Target="javascript:void(0);" TargetMode="External"/><Relationship Id="rId330" Type="http://schemas.openxmlformats.org/officeDocument/2006/relationships/hyperlink" Target="http://www.nhl.com/ice/player.htm?id=8470600" TargetMode="External"/><Relationship Id="rId90" Type="http://schemas.openxmlformats.org/officeDocument/2006/relationships/hyperlink" Target="javascript:void(0);" TargetMode="External"/><Relationship Id="rId165" Type="http://schemas.openxmlformats.org/officeDocument/2006/relationships/hyperlink" Target="http://www.nhl.com/ice/player.htm?id=8476458" TargetMode="External"/><Relationship Id="rId186" Type="http://schemas.openxmlformats.org/officeDocument/2006/relationships/hyperlink" Target="javascript:void(0);" TargetMode="External"/><Relationship Id="rId351" Type="http://schemas.openxmlformats.org/officeDocument/2006/relationships/hyperlink" Target="javascript:void(0);" TargetMode="External"/><Relationship Id="rId211" Type="http://schemas.openxmlformats.org/officeDocument/2006/relationships/hyperlink" Target="javascript:void(0);" TargetMode="External"/><Relationship Id="rId232" Type="http://schemas.openxmlformats.org/officeDocument/2006/relationships/hyperlink" Target="http://www.nhl.com/ice/player.htm?id=8471669" TargetMode="External"/><Relationship Id="rId253" Type="http://schemas.openxmlformats.org/officeDocument/2006/relationships/hyperlink" Target="http://www.nhl.com/ice/player.htm?id=8473618" TargetMode="External"/><Relationship Id="rId274" Type="http://schemas.openxmlformats.org/officeDocument/2006/relationships/hyperlink" Target="http://www.nhl.com/ice/player.htm?id=8471707" TargetMode="External"/><Relationship Id="rId295" Type="http://schemas.openxmlformats.org/officeDocument/2006/relationships/hyperlink" Target="javascript:void(0);" TargetMode="External"/><Relationship Id="rId309" Type="http://schemas.openxmlformats.org/officeDocument/2006/relationships/hyperlink" Target="javascript:void(0);" TargetMode="External"/><Relationship Id="rId27" Type="http://schemas.openxmlformats.org/officeDocument/2006/relationships/hyperlink" Target="http://www.nhl.com/ice/player.htm?id=8475794" TargetMode="External"/><Relationship Id="rId48" Type="http://schemas.openxmlformats.org/officeDocument/2006/relationships/hyperlink" Target="javascript:void(0);" TargetMode="External"/><Relationship Id="rId69" Type="http://schemas.openxmlformats.org/officeDocument/2006/relationships/hyperlink" Target="http://www.nhl.com/ice/player.htm?id=8475768" TargetMode="External"/><Relationship Id="rId113" Type="http://schemas.openxmlformats.org/officeDocument/2006/relationships/hyperlink" Target="http://www.nhl.com/ice/player.htm?id=8471339" TargetMode="External"/><Relationship Id="rId134" Type="http://schemas.openxmlformats.org/officeDocument/2006/relationships/hyperlink" Target="javascript:void(0);" TargetMode="External"/><Relationship Id="rId320" Type="http://schemas.openxmlformats.org/officeDocument/2006/relationships/hyperlink" Target="javascript:void(0);" TargetMode="External"/><Relationship Id="rId80" Type="http://schemas.openxmlformats.org/officeDocument/2006/relationships/hyperlink" Target="javascript:void(0);" TargetMode="External"/><Relationship Id="rId155" Type="http://schemas.openxmlformats.org/officeDocument/2006/relationships/hyperlink" Target="http://www.nhl.com/ice/player.htm?id=8476454" TargetMode="External"/><Relationship Id="rId176" Type="http://schemas.openxmlformats.org/officeDocument/2006/relationships/hyperlink" Target="javascript:void(0);" TargetMode="External"/><Relationship Id="rId197" Type="http://schemas.openxmlformats.org/officeDocument/2006/relationships/hyperlink" Target="javascript:void(0);" TargetMode="External"/><Relationship Id="rId341" Type="http://schemas.openxmlformats.org/officeDocument/2006/relationships/hyperlink" Target="javascript:void(0);" TargetMode="External"/><Relationship Id="rId201" Type="http://schemas.openxmlformats.org/officeDocument/2006/relationships/hyperlink" Target="javascript:void(0);" TargetMode="External"/><Relationship Id="rId222" Type="http://schemas.openxmlformats.org/officeDocument/2006/relationships/hyperlink" Target="http://www.nhl.com/ice/player.htm?id=8469459" TargetMode="External"/><Relationship Id="rId243" Type="http://schemas.openxmlformats.org/officeDocument/2006/relationships/hyperlink" Target="javascript:void(0);" TargetMode="External"/><Relationship Id="rId264" Type="http://schemas.openxmlformats.org/officeDocument/2006/relationships/hyperlink" Target="http://www.nhl.com/ice/player.htm?id=8475191" TargetMode="External"/><Relationship Id="rId285" Type="http://schemas.openxmlformats.org/officeDocument/2006/relationships/hyperlink" Target="http://www.nhl.com/ice/player.htm?id=8471262" TargetMode="External"/><Relationship Id="rId17" Type="http://schemas.openxmlformats.org/officeDocument/2006/relationships/hyperlink" Target="http://www.nhl.com/ice/player.htm?id=8474141" TargetMode="External"/><Relationship Id="rId38" Type="http://schemas.openxmlformats.org/officeDocument/2006/relationships/hyperlink" Target="javascript:void(0);" TargetMode="External"/><Relationship Id="rId59" Type="http://schemas.openxmlformats.org/officeDocument/2006/relationships/hyperlink" Target="http://www.nhl.com/ice/player.htm?id=8470257" TargetMode="External"/><Relationship Id="rId103" Type="http://schemas.openxmlformats.org/officeDocument/2006/relationships/hyperlink" Target="http://www.nhl.com/ice/player.htm?id=8474586" TargetMode="External"/><Relationship Id="rId124" Type="http://schemas.openxmlformats.org/officeDocument/2006/relationships/hyperlink" Target="javascript:void(0);" TargetMode="External"/><Relationship Id="rId310" Type="http://schemas.openxmlformats.org/officeDocument/2006/relationships/hyperlink" Target="http://www.nhl.com/ice/player.htm?id=8477496" TargetMode="External"/><Relationship Id="rId70" Type="http://schemas.openxmlformats.org/officeDocument/2006/relationships/hyperlink" Target="javascript:void(0);" TargetMode="External"/><Relationship Id="rId91" Type="http://schemas.openxmlformats.org/officeDocument/2006/relationships/hyperlink" Target="http://www.nhl.com/ice/player.htm?id=8470613" TargetMode="External"/><Relationship Id="rId145" Type="http://schemas.openxmlformats.org/officeDocument/2006/relationships/hyperlink" Target="http://www.nhl.com/ice/player.htm?id=8466378" TargetMode="External"/><Relationship Id="rId166" Type="http://schemas.openxmlformats.org/officeDocument/2006/relationships/hyperlink" Target="javascript:void(0);" TargetMode="External"/><Relationship Id="rId187" Type="http://schemas.openxmlformats.org/officeDocument/2006/relationships/hyperlink" Target="http://www.nhl.com/ice/player.htm?id=8471735" TargetMode="External"/><Relationship Id="rId331" Type="http://schemas.openxmlformats.org/officeDocument/2006/relationships/hyperlink" Target="javascript:void(0);" TargetMode="External"/><Relationship Id="rId1" Type="http://schemas.openxmlformats.org/officeDocument/2006/relationships/hyperlink" Target="http://www.nhl.com/ice/player.htm?id=8475166" TargetMode="External"/><Relationship Id="rId212" Type="http://schemas.openxmlformats.org/officeDocument/2006/relationships/hyperlink" Target="http://www.nhl.com/ice/player.htm?id=8470626" TargetMode="External"/><Relationship Id="rId233" Type="http://schemas.openxmlformats.org/officeDocument/2006/relationships/hyperlink" Target="javascript:void(0);" TargetMode="External"/><Relationship Id="rId254" Type="http://schemas.openxmlformats.org/officeDocument/2006/relationships/hyperlink" Target="javascript:void(0);" TargetMode="External"/><Relationship Id="rId28" Type="http://schemas.openxmlformats.org/officeDocument/2006/relationships/hyperlink" Target="javascript:void(0);" TargetMode="External"/><Relationship Id="rId49" Type="http://schemas.openxmlformats.org/officeDocument/2006/relationships/hyperlink" Target="http://www.nhl.com/ice/player.htm?id=8467514" TargetMode="External"/><Relationship Id="rId114" Type="http://schemas.openxmlformats.org/officeDocument/2006/relationships/hyperlink" Target="javascript:void(0);" TargetMode="External"/><Relationship Id="rId275" Type="http://schemas.openxmlformats.org/officeDocument/2006/relationships/hyperlink" Target="javascript:void(0);" TargetMode="External"/><Relationship Id="rId296" Type="http://schemas.openxmlformats.org/officeDocument/2006/relationships/hyperlink" Target="http://www.nhl.com/ice/player.htm?id=8475222" TargetMode="External"/><Relationship Id="rId300" Type="http://schemas.openxmlformats.org/officeDocument/2006/relationships/hyperlink" Target="http://www.nhl.com/ice/player.htm?id=8471873" TargetMode="External"/><Relationship Id="rId60" Type="http://schemas.openxmlformats.org/officeDocument/2006/relationships/hyperlink" Target="javascript:void(0);" TargetMode="External"/><Relationship Id="rId81" Type="http://schemas.openxmlformats.org/officeDocument/2006/relationships/hyperlink" Target="http://www.nhl.com/ice/player.htm?id=8471724" TargetMode="External"/><Relationship Id="rId135" Type="http://schemas.openxmlformats.org/officeDocument/2006/relationships/hyperlink" Target="http://www.nhl.com/ice/player.htm?id=8469521" TargetMode="External"/><Relationship Id="rId156" Type="http://schemas.openxmlformats.org/officeDocument/2006/relationships/hyperlink" Target="javascript:void(0);" TargetMode="External"/><Relationship Id="rId177" Type="http://schemas.openxmlformats.org/officeDocument/2006/relationships/hyperlink" Target="http://www.nhl.com/ice/player.htm?id=8470598" TargetMode="External"/><Relationship Id="rId198" Type="http://schemas.openxmlformats.org/officeDocument/2006/relationships/hyperlink" Target="http://www.nhl.com/ice/player.htm?id=8475098" TargetMode="External"/><Relationship Id="rId321" Type="http://schemas.openxmlformats.org/officeDocument/2006/relationships/hyperlink" Target="http://www.nhl.com/ice/player.htm?id=8471185" TargetMode="External"/><Relationship Id="rId342" Type="http://schemas.openxmlformats.org/officeDocument/2006/relationships/hyperlink" Target="http://www.nhl.com/ice/player.htm?id=8475236" TargetMode="External"/><Relationship Id="rId202" Type="http://schemas.openxmlformats.org/officeDocument/2006/relationships/hyperlink" Target="http://www.nhl.com/ice/player.htm?id=8475158" TargetMode="External"/><Relationship Id="rId223" Type="http://schemas.openxmlformats.org/officeDocument/2006/relationships/hyperlink" Target="javascript:void(0);" TargetMode="External"/><Relationship Id="rId244" Type="http://schemas.openxmlformats.org/officeDocument/2006/relationships/hyperlink" Target="http://www.nhl.com/ice/player.htm?id=8468483" TargetMode="External"/><Relationship Id="rId18" Type="http://schemas.openxmlformats.org/officeDocument/2006/relationships/hyperlink" Target="javascript:void(0);" TargetMode="External"/><Relationship Id="rId39" Type="http://schemas.openxmlformats.org/officeDocument/2006/relationships/hyperlink" Target="http://www.nhl.com/ice/player.htm?id=8474157" TargetMode="External"/><Relationship Id="rId265" Type="http://schemas.openxmlformats.org/officeDocument/2006/relationships/hyperlink" Target="javascript:void(0);" TargetMode="External"/><Relationship Id="rId286" Type="http://schemas.openxmlformats.org/officeDocument/2006/relationships/hyperlink" Target="javascript:void(0);" TargetMode="External"/><Relationship Id="rId50" Type="http://schemas.openxmlformats.org/officeDocument/2006/relationships/hyperlink" Target="javascript:void(0);" TargetMode="External"/><Relationship Id="rId104" Type="http://schemas.openxmlformats.org/officeDocument/2006/relationships/hyperlink" Target="javascript:void(0);" TargetMode="External"/><Relationship Id="rId125" Type="http://schemas.openxmlformats.org/officeDocument/2006/relationships/hyperlink" Target="http://www.nhl.com/ice/player.htm?id=8470655" TargetMode="External"/><Relationship Id="rId146" Type="http://schemas.openxmlformats.org/officeDocument/2006/relationships/hyperlink" Target="javascript:void(0);" TargetMode="External"/><Relationship Id="rId167" Type="http://schemas.openxmlformats.org/officeDocument/2006/relationships/hyperlink" Target="http://www.nhl.com/ice/player.htm?id=8474613" TargetMode="External"/><Relationship Id="rId188" Type="http://schemas.openxmlformats.org/officeDocument/2006/relationships/hyperlink" Target="http://www.nhl.com/ice/player.htm?id=8475760" TargetMode="External"/><Relationship Id="rId311" Type="http://schemas.openxmlformats.org/officeDocument/2006/relationships/hyperlink" Target="javascript:void(0);" TargetMode="External"/><Relationship Id="rId332" Type="http://schemas.openxmlformats.org/officeDocument/2006/relationships/hyperlink" Target="http://www.nhl.com/ice/player.htm?id=8471346" TargetMode="External"/><Relationship Id="rId71" Type="http://schemas.openxmlformats.org/officeDocument/2006/relationships/hyperlink" Target="http://www.nhl.com/ice/player.htm?id=8476292" TargetMode="External"/><Relationship Id="rId92" Type="http://schemas.openxmlformats.org/officeDocument/2006/relationships/hyperlink" Target="javascript:void(0);" TargetMode="External"/><Relationship Id="rId213" Type="http://schemas.openxmlformats.org/officeDocument/2006/relationships/hyperlink" Target="javascript:void(0);" TargetMode="External"/><Relationship Id="rId234" Type="http://schemas.openxmlformats.org/officeDocument/2006/relationships/hyperlink" Target="http://www.nhl.com/ice/player.htm?id=8476460" TargetMode="External"/><Relationship Id="rId2" Type="http://schemas.openxmlformats.org/officeDocument/2006/relationships/hyperlink" Target="javascript:void(0);" TargetMode="External"/><Relationship Id="rId29" Type="http://schemas.openxmlformats.org/officeDocument/2006/relationships/hyperlink" Target="http://www.nhl.com/ice/player.htm?id=8470612" TargetMode="External"/><Relationship Id="rId255" Type="http://schemas.openxmlformats.org/officeDocument/2006/relationships/hyperlink" Target="http://www.nhl.com/ice/player.htm?id=8467396" TargetMode="External"/><Relationship Id="rId276" Type="http://schemas.openxmlformats.org/officeDocument/2006/relationships/hyperlink" Target="http://www.nhl.com/ice/player.htm?id=8471716" TargetMode="External"/><Relationship Id="rId297" Type="http://schemas.openxmlformats.org/officeDocument/2006/relationships/hyperlink" Target="javascript:void(0);" TargetMode="External"/><Relationship Id="rId40" Type="http://schemas.openxmlformats.org/officeDocument/2006/relationships/hyperlink" Target="javascript:void(0);" TargetMode="External"/><Relationship Id="rId115" Type="http://schemas.openxmlformats.org/officeDocument/2006/relationships/hyperlink" Target="http://www.nhl.com/ice/player.htm?id=8476455" TargetMode="External"/><Relationship Id="rId136" Type="http://schemas.openxmlformats.org/officeDocument/2006/relationships/hyperlink" Target="javascript:void(0);" TargetMode="External"/><Relationship Id="rId157" Type="http://schemas.openxmlformats.org/officeDocument/2006/relationships/hyperlink" Target="http://www.nhl.com/ice/player.htm?id=8470595" TargetMode="External"/><Relationship Id="rId178" Type="http://schemas.openxmlformats.org/officeDocument/2006/relationships/hyperlink" Target="javascript:void(0);" TargetMode="External"/><Relationship Id="rId301" Type="http://schemas.openxmlformats.org/officeDocument/2006/relationships/hyperlink" Target="javascript:void(0);" TargetMode="External"/><Relationship Id="rId322" Type="http://schemas.openxmlformats.org/officeDocument/2006/relationships/hyperlink" Target="http://www.nhl.com/ice/player.htm?id=8469544" TargetMode="External"/><Relationship Id="rId343" Type="http://schemas.openxmlformats.org/officeDocument/2006/relationships/hyperlink" Target="javascript:void(0);" TargetMode="External"/><Relationship Id="rId61" Type="http://schemas.openxmlformats.org/officeDocument/2006/relationships/hyperlink" Target="http://www.nhl.com/ice/player.htm?id=8467371" TargetMode="External"/><Relationship Id="rId82" Type="http://schemas.openxmlformats.org/officeDocument/2006/relationships/hyperlink" Target="javascript:void(0);" TargetMode="External"/><Relationship Id="rId199" Type="http://schemas.openxmlformats.org/officeDocument/2006/relationships/hyperlink" Target="javascript:void(0);" TargetMode="External"/><Relationship Id="rId203" Type="http://schemas.openxmlformats.org/officeDocument/2006/relationships/hyperlink" Target="javascript:void(0);" TargetMode="External"/><Relationship Id="rId19" Type="http://schemas.openxmlformats.org/officeDocument/2006/relationships/hyperlink" Target="http://www.nhl.com/ice/player.htm?id=8470041" TargetMode="External"/><Relationship Id="rId224" Type="http://schemas.openxmlformats.org/officeDocument/2006/relationships/hyperlink" Target="http://www.nhl.com/ice/player.htm?id=8475314" TargetMode="External"/><Relationship Id="rId245" Type="http://schemas.openxmlformats.org/officeDocument/2006/relationships/hyperlink" Target="javascript:void(0);" TargetMode="External"/><Relationship Id="rId266" Type="http://schemas.openxmlformats.org/officeDocument/2006/relationships/hyperlink" Target="http://www.nhl.com/ice/player.htm?id=8474673" TargetMode="External"/><Relationship Id="rId287" Type="http://schemas.openxmlformats.org/officeDocument/2006/relationships/hyperlink" Target="http://www.nhl.com/ice/player.htm?id=8471742" TargetMode="External"/><Relationship Id="rId30" Type="http://schemas.openxmlformats.org/officeDocument/2006/relationships/hyperlink" Target="javascript:void(0);" TargetMode="External"/><Relationship Id="rId105" Type="http://schemas.openxmlformats.org/officeDocument/2006/relationships/hyperlink" Target="http://www.nhl.com/ice/player.htm?id=8476346" TargetMode="External"/><Relationship Id="rId126" Type="http://schemas.openxmlformats.org/officeDocument/2006/relationships/hyperlink" Target="javascript:void(0);" TargetMode="External"/><Relationship Id="rId147" Type="http://schemas.openxmlformats.org/officeDocument/2006/relationships/hyperlink" Target="http://www.nhl.com/ice/player.htm?id=8473449" TargetMode="External"/><Relationship Id="rId168" Type="http://schemas.openxmlformats.org/officeDocument/2006/relationships/hyperlink" Target="javascript:void(0);" TargetMode="External"/><Relationship Id="rId312" Type="http://schemas.openxmlformats.org/officeDocument/2006/relationships/hyperlink" Target="http://www.nhl.com/ice/player.htm?id=8475167" TargetMode="External"/><Relationship Id="rId333" Type="http://schemas.openxmlformats.org/officeDocument/2006/relationships/hyperlink" Target="javascript:void(0);" TargetMode="External"/><Relationship Id="rId51" Type="http://schemas.openxmlformats.org/officeDocument/2006/relationships/hyperlink" Target="http://www.nhl.com/ice/player.htm?id=8468083" TargetMode="External"/><Relationship Id="rId72" Type="http://schemas.openxmlformats.org/officeDocument/2006/relationships/hyperlink" Target="javascript:void(0);" TargetMode="External"/><Relationship Id="rId93" Type="http://schemas.openxmlformats.org/officeDocument/2006/relationships/hyperlink" Target="http://www.nhl.com/ice/player.htm?id=8474056" TargetMode="External"/><Relationship Id="rId189" Type="http://schemas.openxmlformats.org/officeDocument/2006/relationships/hyperlink" Target="javascript:void(0);" TargetMode="External"/><Relationship Id="rId3" Type="http://schemas.openxmlformats.org/officeDocument/2006/relationships/hyperlink" Target="http://www.nhl.com/ice/player.htm?id=8471214" TargetMode="External"/><Relationship Id="rId214" Type="http://schemas.openxmlformats.org/officeDocument/2006/relationships/hyperlink" Target="http://www.nhl.com/ice/player.htm?id=8470543" TargetMode="External"/><Relationship Id="rId235" Type="http://schemas.openxmlformats.org/officeDocument/2006/relationships/hyperlink" Target="javascript:void(0);" TargetMode="External"/><Relationship Id="rId256" Type="http://schemas.openxmlformats.org/officeDocument/2006/relationships/hyperlink" Target="http://www.nhl.com/ice/player.htm?id=8473564" TargetMode="External"/><Relationship Id="rId277" Type="http://schemas.openxmlformats.org/officeDocument/2006/relationships/hyperlink" Target="javascript:void(0);" TargetMode="External"/><Relationship Id="rId298" Type="http://schemas.openxmlformats.org/officeDocument/2006/relationships/hyperlink" Target="http://www.nhl.com/ice/player.htm?id=8477932" TargetMode="External"/><Relationship Id="rId116" Type="http://schemas.openxmlformats.org/officeDocument/2006/relationships/hyperlink" Target="javascript:void(0);" TargetMode="External"/><Relationship Id="rId137" Type="http://schemas.openxmlformats.org/officeDocument/2006/relationships/hyperlink" Target="http://www.nhl.com/ice/player.htm?id=8468486" TargetMode="External"/><Relationship Id="rId158" Type="http://schemas.openxmlformats.org/officeDocument/2006/relationships/hyperlink" Target="javascript:void(0);" TargetMode="External"/><Relationship Id="rId302" Type="http://schemas.openxmlformats.org/officeDocument/2006/relationships/hyperlink" Target="http://www.nhl.com/ice/player.htm?id=8475799" TargetMode="External"/><Relationship Id="rId323" Type="http://schemas.openxmlformats.org/officeDocument/2006/relationships/hyperlink" Target="javascript:void(0);" TargetMode="External"/><Relationship Id="rId344" Type="http://schemas.openxmlformats.org/officeDocument/2006/relationships/hyperlink" Target="http://www.nhl.com/ice/player.htm?id=8475763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://sports.yahoo.com/nhl/teams/was" TargetMode="External"/><Relationship Id="rId13" Type="http://schemas.openxmlformats.org/officeDocument/2006/relationships/hyperlink" Target="http://sports.yahoo.com/nhl/teams/nas" TargetMode="External"/><Relationship Id="rId18" Type="http://schemas.openxmlformats.org/officeDocument/2006/relationships/hyperlink" Target="http://sports.yahoo.com/nhl/teams/pit" TargetMode="External"/><Relationship Id="rId26" Type="http://schemas.openxmlformats.org/officeDocument/2006/relationships/hyperlink" Target="http://sports.yahoo.com/nhl/teams/fla" TargetMode="External"/><Relationship Id="rId3" Type="http://schemas.openxmlformats.org/officeDocument/2006/relationships/hyperlink" Target="http://sports.yahoo.com/nhl/teams/dal" TargetMode="External"/><Relationship Id="rId21" Type="http://schemas.openxmlformats.org/officeDocument/2006/relationships/hyperlink" Target="http://sports.yahoo.com/nhl/teams/phi" TargetMode="External"/><Relationship Id="rId34" Type="http://schemas.openxmlformats.org/officeDocument/2006/relationships/hyperlink" Target="http://sports.yahoo.com/nhl/stats/byteam?cat=teamstats&amp;conference=NHL&amp;year=season_2014&amp;cut_type=0&amp;sort=443" TargetMode="External"/><Relationship Id="rId7" Type="http://schemas.openxmlformats.org/officeDocument/2006/relationships/hyperlink" Target="http://sports.yahoo.com/nhl/teams/stl" TargetMode="External"/><Relationship Id="rId12" Type="http://schemas.openxmlformats.org/officeDocument/2006/relationships/hyperlink" Target="http://sports.yahoo.com/nhl/teams/van" TargetMode="External"/><Relationship Id="rId17" Type="http://schemas.openxmlformats.org/officeDocument/2006/relationships/hyperlink" Target="http://sports.yahoo.com/nhl/teams/chi" TargetMode="External"/><Relationship Id="rId25" Type="http://schemas.openxmlformats.org/officeDocument/2006/relationships/hyperlink" Target="http://sports.yahoo.com/nhl/teams/tor" TargetMode="External"/><Relationship Id="rId33" Type="http://schemas.openxmlformats.org/officeDocument/2006/relationships/hyperlink" Target="http://sports.yahoo.com/nhl/stats/byteam?cat=teamstats&amp;conference=NHL&amp;year=season_2014&amp;cut_type=0&amp;sort=406" TargetMode="External"/><Relationship Id="rId2" Type="http://schemas.openxmlformats.org/officeDocument/2006/relationships/hyperlink" Target="http://sports.yahoo.com/nhl/teams/tam" TargetMode="External"/><Relationship Id="rId16" Type="http://schemas.openxmlformats.org/officeDocument/2006/relationships/hyperlink" Target="http://sports.yahoo.com/nhl/teams/wpg" TargetMode="External"/><Relationship Id="rId20" Type="http://schemas.openxmlformats.org/officeDocument/2006/relationships/hyperlink" Target="http://sports.yahoo.com/nhl/teams/los" TargetMode="External"/><Relationship Id="rId29" Type="http://schemas.openxmlformats.org/officeDocument/2006/relationships/hyperlink" Target="http://sports.yahoo.com/nhl/teams/njd" TargetMode="External"/><Relationship Id="rId1" Type="http://schemas.openxmlformats.org/officeDocument/2006/relationships/hyperlink" Target="http://sports.yahoo.com/nhl/stats/byteam" TargetMode="External"/><Relationship Id="rId6" Type="http://schemas.openxmlformats.org/officeDocument/2006/relationships/hyperlink" Target="http://sports.yahoo.com/nhl/teams/cgy" TargetMode="External"/><Relationship Id="rId11" Type="http://schemas.openxmlformats.org/officeDocument/2006/relationships/hyperlink" Target="http://sports.yahoo.com/nhl/teams/ott" TargetMode="External"/><Relationship Id="rId24" Type="http://schemas.openxmlformats.org/officeDocument/2006/relationships/hyperlink" Target="http://sports.yahoo.com/nhl/teams/bos" TargetMode="External"/><Relationship Id="rId32" Type="http://schemas.openxmlformats.org/officeDocument/2006/relationships/hyperlink" Target="http://sports.yahoo.com/nhl/stats/byteam?cat=teamstats&amp;conference=NHL&amp;year=season_2014&amp;cut_type=0&amp;sort=400" TargetMode="External"/><Relationship Id="rId5" Type="http://schemas.openxmlformats.org/officeDocument/2006/relationships/hyperlink" Target="http://sports.yahoo.com/nhl/teams/nyi" TargetMode="External"/><Relationship Id="rId15" Type="http://schemas.openxmlformats.org/officeDocument/2006/relationships/hyperlink" Target="http://sports.yahoo.com/nhl/teams/san" TargetMode="External"/><Relationship Id="rId23" Type="http://schemas.openxmlformats.org/officeDocument/2006/relationships/hyperlink" Target="http://sports.yahoo.com/nhl/teams/col" TargetMode="External"/><Relationship Id="rId28" Type="http://schemas.openxmlformats.org/officeDocument/2006/relationships/hyperlink" Target="http://sports.yahoo.com/nhl/teams/car" TargetMode="External"/><Relationship Id="rId10" Type="http://schemas.openxmlformats.org/officeDocument/2006/relationships/hyperlink" Target="http://sports.yahoo.com/nhl/teams/det" TargetMode="External"/><Relationship Id="rId19" Type="http://schemas.openxmlformats.org/officeDocument/2006/relationships/hyperlink" Target="http://sports.yahoo.com/nhl/teams/cob" TargetMode="External"/><Relationship Id="rId31" Type="http://schemas.openxmlformats.org/officeDocument/2006/relationships/hyperlink" Target="http://sports.yahoo.com/nhl/teams/buf" TargetMode="External"/><Relationship Id="rId4" Type="http://schemas.openxmlformats.org/officeDocument/2006/relationships/hyperlink" Target="http://sports.yahoo.com/nhl/teams/nyr" TargetMode="External"/><Relationship Id="rId9" Type="http://schemas.openxmlformats.org/officeDocument/2006/relationships/hyperlink" Target="http://sports.yahoo.com/nhl/teams/ana" TargetMode="External"/><Relationship Id="rId14" Type="http://schemas.openxmlformats.org/officeDocument/2006/relationships/hyperlink" Target="http://sports.yahoo.com/nhl/teams/min" TargetMode="External"/><Relationship Id="rId22" Type="http://schemas.openxmlformats.org/officeDocument/2006/relationships/hyperlink" Target="http://sports.yahoo.com/nhl/teams/mon" TargetMode="External"/><Relationship Id="rId27" Type="http://schemas.openxmlformats.org/officeDocument/2006/relationships/hyperlink" Target="http://sports.yahoo.com/nhl/teams/edm" TargetMode="External"/><Relationship Id="rId30" Type="http://schemas.openxmlformats.org/officeDocument/2006/relationships/hyperlink" Target="http://sports.yahoo.com/nhl/teams/ari" TargetMode="External"/><Relationship Id="rId35" Type="http://schemas.openxmlformats.org/officeDocument/2006/relationships/hyperlink" Target="http://sports.yahoo.com/nhl/stats/byteam?cat=teamstats&amp;conference=NHL&amp;year=season_2014&amp;cut_type=0&amp;sort=44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2299"/>
  <sheetViews>
    <sheetView workbookViewId="0">
      <selection activeCell="A31" sqref="A1:B31"/>
    </sheetView>
  </sheetViews>
  <sheetFormatPr defaultRowHeight="15"/>
  <cols>
    <col min="1" max="1" width="13.7109375" style="1" bestFit="1" customWidth="1"/>
    <col min="2" max="3" width="9.140625" style="1"/>
    <col min="4" max="4" width="17.85546875" style="1" bestFit="1" customWidth="1"/>
    <col min="5" max="5" width="14.5703125" style="1" customWidth="1"/>
    <col min="6" max="6" width="13.28515625" style="1" customWidth="1"/>
    <col min="7" max="7" width="7.7109375" style="1" bestFit="1" customWidth="1"/>
    <col min="8" max="8" width="6.28515625" style="1" bestFit="1" customWidth="1"/>
    <col min="9" max="9" width="12.7109375" style="1" bestFit="1" customWidth="1"/>
    <col min="10" max="16384" width="9.140625" style="1"/>
  </cols>
  <sheetData>
    <row r="1" spans="1:18" ht="15.75" thickBot="1">
      <c r="A1" s="1" t="s">
        <v>175</v>
      </c>
      <c r="B1" s="1" t="s">
        <v>176</v>
      </c>
      <c r="E1" s="1" t="s">
        <v>29</v>
      </c>
      <c r="F1" s="1" t="s">
        <v>30</v>
      </c>
      <c r="G1" s="1" t="s">
        <v>29</v>
      </c>
      <c r="H1" s="1" t="s">
        <v>30</v>
      </c>
      <c r="I1" s="1" t="s">
        <v>31</v>
      </c>
      <c r="J1" s="1" t="s">
        <v>188</v>
      </c>
      <c r="K1" s="1" t="s">
        <v>190</v>
      </c>
      <c r="N1" s="1" t="s">
        <v>191</v>
      </c>
      <c r="O1" s="1" t="s">
        <v>192</v>
      </c>
      <c r="P1" s="1">
        <f>SUM(K2:K2299)</f>
        <v>5693.8312386183179</v>
      </c>
    </row>
    <row r="2" spans="1:18" ht="15" customHeight="1">
      <c r="A2" t="s">
        <v>10</v>
      </c>
      <c r="B2" s="24">
        <v>85.502478257351129</v>
      </c>
      <c r="D2" s="2" t="s">
        <v>32</v>
      </c>
      <c r="E2" s="3"/>
      <c r="F2" s="3"/>
      <c r="G2" s="17">
        <v>4</v>
      </c>
      <c r="H2" s="17">
        <v>3</v>
      </c>
      <c r="I2" s="1">
        <f>IF(G2="","",G2-H2)</f>
        <v>1</v>
      </c>
      <c r="J2" s="1">
        <f>IF(F3="","",VLOOKUP(F3,$A$2:$B$31,2)+$B$33-VLOOKUP(E3,$A$2:$B$31,2))</f>
        <v>0.89529360210173081</v>
      </c>
      <c r="K2" s="1">
        <f>IF(J2="",0,(I2-J2)^2)</f>
        <v>1.096342976083067E-2</v>
      </c>
    </row>
    <row r="3" spans="1:18" ht="15.75" thickBot="1">
      <c r="A3" t="s">
        <v>2</v>
      </c>
      <c r="B3" s="24">
        <v>84.918202417441918</v>
      </c>
      <c r="D3" s="4"/>
      <c r="E3" s="5" t="s">
        <v>443</v>
      </c>
      <c r="F3" s="5" t="s">
        <v>0</v>
      </c>
      <c r="G3" s="17"/>
      <c r="H3" s="17"/>
      <c r="I3" s="1" t="str">
        <f>IF(G3="","",G3-H3)</f>
        <v/>
      </c>
      <c r="J3" s="1" t="str">
        <f t="shared" ref="J3:J66" si="0">IF(F4="","",VLOOKUP(F4,$A$2:$B$31,2)+$B$33-VLOOKUP(E4,$A$2:$B$31,2))</f>
        <v/>
      </c>
      <c r="K3" s="1">
        <f>IF(J3="",0,(I3-J3)^2)</f>
        <v>0</v>
      </c>
      <c r="N3" s="1" t="s">
        <v>193</v>
      </c>
      <c r="O3" s="1">
        <v>50</v>
      </c>
      <c r="P3" s="1">
        <v>85</v>
      </c>
      <c r="Q3" s="1">
        <v>100</v>
      </c>
      <c r="R3" s="1">
        <f>AVERAGE(B2:B31)</f>
        <v>84.999999999861771</v>
      </c>
    </row>
    <row r="4" spans="1:18" ht="15" customHeight="1">
      <c r="A4" t="s">
        <v>8</v>
      </c>
      <c r="B4" s="24">
        <v>86.328215151746576</v>
      </c>
      <c r="D4" s="6" t="s">
        <v>32</v>
      </c>
      <c r="E4" s="7"/>
      <c r="F4" s="7"/>
      <c r="G4" s="17">
        <v>1</v>
      </c>
      <c r="H4" s="17">
        <v>2</v>
      </c>
      <c r="I4" s="1">
        <f t="shared" ref="I4:I67" si="1">IF(G4="","",G4-H4)</f>
        <v>-1</v>
      </c>
      <c r="J4" s="1">
        <f t="shared" si="0"/>
        <v>-0.33326110860548397</v>
      </c>
      <c r="K4" s="1">
        <f t="shared" ref="K4:K67" si="2">IF(J4="",0,(I4-J4)^2)</f>
        <v>0.44454074929798826</v>
      </c>
    </row>
    <row r="5" spans="1:18" ht="20.25" customHeight="1" thickBot="1">
      <c r="A5" t="s">
        <v>4</v>
      </c>
      <c r="B5" s="24">
        <v>84.692649343862158</v>
      </c>
      <c r="D5" s="8"/>
      <c r="E5" s="9" t="s">
        <v>1</v>
      </c>
      <c r="F5" s="9" t="s">
        <v>2</v>
      </c>
      <c r="G5" s="17"/>
      <c r="H5" s="17"/>
      <c r="I5" s="1" t="str">
        <f t="shared" si="1"/>
        <v/>
      </c>
      <c r="J5" s="1" t="str">
        <f t="shared" si="0"/>
        <v/>
      </c>
      <c r="K5" s="1">
        <f t="shared" si="2"/>
        <v>0</v>
      </c>
    </row>
    <row r="6" spans="1:18" ht="15" customHeight="1">
      <c r="A6" t="s">
        <v>28</v>
      </c>
      <c r="B6" s="24">
        <v>85.347134487157248</v>
      </c>
      <c r="D6" s="6" t="s">
        <v>32</v>
      </c>
      <c r="E6" s="7"/>
      <c r="F6" s="7"/>
      <c r="G6" s="17">
        <v>4</v>
      </c>
      <c r="H6" s="17">
        <v>2</v>
      </c>
      <c r="I6" s="1">
        <f t="shared" si="1"/>
        <v>2</v>
      </c>
      <c r="J6" s="1">
        <f t="shared" si="0"/>
        <v>-0.11153294793496116</v>
      </c>
      <c r="K6" s="1">
        <f t="shared" si="2"/>
        <v>4.4585713902149076</v>
      </c>
    </row>
    <row r="7" spans="1:18" ht="21" customHeight="1" thickBot="1">
      <c r="A7" t="s">
        <v>20</v>
      </c>
      <c r="B7" s="24">
        <v>84.432567381361238</v>
      </c>
      <c r="D7" s="8"/>
      <c r="E7" s="9" t="s">
        <v>3</v>
      </c>
      <c r="F7" s="9" t="s">
        <v>4</v>
      </c>
      <c r="G7" s="17"/>
      <c r="H7" s="17"/>
      <c r="I7" s="1" t="str">
        <f t="shared" si="1"/>
        <v/>
      </c>
      <c r="J7" s="1" t="str">
        <f t="shared" si="0"/>
        <v/>
      </c>
      <c r="K7" s="1">
        <f t="shared" si="2"/>
        <v>0</v>
      </c>
      <c r="O7" s="1" t="s">
        <v>429</v>
      </c>
    </row>
    <row r="8" spans="1:18" ht="15" customHeight="1">
      <c r="A8" t="s">
        <v>22</v>
      </c>
      <c r="B8" s="24">
        <v>85.013821779926928</v>
      </c>
      <c r="D8" s="6" t="s">
        <v>32</v>
      </c>
      <c r="E8" s="7"/>
      <c r="F8" s="7"/>
      <c r="G8" s="17">
        <v>4</v>
      </c>
      <c r="H8" s="17">
        <v>0</v>
      </c>
      <c r="I8" s="1">
        <f t="shared" si="1"/>
        <v>4</v>
      </c>
      <c r="J8" s="1">
        <f t="shared" si="0"/>
        <v>-0.13570153456291223</v>
      </c>
      <c r="K8" s="1">
        <f t="shared" si="2"/>
        <v>17.104027182986027</v>
      </c>
    </row>
    <row r="9" spans="1:18" ht="15.75" thickBot="1">
      <c r="A9" t="s">
        <v>7</v>
      </c>
      <c r="B9" s="24">
        <v>85.272156649318319</v>
      </c>
      <c r="D9" s="8"/>
      <c r="E9" s="9" t="s">
        <v>33</v>
      </c>
      <c r="F9" s="9" t="s">
        <v>34</v>
      </c>
      <c r="G9" s="17"/>
      <c r="H9" s="17"/>
      <c r="I9" s="1" t="str">
        <f t="shared" si="1"/>
        <v/>
      </c>
      <c r="J9" s="1" t="str">
        <f t="shared" si="0"/>
        <v/>
      </c>
      <c r="K9" s="1">
        <f t="shared" si="2"/>
        <v>0</v>
      </c>
    </row>
    <row r="10" spans="1:18" ht="15" customHeight="1">
      <c r="A10" t="s">
        <v>21</v>
      </c>
      <c r="B10" s="24">
        <v>85.053003348606694</v>
      </c>
      <c r="D10" s="6" t="s">
        <v>35</v>
      </c>
      <c r="E10" s="7"/>
      <c r="F10" s="7"/>
      <c r="G10" s="17">
        <v>3</v>
      </c>
      <c r="H10" s="17">
        <v>1</v>
      </c>
      <c r="I10" s="1">
        <f t="shared" si="1"/>
        <v>2</v>
      </c>
      <c r="J10" s="1">
        <f t="shared" si="0"/>
        <v>1.0560585024282574</v>
      </c>
      <c r="K10" s="1">
        <f t="shared" si="2"/>
        <v>0.89102555083798418</v>
      </c>
    </row>
    <row r="11" spans="1:18" ht="15.75" thickBot="1">
      <c r="A11" t="s">
        <v>13</v>
      </c>
      <c r="B11" s="24">
        <v>84.854221314066166</v>
      </c>
      <c r="D11" s="8"/>
      <c r="E11" s="9" t="s">
        <v>7</v>
      </c>
      <c r="F11" s="9" t="s">
        <v>8</v>
      </c>
      <c r="G11" s="17"/>
      <c r="H11" s="17"/>
      <c r="I11" s="1" t="str">
        <f t="shared" si="1"/>
        <v/>
      </c>
      <c r="J11" s="1" t="str">
        <f t="shared" si="0"/>
        <v/>
      </c>
      <c r="K11" s="1">
        <f t="shared" si="2"/>
        <v>0</v>
      </c>
    </row>
    <row r="12" spans="1:18" ht="15" customHeight="1">
      <c r="A12" t="s">
        <v>24</v>
      </c>
      <c r="B12" s="24">
        <v>85.861880801617573</v>
      </c>
      <c r="D12" s="6" t="s">
        <v>35</v>
      </c>
      <c r="E12" s="7"/>
      <c r="F12" s="7"/>
      <c r="G12" s="17">
        <v>6</v>
      </c>
      <c r="H12" s="17">
        <v>4</v>
      </c>
      <c r="I12" s="1">
        <f t="shared" si="1"/>
        <v>2</v>
      </c>
      <c r="J12" s="1">
        <f t="shared" si="0"/>
        <v>-7.995067162934788E-2</v>
      </c>
      <c r="K12" s="1">
        <f t="shared" si="2"/>
        <v>4.3261947964113752</v>
      </c>
    </row>
    <row r="13" spans="1:18" ht="30.75" thickBot="1">
      <c r="A13" t="s">
        <v>14</v>
      </c>
      <c r="B13" s="24">
        <v>85.241095544191879</v>
      </c>
      <c r="D13" s="8"/>
      <c r="E13" s="9" t="s">
        <v>36</v>
      </c>
      <c r="F13" s="9" t="s">
        <v>1</v>
      </c>
      <c r="G13" s="17"/>
      <c r="H13" s="17"/>
      <c r="I13" s="1" t="str">
        <f t="shared" si="1"/>
        <v/>
      </c>
      <c r="J13" s="1" t="str">
        <f t="shared" si="0"/>
        <v/>
      </c>
      <c r="K13" s="1">
        <f t="shared" si="2"/>
        <v>0</v>
      </c>
    </row>
    <row r="14" spans="1:18" ht="15" customHeight="1">
      <c r="A14" t="s">
        <v>6</v>
      </c>
      <c r="B14" s="24">
        <v>84.879881947033894</v>
      </c>
      <c r="D14" s="6" t="s">
        <v>35</v>
      </c>
      <c r="E14" s="7"/>
      <c r="F14" s="7"/>
      <c r="G14" s="17">
        <v>4</v>
      </c>
      <c r="H14" s="17">
        <v>6</v>
      </c>
      <c r="I14" s="1">
        <f t="shared" si="1"/>
        <v>-2</v>
      </c>
      <c r="J14" s="1">
        <f t="shared" si="0"/>
        <v>-0.79914836333078654</v>
      </c>
      <c r="K14" s="1">
        <f t="shared" si="2"/>
        <v>1.4420446532911286</v>
      </c>
    </row>
    <row r="15" spans="1:18" ht="15.75" thickBot="1">
      <c r="A15" t="s">
        <v>23</v>
      </c>
      <c r="B15" s="24">
        <v>84.558509389146565</v>
      </c>
      <c r="D15" s="8"/>
      <c r="E15" s="9" t="s">
        <v>10</v>
      </c>
      <c r="F15" s="9" t="s">
        <v>11</v>
      </c>
      <c r="G15" s="17"/>
      <c r="H15" s="17"/>
      <c r="I15" s="1" t="str">
        <f t="shared" si="1"/>
        <v/>
      </c>
      <c r="J15" s="1" t="str">
        <f t="shared" si="0"/>
        <v/>
      </c>
      <c r="K15" s="1">
        <f t="shared" si="2"/>
        <v>0</v>
      </c>
    </row>
    <row r="16" spans="1:18" ht="15" customHeight="1">
      <c r="A16" t="s">
        <v>430</v>
      </c>
      <c r="B16" s="24">
        <v>84.634788831985787</v>
      </c>
      <c r="D16" s="6" t="s">
        <v>35</v>
      </c>
      <c r="E16" s="7"/>
      <c r="F16" s="7"/>
      <c r="G16" s="17">
        <v>2</v>
      </c>
      <c r="H16" s="17">
        <v>1</v>
      </c>
      <c r="I16" s="1">
        <f t="shared" si="1"/>
        <v>1</v>
      </c>
      <c r="J16" s="1">
        <f t="shared" si="0"/>
        <v>-9.4108916957921451E-2</v>
      </c>
      <c r="K16" s="1">
        <f t="shared" si="2"/>
        <v>1.1970743221668358</v>
      </c>
    </row>
    <row r="17" spans="1:11" ht="30.75" thickBot="1">
      <c r="A17" t="s">
        <v>19</v>
      </c>
      <c r="B17" s="24">
        <v>84.56786728740262</v>
      </c>
      <c r="D17" s="8"/>
      <c r="E17" s="9" t="s">
        <v>443</v>
      </c>
      <c r="F17" s="9" t="s">
        <v>12</v>
      </c>
      <c r="G17" s="17"/>
      <c r="H17" s="17"/>
      <c r="I17" s="1" t="str">
        <f t="shared" si="1"/>
        <v/>
      </c>
      <c r="J17" s="1" t="str">
        <f t="shared" si="0"/>
        <v/>
      </c>
      <c r="K17" s="1">
        <f t="shared" si="2"/>
        <v>0</v>
      </c>
    </row>
    <row r="18" spans="1:11" ht="18" customHeight="1">
      <c r="A18" t="s">
        <v>9</v>
      </c>
      <c r="B18" s="24">
        <v>85.33141419767675</v>
      </c>
      <c r="D18" s="6" t="s">
        <v>35</v>
      </c>
      <c r="E18" s="7"/>
      <c r="F18" s="7"/>
      <c r="G18" s="17">
        <v>1</v>
      </c>
      <c r="H18" s="17">
        <v>2</v>
      </c>
      <c r="I18" s="1">
        <f t="shared" si="1"/>
        <v>-1</v>
      </c>
      <c r="J18" s="1">
        <f t="shared" si="0"/>
        <v>-6.3981103375752468E-2</v>
      </c>
      <c r="K18" s="1">
        <f t="shared" si="2"/>
        <v>0.87613137483767378</v>
      </c>
    </row>
    <row r="19" spans="1:11" ht="15.75" thickBot="1">
      <c r="A19" t="s">
        <v>27</v>
      </c>
      <c r="B19" s="24">
        <v>85.372907708176413</v>
      </c>
      <c r="D19" s="8"/>
      <c r="E19" s="9" t="s">
        <v>2</v>
      </c>
      <c r="F19" s="9" t="s">
        <v>13</v>
      </c>
      <c r="G19" s="17"/>
      <c r="H19" s="17"/>
      <c r="I19" s="1" t="str">
        <f t="shared" si="1"/>
        <v/>
      </c>
      <c r="J19" s="1" t="str">
        <f t="shared" si="0"/>
        <v/>
      </c>
      <c r="K19" s="1">
        <f t="shared" si="2"/>
        <v>0</v>
      </c>
    </row>
    <row r="20" spans="1:11" ht="15" customHeight="1">
      <c r="A20" t="s">
        <v>16</v>
      </c>
      <c r="B20" s="24">
        <v>84.439541672686488</v>
      </c>
      <c r="D20" s="6" t="s">
        <v>35</v>
      </c>
      <c r="E20" s="7"/>
      <c r="F20" s="7"/>
      <c r="G20" s="17">
        <v>2</v>
      </c>
      <c r="H20" s="17">
        <v>3</v>
      </c>
      <c r="I20" s="1">
        <f t="shared" si="1"/>
        <v>-1</v>
      </c>
      <c r="J20" s="1">
        <f t="shared" si="0"/>
        <v>-0.80265035682330677</v>
      </c>
      <c r="K20" s="1">
        <f t="shared" si="2"/>
        <v>3.8946881661968143E-2</v>
      </c>
    </row>
    <row r="21" spans="1:11" ht="15.75" thickBot="1">
      <c r="A21" t="s">
        <v>18</v>
      </c>
      <c r="B21" s="24">
        <v>84.822257830980675</v>
      </c>
      <c r="D21" s="8"/>
      <c r="E21" s="9" t="s">
        <v>14</v>
      </c>
      <c r="F21" s="9" t="s">
        <v>37</v>
      </c>
      <c r="G21" s="17"/>
      <c r="H21" s="17"/>
      <c r="I21" s="1" t="str">
        <f t="shared" si="1"/>
        <v/>
      </c>
      <c r="J21" s="1" t="str">
        <f t="shared" si="0"/>
        <v/>
      </c>
      <c r="K21" s="1">
        <f t="shared" si="2"/>
        <v>0</v>
      </c>
    </row>
    <row r="22" spans="1:11" ht="15" customHeight="1">
      <c r="A22" t="s">
        <v>1</v>
      </c>
      <c r="B22" s="24">
        <v>85.251463526047402</v>
      </c>
      <c r="D22" s="6" t="s">
        <v>35</v>
      </c>
      <c r="E22" s="7"/>
      <c r="F22" s="7"/>
      <c r="G22" s="17">
        <v>3</v>
      </c>
      <c r="H22" s="17">
        <v>2</v>
      </c>
      <c r="I22" s="1">
        <f t="shared" si="1"/>
        <v>1</v>
      </c>
      <c r="J22" s="1">
        <f t="shared" si="0"/>
        <v>2.7196235033159155E-2</v>
      </c>
      <c r="K22" s="1">
        <f t="shared" si="2"/>
        <v>0.94634716513366057</v>
      </c>
    </row>
    <row r="23" spans="1:11" ht="15.75" thickBot="1">
      <c r="A23" t="s">
        <v>177</v>
      </c>
      <c r="B23" s="24">
        <v>85.347807451801742</v>
      </c>
      <c r="D23" s="8"/>
      <c r="E23" s="9" t="s">
        <v>38</v>
      </c>
      <c r="F23" s="9" t="s">
        <v>39</v>
      </c>
      <c r="G23" s="17"/>
      <c r="H23" s="17"/>
      <c r="I23" s="1" t="str">
        <f t="shared" si="1"/>
        <v/>
      </c>
      <c r="J23" s="1" t="str">
        <f t="shared" si="0"/>
        <v/>
      </c>
      <c r="K23" s="1">
        <f t="shared" si="2"/>
        <v>0</v>
      </c>
    </row>
    <row r="24" spans="1:11" ht="15" customHeight="1">
      <c r="A24" t="s">
        <v>11</v>
      </c>
      <c r="B24" s="24">
        <v>84.703329894020342</v>
      </c>
      <c r="D24" s="6" t="s">
        <v>35</v>
      </c>
      <c r="E24" s="7"/>
      <c r="F24" s="7"/>
      <c r="G24" s="17">
        <v>2</v>
      </c>
      <c r="H24" s="17">
        <v>3</v>
      </c>
      <c r="I24" s="1">
        <f t="shared" si="1"/>
        <v>-1</v>
      </c>
      <c r="J24" s="1">
        <f t="shared" si="0"/>
        <v>-0.25439054357805446</v>
      </c>
      <c r="K24" s="1">
        <f t="shared" si="2"/>
        <v>0.55593346150582912</v>
      </c>
    </row>
    <row r="25" spans="1:11" ht="15.75" thickBot="1">
      <c r="A25" t="s">
        <v>5</v>
      </c>
      <c r="B25" s="24">
        <v>85.015583481596806</v>
      </c>
      <c r="D25" s="8"/>
      <c r="E25" s="9" t="s">
        <v>18</v>
      </c>
      <c r="F25" s="9" t="s">
        <v>19</v>
      </c>
      <c r="G25" s="17"/>
      <c r="H25" s="17"/>
      <c r="I25" s="1" t="str">
        <f t="shared" si="1"/>
        <v/>
      </c>
      <c r="J25" s="1" t="str">
        <f t="shared" si="0"/>
        <v/>
      </c>
      <c r="K25" s="1">
        <f t="shared" si="2"/>
        <v>0</v>
      </c>
    </row>
    <row r="26" spans="1:11" ht="18" customHeight="1">
      <c r="A26" t="s">
        <v>17</v>
      </c>
      <c r="B26" s="24">
        <v>84.466737907719647</v>
      </c>
      <c r="D26" s="6" t="s">
        <v>35</v>
      </c>
      <c r="E26" s="7"/>
      <c r="F26" s="7"/>
      <c r="G26" s="17">
        <v>3</v>
      </c>
      <c r="H26" s="17">
        <v>2</v>
      </c>
      <c r="I26" s="1">
        <f t="shared" si="1"/>
        <v>1</v>
      </c>
      <c r="J26" s="1">
        <f t="shared" si="0"/>
        <v>0.6204359672454558</v>
      </c>
      <c r="K26" s="1">
        <f t="shared" si="2"/>
        <v>0.14406885496089269</v>
      </c>
    </row>
    <row r="27" spans="1:11" ht="15.75" thickBot="1">
      <c r="A27" t="s">
        <v>15</v>
      </c>
      <c r="B27" s="24">
        <v>84.438445187368572</v>
      </c>
      <c r="D27" s="8"/>
      <c r="E27" s="9" t="s">
        <v>20</v>
      </c>
      <c r="F27" s="9" t="s">
        <v>21</v>
      </c>
      <c r="G27" s="17"/>
      <c r="H27" s="17"/>
      <c r="I27" s="1" t="str">
        <f t="shared" si="1"/>
        <v/>
      </c>
      <c r="J27" s="1" t="str">
        <f t="shared" si="0"/>
        <v/>
      </c>
      <c r="K27" s="1">
        <f t="shared" si="2"/>
        <v>0</v>
      </c>
    </row>
    <row r="28" spans="1:11" ht="15" customHeight="1">
      <c r="A28" t="s">
        <v>0</v>
      </c>
      <c r="B28" s="24">
        <v>85.530082434087518</v>
      </c>
      <c r="D28" s="6" t="s">
        <v>35</v>
      </c>
      <c r="E28" s="7"/>
      <c r="F28" s="7"/>
      <c r="G28" s="17">
        <v>0</v>
      </c>
      <c r="H28" s="17">
        <v>5</v>
      </c>
      <c r="I28" s="1">
        <f t="shared" si="1"/>
        <v>-5</v>
      </c>
      <c r="J28" s="1">
        <f t="shared" si="0"/>
        <v>-0.45531239078036378</v>
      </c>
      <c r="K28" s="1">
        <f t="shared" si="2"/>
        <v>20.654185465394495</v>
      </c>
    </row>
    <row r="29" spans="1:11" ht="15.75" thickBot="1">
      <c r="A29" t="s">
        <v>3</v>
      </c>
      <c r="B29" s="24">
        <v>84.804182291797119</v>
      </c>
      <c r="D29" s="8"/>
      <c r="E29" s="9" t="s">
        <v>22</v>
      </c>
      <c r="F29" s="9" t="s">
        <v>23</v>
      </c>
      <c r="G29" s="17"/>
      <c r="H29" s="17"/>
      <c r="I29" s="1" t="str">
        <f t="shared" si="1"/>
        <v/>
      </c>
      <c r="J29" s="1" t="str">
        <f t="shared" si="0"/>
        <v/>
      </c>
      <c r="K29" s="1">
        <f t="shared" si="2"/>
        <v>0</v>
      </c>
    </row>
    <row r="30" spans="1:11" ht="15" customHeight="1">
      <c r="A30" t="s">
        <v>12</v>
      </c>
      <c r="B30" s="24">
        <v>84.540679915027866</v>
      </c>
      <c r="D30" s="6" t="s">
        <v>35</v>
      </c>
      <c r="E30" s="7"/>
      <c r="F30" s="7"/>
      <c r="G30" s="17">
        <v>5</v>
      </c>
      <c r="H30" s="17">
        <v>2</v>
      </c>
      <c r="I30" s="1">
        <f t="shared" si="1"/>
        <v>3</v>
      </c>
      <c r="J30" s="1">
        <f t="shared" si="0"/>
        <v>1.1692314577554157</v>
      </c>
      <c r="K30" s="1">
        <f t="shared" si="2"/>
        <v>3.3517134552723604</v>
      </c>
    </row>
    <row r="31" spans="1:11" ht="15.75" thickBot="1">
      <c r="A31" t="s">
        <v>25</v>
      </c>
      <c r="B31" s="24">
        <v>84.777092564648797</v>
      </c>
      <c r="D31" s="8"/>
      <c r="E31" s="9" t="s">
        <v>4</v>
      </c>
      <c r="F31" s="9" t="s">
        <v>24</v>
      </c>
      <c r="G31" s="17"/>
      <c r="H31" s="17"/>
      <c r="I31" s="1" t="str">
        <f t="shared" si="1"/>
        <v/>
      </c>
      <c r="J31" s="1" t="str">
        <f t="shared" si="0"/>
        <v/>
      </c>
      <c r="K31" s="1">
        <f t="shared" si="2"/>
        <v>0</v>
      </c>
    </row>
    <row r="32" spans="1:11" ht="15" customHeight="1">
      <c r="D32" s="6" t="s">
        <v>35</v>
      </c>
      <c r="E32" s="7"/>
      <c r="F32" s="7"/>
      <c r="G32" s="17">
        <v>6</v>
      </c>
      <c r="H32" s="17">
        <v>2</v>
      </c>
      <c r="I32" s="1">
        <f t="shared" si="1"/>
        <v>4</v>
      </c>
      <c r="J32" s="1">
        <f t="shared" si="0"/>
        <v>0.72538569270233211</v>
      </c>
      <c r="K32" s="1">
        <f t="shared" si="2"/>
        <v>10.723098861558585</v>
      </c>
    </row>
    <row r="33" spans="1:11" ht="15.75" thickBot="1">
      <c r="A33" s="1" t="s">
        <v>189</v>
      </c>
      <c r="B33" s="24">
        <v>0</v>
      </c>
      <c r="D33" s="8"/>
      <c r="E33" s="9" t="s">
        <v>25</v>
      </c>
      <c r="F33" s="9" t="s">
        <v>26</v>
      </c>
      <c r="G33" s="17"/>
      <c r="H33" s="17"/>
      <c r="I33" s="1" t="str">
        <f t="shared" si="1"/>
        <v/>
      </c>
      <c r="J33" s="1" t="str">
        <f t="shared" si="0"/>
        <v/>
      </c>
      <c r="K33" s="1">
        <f t="shared" si="2"/>
        <v>0</v>
      </c>
    </row>
    <row r="34" spans="1:11" ht="15" customHeight="1">
      <c r="D34" s="6" t="s">
        <v>40</v>
      </c>
      <c r="E34" s="7"/>
      <c r="F34" s="7"/>
      <c r="G34" s="17">
        <v>5</v>
      </c>
      <c r="H34" s="17">
        <v>3</v>
      </c>
      <c r="I34" s="1">
        <f t="shared" si="1"/>
        <v>2</v>
      </c>
      <c r="J34" s="1">
        <f t="shared" si="0"/>
        <v>0.90759281447076035</v>
      </c>
      <c r="K34" s="1">
        <f t="shared" si="2"/>
        <v>1.1933534589959147</v>
      </c>
    </row>
    <row r="35" spans="1:11" ht="15.75" thickBot="1">
      <c r="D35" s="8"/>
      <c r="E35" s="9" t="s">
        <v>41</v>
      </c>
      <c r="F35" s="9" t="s">
        <v>28</v>
      </c>
      <c r="G35" s="17"/>
      <c r="H35" s="17"/>
      <c r="I35" s="1" t="str">
        <f t="shared" si="1"/>
        <v/>
      </c>
      <c r="J35" s="1" t="str">
        <f t="shared" si="0"/>
        <v/>
      </c>
      <c r="K35" s="1">
        <f t="shared" si="2"/>
        <v>0</v>
      </c>
    </row>
    <row r="36" spans="1:11" ht="15" customHeight="1">
      <c r="D36" s="6" t="s">
        <v>42</v>
      </c>
      <c r="E36" s="7"/>
      <c r="F36" s="7"/>
      <c r="G36" s="17">
        <v>4</v>
      </c>
      <c r="H36" s="17">
        <v>0</v>
      </c>
      <c r="I36" s="1">
        <f t="shared" si="1"/>
        <v>4</v>
      </c>
      <c r="J36" s="1">
        <f t="shared" si="0"/>
        <v>0.3775225024140525</v>
      </c>
      <c r="K36" s="1">
        <f t="shared" si="2"/>
        <v>13.122343220516548</v>
      </c>
    </row>
    <row r="37" spans="1:11" ht="15.75" thickBot="1">
      <c r="D37" s="8"/>
      <c r="E37" s="9" t="s">
        <v>12</v>
      </c>
      <c r="F37" s="9" t="s">
        <v>2</v>
      </c>
      <c r="G37" s="17"/>
      <c r="H37" s="17"/>
      <c r="I37" s="1" t="str">
        <f t="shared" si="1"/>
        <v/>
      </c>
      <c r="J37" s="1" t="str">
        <f t="shared" si="0"/>
        <v/>
      </c>
      <c r="K37" s="1">
        <f t="shared" si="2"/>
        <v>0</v>
      </c>
    </row>
    <row r="38" spans="1:11" ht="15" customHeight="1">
      <c r="D38" s="6" t="s">
        <v>42</v>
      </c>
      <c r="E38" s="7"/>
      <c r="F38" s="7"/>
      <c r="G38" s="17">
        <v>5</v>
      </c>
      <c r="H38" s="17">
        <v>2</v>
      </c>
      <c r="I38" s="1">
        <f t="shared" si="1"/>
        <v>3</v>
      </c>
      <c r="J38" s="1">
        <f t="shared" si="0"/>
        <v>0.8267525400671758</v>
      </c>
      <c r="K38" s="1">
        <f t="shared" si="2"/>
        <v>4.7230045221044721</v>
      </c>
    </row>
    <row r="39" spans="1:11" ht="15.75" thickBot="1">
      <c r="D39" s="8"/>
      <c r="E39" s="9" t="s">
        <v>11</v>
      </c>
      <c r="F39" s="9" t="s">
        <v>0</v>
      </c>
      <c r="G39" s="17"/>
      <c r="H39" s="17"/>
      <c r="I39" s="1" t="str">
        <f t="shared" si="1"/>
        <v/>
      </c>
      <c r="J39" s="1" t="str">
        <f t="shared" si="0"/>
        <v/>
      </c>
      <c r="K39" s="1">
        <f t="shared" si="2"/>
        <v>0</v>
      </c>
    </row>
    <row r="40" spans="1:11" ht="15" customHeight="1">
      <c r="D40" s="6" t="s">
        <v>42</v>
      </c>
      <c r="E40" s="7"/>
      <c r="F40" s="7"/>
      <c r="G40" s="17">
        <v>3</v>
      </c>
      <c r="H40" s="17">
        <v>2</v>
      </c>
      <c r="I40" s="1">
        <f t="shared" si="1"/>
        <v>1</v>
      </c>
      <c r="J40" s="1">
        <f t="shared" si="0"/>
        <v>-0.64825694328496297</v>
      </c>
      <c r="K40" s="1">
        <f t="shared" si="2"/>
        <v>2.7167509510870897</v>
      </c>
    </row>
    <row r="41" spans="1:11" ht="15.75" thickBot="1">
      <c r="D41" s="8"/>
      <c r="E41" s="9" t="s">
        <v>10</v>
      </c>
      <c r="F41" s="9" t="s">
        <v>13</v>
      </c>
      <c r="G41" s="17"/>
      <c r="H41" s="17"/>
      <c r="I41" s="1" t="str">
        <f t="shared" si="1"/>
        <v/>
      </c>
      <c r="J41" s="1" t="str">
        <f t="shared" si="0"/>
        <v/>
      </c>
      <c r="K41" s="1">
        <f t="shared" si="2"/>
        <v>0</v>
      </c>
    </row>
    <row r="42" spans="1:11" ht="15" customHeight="1">
      <c r="D42" s="6" t="s">
        <v>42</v>
      </c>
      <c r="E42" s="7"/>
      <c r="F42" s="7"/>
      <c r="G42" s="17">
        <v>3</v>
      </c>
      <c r="H42" s="17">
        <v>2</v>
      </c>
      <c r="I42" s="1">
        <f t="shared" si="1"/>
        <v>1</v>
      </c>
      <c r="J42" s="1">
        <f t="shared" si="0"/>
        <v>-0.38381264361210299</v>
      </c>
      <c r="K42" s="1">
        <f t="shared" si="2"/>
        <v>1.9149374326207171</v>
      </c>
    </row>
    <row r="43" spans="1:11" ht="15.75" thickBot="1">
      <c r="D43" s="8"/>
      <c r="E43" s="9" t="s">
        <v>18</v>
      </c>
      <c r="F43" s="9" t="s">
        <v>37</v>
      </c>
      <c r="G43" s="17"/>
      <c r="H43" s="17"/>
      <c r="I43" s="1" t="str">
        <f t="shared" si="1"/>
        <v/>
      </c>
      <c r="J43" s="1" t="str">
        <f t="shared" si="0"/>
        <v/>
      </c>
      <c r="K43" s="1">
        <f t="shared" si="2"/>
        <v>0</v>
      </c>
    </row>
    <row r="44" spans="1:11" ht="15" customHeight="1">
      <c r="D44" s="6" t="s">
        <v>42</v>
      </c>
      <c r="E44" s="7"/>
      <c r="F44" s="7"/>
      <c r="G44" s="17">
        <v>5</v>
      </c>
      <c r="H44" s="17">
        <v>1</v>
      </c>
      <c r="I44" s="1">
        <f t="shared" si="1"/>
        <v>4</v>
      </c>
      <c r="J44" s="1">
        <f t="shared" si="0"/>
        <v>-9.0318653484871447E-2</v>
      </c>
      <c r="K44" s="1">
        <f t="shared" si="2"/>
        <v>16.730706687046293</v>
      </c>
    </row>
    <row r="45" spans="1:11" ht="15.75" thickBot="1">
      <c r="D45" s="8"/>
      <c r="E45" s="9" t="s">
        <v>36</v>
      </c>
      <c r="F45" s="9" t="s">
        <v>14</v>
      </c>
      <c r="G45" s="17"/>
      <c r="H45" s="17"/>
      <c r="I45" s="1" t="str">
        <f t="shared" si="1"/>
        <v/>
      </c>
      <c r="J45" s="1" t="str">
        <f t="shared" si="0"/>
        <v/>
      </c>
      <c r="K45" s="1">
        <f t="shared" si="2"/>
        <v>0</v>
      </c>
    </row>
    <row r="46" spans="1:11" ht="15" customHeight="1">
      <c r="D46" s="6" t="s">
        <v>42</v>
      </c>
      <c r="E46" s="7"/>
      <c r="F46" s="7"/>
      <c r="G46" s="17">
        <v>3</v>
      </c>
      <c r="H46" s="17">
        <v>4</v>
      </c>
      <c r="I46" s="1">
        <f t="shared" si="1"/>
        <v>-1</v>
      </c>
      <c r="J46" s="1">
        <f t="shared" si="0"/>
        <v>-0.90759281447076035</v>
      </c>
      <c r="K46" s="1">
        <f t="shared" si="2"/>
        <v>8.5390879374353194E-3</v>
      </c>
    </row>
    <row r="47" spans="1:11" ht="15.75" thickBot="1">
      <c r="D47" s="8"/>
      <c r="E47" s="9" t="s">
        <v>28</v>
      </c>
      <c r="F47" s="9" t="s">
        <v>41</v>
      </c>
      <c r="G47" s="17"/>
      <c r="H47" s="17"/>
      <c r="I47" s="1" t="str">
        <f t="shared" si="1"/>
        <v/>
      </c>
      <c r="J47" s="1" t="str">
        <f t="shared" si="0"/>
        <v/>
      </c>
      <c r="K47" s="1">
        <f t="shared" si="2"/>
        <v>0</v>
      </c>
    </row>
    <row r="48" spans="1:11" ht="15" customHeight="1">
      <c r="D48" s="6" t="s">
        <v>42</v>
      </c>
      <c r="E48" s="7"/>
      <c r="F48" s="7"/>
      <c r="G48" s="17">
        <v>4</v>
      </c>
      <c r="H48" s="17">
        <v>3</v>
      </c>
      <c r="I48" s="1">
        <f t="shared" si="1"/>
        <v>1</v>
      </c>
      <c r="J48" s="1">
        <f t="shared" si="0"/>
        <v>0.61667469406161501</v>
      </c>
      <c r="K48" s="1">
        <f t="shared" si="2"/>
        <v>0.14693829017275645</v>
      </c>
    </row>
    <row r="49" spans="4:11" ht="30.75" thickBot="1">
      <c r="D49" s="8"/>
      <c r="E49" s="9" t="s">
        <v>443</v>
      </c>
      <c r="F49" s="9" t="s">
        <v>1</v>
      </c>
      <c r="G49" s="17"/>
      <c r="H49" s="17"/>
      <c r="I49" s="1" t="str">
        <f t="shared" si="1"/>
        <v/>
      </c>
      <c r="J49" s="1" t="str">
        <f t="shared" si="0"/>
        <v/>
      </c>
      <c r="K49" s="1">
        <f t="shared" si="2"/>
        <v>0</v>
      </c>
    </row>
    <row r="50" spans="4:11" ht="15" customHeight="1">
      <c r="D50" s="6" t="s">
        <v>42</v>
      </c>
      <c r="E50" s="7"/>
      <c r="F50" s="7"/>
      <c r="G50" s="17">
        <v>2</v>
      </c>
      <c r="H50" s="17">
        <v>5</v>
      </c>
      <c r="I50" s="1">
        <f t="shared" si="1"/>
        <v>-3</v>
      </c>
      <c r="J50" s="1">
        <f t="shared" si="0"/>
        <v>0.83261497663183093</v>
      </c>
      <c r="K50" s="1">
        <f t="shared" si="2"/>
        <v>14.688937559102611</v>
      </c>
    </row>
    <row r="51" spans="4:11" ht="15.75" thickBot="1">
      <c r="D51" s="8"/>
      <c r="E51" s="9" t="s">
        <v>38</v>
      </c>
      <c r="F51" s="9" t="s">
        <v>7</v>
      </c>
      <c r="G51" s="17"/>
      <c r="H51" s="17"/>
      <c r="I51" s="1" t="str">
        <f t="shared" si="1"/>
        <v/>
      </c>
      <c r="J51" s="1" t="str">
        <f t="shared" si="0"/>
        <v/>
      </c>
      <c r="K51" s="1">
        <f t="shared" si="2"/>
        <v>0</v>
      </c>
    </row>
    <row r="52" spans="4:11" ht="18" customHeight="1">
      <c r="D52" s="6" t="s">
        <v>42</v>
      </c>
      <c r="E52" s="7"/>
      <c r="F52" s="7"/>
      <c r="G52" s="17">
        <v>1</v>
      </c>
      <c r="H52" s="17">
        <v>4</v>
      </c>
      <c r="I52" s="1">
        <f t="shared" si="1"/>
        <v>-3</v>
      </c>
      <c r="J52" s="1">
        <f t="shared" si="0"/>
        <v>-0.22591143614251052</v>
      </c>
      <c r="K52" s="1">
        <f t="shared" si="2"/>
        <v>7.6955673601249082</v>
      </c>
    </row>
    <row r="53" spans="4:11" ht="15.75" thickBot="1">
      <c r="D53" s="8"/>
      <c r="E53" s="9" t="s">
        <v>4</v>
      </c>
      <c r="F53" s="9" t="s">
        <v>39</v>
      </c>
      <c r="G53" s="17"/>
      <c r="H53" s="17"/>
      <c r="I53" s="1" t="str">
        <f t="shared" si="1"/>
        <v/>
      </c>
      <c r="J53" s="1" t="str">
        <f t="shared" si="0"/>
        <v/>
      </c>
      <c r="K53" s="1">
        <f t="shared" si="2"/>
        <v>0</v>
      </c>
    </row>
    <row r="54" spans="4:11" ht="15" customHeight="1">
      <c r="D54" s="6" t="s">
        <v>42</v>
      </c>
      <c r="E54" s="7"/>
      <c r="F54" s="7"/>
      <c r="G54" s="17">
        <v>1</v>
      </c>
      <c r="H54" s="17">
        <v>4</v>
      </c>
      <c r="I54" s="1">
        <f t="shared" si="1"/>
        <v>-3</v>
      </c>
      <c r="J54" s="1">
        <f t="shared" si="0"/>
        <v>-0.4851360612040736</v>
      </c>
      <c r="K54" s="1">
        <f t="shared" si="2"/>
        <v>6.3245406306561609</v>
      </c>
    </row>
    <row r="55" spans="4:11" ht="15.75" thickBot="1">
      <c r="D55" s="8"/>
      <c r="E55" s="9" t="s">
        <v>21</v>
      </c>
      <c r="F55" s="9" t="s">
        <v>19</v>
      </c>
      <c r="G55" s="17"/>
      <c r="H55" s="17"/>
      <c r="I55" s="1" t="str">
        <f t="shared" si="1"/>
        <v/>
      </c>
      <c r="J55" s="1" t="str">
        <f t="shared" si="0"/>
        <v/>
      </c>
      <c r="K55" s="1">
        <f t="shared" si="2"/>
        <v>0</v>
      </c>
    </row>
    <row r="56" spans="4:11" ht="15" customHeight="1">
      <c r="D56" s="6" t="s">
        <v>42</v>
      </c>
      <c r="E56" s="7"/>
      <c r="F56" s="7"/>
      <c r="G56" s="17">
        <v>2</v>
      </c>
      <c r="H56" s="17">
        <v>6</v>
      </c>
      <c r="I56" s="1">
        <f t="shared" si="1"/>
        <v>-4</v>
      </c>
      <c r="J56" s="1">
        <f t="shared" si="0"/>
        <v>-1.895647770385338</v>
      </c>
      <c r="K56" s="1">
        <f t="shared" si="2"/>
        <v>4.4282983062841987</v>
      </c>
    </row>
    <row r="57" spans="4:11" ht="15.75" thickBot="1">
      <c r="D57" s="8"/>
      <c r="E57" s="9" t="s">
        <v>8</v>
      </c>
      <c r="F57" s="9" t="s">
        <v>20</v>
      </c>
      <c r="G57" s="17"/>
      <c r="H57" s="17"/>
      <c r="I57" s="1" t="str">
        <f t="shared" si="1"/>
        <v/>
      </c>
      <c r="J57" s="1" t="str">
        <f t="shared" si="0"/>
        <v/>
      </c>
      <c r="K57" s="1">
        <f t="shared" si="2"/>
        <v>0</v>
      </c>
    </row>
    <row r="58" spans="4:11" ht="15" customHeight="1">
      <c r="D58" s="6" t="s">
        <v>42</v>
      </c>
      <c r="E58" s="7"/>
      <c r="F58" s="7"/>
      <c r="G58" s="17">
        <v>3</v>
      </c>
      <c r="H58" s="17">
        <v>0</v>
      </c>
      <c r="I58" s="1">
        <f t="shared" si="1"/>
        <v>3</v>
      </c>
      <c r="J58" s="1">
        <f t="shared" si="0"/>
        <v>0.45531239078036378</v>
      </c>
      <c r="K58" s="1">
        <f t="shared" si="2"/>
        <v>6.4754350285159479</v>
      </c>
    </row>
    <row r="59" spans="4:11" ht="15.75" thickBot="1">
      <c r="D59" s="8"/>
      <c r="E59" s="9" t="s">
        <v>23</v>
      </c>
      <c r="F59" s="9" t="s">
        <v>22</v>
      </c>
      <c r="G59" s="17"/>
      <c r="H59" s="17"/>
      <c r="I59" s="1" t="str">
        <f t="shared" si="1"/>
        <v/>
      </c>
      <c r="J59" s="1" t="str">
        <f t="shared" si="0"/>
        <v/>
      </c>
      <c r="K59" s="1">
        <f t="shared" si="2"/>
        <v>0</v>
      </c>
    </row>
    <row r="60" spans="4:11" ht="15" customHeight="1">
      <c r="D60" s="6" t="s">
        <v>42</v>
      </c>
      <c r="E60" s="7"/>
      <c r="F60" s="7"/>
      <c r="G60" s="17">
        <v>2</v>
      </c>
      <c r="H60" s="17">
        <v>3</v>
      </c>
      <c r="I60" s="1">
        <f t="shared" si="1"/>
        <v>-1</v>
      </c>
      <c r="J60" s="1">
        <f t="shared" si="0"/>
        <v>0.62259631031723472</v>
      </c>
      <c r="K60" s="1">
        <f t="shared" si="2"/>
        <v>2.632818786255104</v>
      </c>
    </row>
    <row r="61" spans="4:11" ht="15.75" thickBot="1">
      <c r="D61" s="8"/>
      <c r="E61" s="9" t="s">
        <v>34</v>
      </c>
      <c r="F61" s="9" t="s">
        <v>26</v>
      </c>
      <c r="G61" s="17"/>
      <c r="H61" s="17"/>
      <c r="I61" s="1" t="str">
        <f t="shared" si="1"/>
        <v/>
      </c>
      <c r="J61" s="1" t="str">
        <f t="shared" si="0"/>
        <v/>
      </c>
      <c r="K61" s="1">
        <f t="shared" si="2"/>
        <v>0</v>
      </c>
    </row>
    <row r="62" spans="4:11" ht="15" customHeight="1">
      <c r="D62" s="6" t="s">
        <v>42</v>
      </c>
      <c r="E62" s="7"/>
      <c r="F62" s="7"/>
      <c r="G62" s="17">
        <v>4</v>
      </c>
      <c r="H62" s="17">
        <v>5</v>
      </c>
      <c r="I62" s="1">
        <f t="shared" si="1"/>
        <v>-1</v>
      </c>
      <c r="J62" s="1">
        <f t="shared" si="0"/>
        <v>-1.0576985098204545</v>
      </c>
      <c r="K62" s="1">
        <f t="shared" si="2"/>
        <v>3.3291180355010897E-3</v>
      </c>
    </row>
    <row r="63" spans="4:11" ht="15.75" thickBot="1">
      <c r="D63" s="8"/>
      <c r="E63" s="9" t="s">
        <v>24</v>
      </c>
      <c r="F63" s="9" t="s">
        <v>3</v>
      </c>
      <c r="G63" s="17"/>
      <c r="H63" s="17"/>
      <c r="I63" s="1" t="str">
        <f t="shared" si="1"/>
        <v/>
      </c>
      <c r="J63" s="1" t="str">
        <f t="shared" si="0"/>
        <v/>
      </c>
      <c r="K63" s="1">
        <f t="shared" si="2"/>
        <v>0</v>
      </c>
    </row>
    <row r="64" spans="4:11" ht="15" customHeight="1">
      <c r="D64" s="6" t="s">
        <v>42</v>
      </c>
      <c r="E64" s="7"/>
      <c r="F64" s="7"/>
      <c r="G64" s="17">
        <v>0</v>
      </c>
      <c r="H64" s="17">
        <v>3</v>
      </c>
      <c r="I64" s="1">
        <f t="shared" si="1"/>
        <v>-3</v>
      </c>
      <c r="J64" s="1">
        <f t="shared" si="0"/>
        <v>0.23849091694800961</v>
      </c>
      <c r="K64" s="1">
        <f t="shared" si="2"/>
        <v>10.487823419154759</v>
      </c>
    </row>
    <row r="65" spans="4:11" ht="15.75" thickBot="1">
      <c r="D65" s="8"/>
      <c r="E65" s="9" t="s">
        <v>25</v>
      </c>
      <c r="F65" s="9" t="s">
        <v>33</v>
      </c>
      <c r="G65" s="17"/>
      <c r="H65" s="17"/>
      <c r="I65" s="1" t="str">
        <f t="shared" si="1"/>
        <v/>
      </c>
      <c r="J65" s="1" t="str">
        <f t="shared" si="0"/>
        <v/>
      </c>
      <c r="K65" s="1">
        <f t="shared" si="2"/>
        <v>0</v>
      </c>
    </row>
    <row r="66" spans="4:11" ht="15" customHeight="1">
      <c r="D66" s="6" t="s">
        <v>43</v>
      </c>
      <c r="E66" s="7"/>
      <c r="F66" s="7"/>
      <c r="G66" s="17">
        <v>6</v>
      </c>
      <c r="H66" s="17">
        <v>3</v>
      </c>
      <c r="I66" s="1">
        <f t="shared" si="1"/>
        <v>3</v>
      </c>
      <c r="J66" s="1">
        <f t="shared" si="0"/>
        <v>-1.0905407614010301</v>
      </c>
      <c r="K66" s="1">
        <f t="shared" si="2"/>
        <v>16.732523720683318</v>
      </c>
    </row>
    <row r="67" spans="4:11" ht="15.75" thickBot="1">
      <c r="D67" s="8"/>
      <c r="E67" s="9" t="s">
        <v>0</v>
      </c>
      <c r="F67" s="9" t="s">
        <v>38</v>
      </c>
      <c r="G67" s="17"/>
      <c r="H67" s="17"/>
      <c r="I67" s="1" t="str">
        <f t="shared" si="1"/>
        <v/>
      </c>
      <c r="J67" s="1" t="str">
        <f t="shared" ref="J67:J130" si="3">IF(F68="","",VLOOKUP(F68,$A$2:$B$31,2)+$B$33-VLOOKUP(E68,$A$2:$B$31,2))</f>
        <v/>
      </c>
      <c r="K67" s="1">
        <f t="shared" si="2"/>
        <v>0</v>
      </c>
    </row>
    <row r="68" spans="4:11" ht="15" customHeight="1">
      <c r="D68" s="6" t="s">
        <v>43</v>
      </c>
      <c r="E68" s="7"/>
      <c r="F68" s="7"/>
      <c r="G68" s="17">
        <v>1</v>
      </c>
      <c r="H68" s="17">
        <v>4</v>
      </c>
      <c r="I68" s="1">
        <f t="shared" ref="I68:I131" si="4">IF(G68="","",G68-H68)</f>
        <v>-3</v>
      </c>
      <c r="J68" s="1">
        <f t="shared" si="3"/>
        <v>0.10278938238509738</v>
      </c>
      <c r="K68" s="1">
        <f t="shared" ref="K68:K131" si="5">IF(J68="",0,(I68-J68)^2)</f>
        <v>9.6273019514416944</v>
      </c>
    </row>
    <row r="69" spans="4:11" ht="15.75" thickBot="1">
      <c r="D69" s="8"/>
      <c r="E69" s="9" t="s">
        <v>25</v>
      </c>
      <c r="F69" s="9" t="s">
        <v>34</v>
      </c>
      <c r="G69" s="17"/>
      <c r="H69" s="17"/>
      <c r="I69" s="1" t="str">
        <f t="shared" si="4"/>
        <v/>
      </c>
      <c r="J69" s="1" t="str">
        <f t="shared" si="3"/>
        <v/>
      </c>
      <c r="K69" s="1">
        <f t="shared" si="5"/>
        <v>0</v>
      </c>
    </row>
    <row r="70" spans="4:11" ht="15" customHeight="1">
      <c r="D70" s="6" t="s">
        <v>44</v>
      </c>
      <c r="E70" s="7"/>
      <c r="F70" s="7"/>
      <c r="G70" s="17">
        <v>2</v>
      </c>
      <c r="H70" s="17">
        <v>1</v>
      </c>
      <c r="I70" s="1">
        <f t="shared" si="4"/>
        <v>1</v>
      </c>
      <c r="J70" s="1">
        <f t="shared" si="3"/>
        <v>-9.5619362485010129E-2</v>
      </c>
      <c r="K70" s="1">
        <f t="shared" si="5"/>
        <v>1.2003817874520599</v>
      </c>
    </row>
    <row r="71" spans="4:11" ht="15.75" thickBot="1">
      <c r="D71" s="8"/>
      <c r="E71" s="9" t="s">
        <v>22</v>
      </c>
      <c r="F71" s="9" t="s">
        <v>2</v>
      </c>
      <c r="G71" s="17"/>
      <c r="H71" s="17"/>
      <c r="I71" s="1" t="str">
        <f t="shared" si="4"/>
        <v/>
      </c>
      <c r="J71" s="1" t="str">
        <f t="shared" si="3"/>
        <v/>
      </c>
      <c r="K71" s="1">
        <f t="shared" si="5"/>
        <v>0</v>
      </c>
    </row>
    <row r="72" spans="4:11" ht="15" customHeight="1">
      <c r="D72" s="6" t="s">
        <v>44</v>
      </c>
      <c r="E72" s="7"/>
      <c r="F72" s="7"/>
      <c r="G72" s="17">
        <v>5</v>
      </c>
      <c r="H72" s="17">
        <v>1</v>
      </c>
      <c r="I72" s="1">
        <f t="shared" si="4"/>
        <v>4</v>
      </c>
      <c r="J72" s="1">
        <f t="shared" si="3"/>
        <v>0.82573689439544751</v>
      </c>
      <c r="K72" s="1">
        <f t="shared" si="5"/>
        <v>10.075946263602258</v>
      </c>
    </row>
    <row r="73" spans="4:11" ht="15.75" thickBot="1">
      <c r="D73" s="8"/>
      <c r="E73" s="9" t="s">
        <v>10</v>
      </c>
      <c r="F73" s="9" t="s">
        <v>8</v>
      </c>
      <c r="G73" s="17"/>
      <c r="H73" s="17"/>
      <c r="I73" s="1" t="str">
        <f t="shared" si="4"/>
        <v/>
      </c>
      <c r="J73" s="1" t="str">
        <f t="shared" si="3"/>
        <v/>
      </c>
      <c r="K73" s="1">
        <f t="shared" si="5"/>
        <v>0</v>
      </c>
    </row>
    <row r="74" spans="4:11" ht="18" customHeight="1">
      <c r="D74" s="6" t="s">
        <v>44</v>
      </c>
      <c r="E74" s="7"/>
      <c r="F74" s="7"/>
      <c r="G74" s="17">
        <v>1</v>
      </c>
      <c r="H74" s="17">
        <v>0</v>
      </c>
      <c r="I74" s="1">
        <f t="shared" si="4"/>
        <v>1</v>
      </c>
      <c r="J74" s="1">
        <f t="shared" si="3"/>
        <v>0.41883771321120378</v>
      </c>
      <c r="K74" s="1">
        <f t="shared" si="5"/>
        <v>0.33774960358558304</v>
      </c>
    </row>
    <row r="75" spans="4:11" ht="15.75" thickBot="1">
      <c r="D75" s="8"/>
      <c r="E75" s="9" t="s">
        <v>18</v>
      </c>
      <c r="F75" s="9" t="s">
        <v>14</v>
      </c>
      <c r="G75" s="17"/>
      <c r="H75" s="17"/>
      <c r="I75" s="1" t="str">
        <f t="shared" si="4"/>
        <v/>
      </c>
      <c r="J75" s="1" t="str">
        <f t="shared" si="3"/>
        <v/>
      </c>
      <c r="K75" s="1">
        <f t="shared" si="5"/>
        <v>0</v>
      </c>
    </row>
    <row r="76" spans="4:11" ht="15" customHeight="1">
      <c r="D76" s="6" t="s">
        <v>44</v>
      </c>
      <c r="E76" s="7"/>
      <c r="F76" s="7"/>
      <c r="G76" s="17">
        <v>1</v>
      </c>
      <c r="H76" s="17">
        <v>7</v>
      </c>
      <c r="I76" s="1">
        <f t="shared" si="4"/>
        <v>-6</v>
      </c>
      <c r="J76" s="1">
        <f t="shared" si="3"/>
        <v>-0.19634364461721532</v>
      </c>
      <c r="K76" s="1">
        <f t="shared" si="5"/>
        <v>33.68242709137499</v>
      </c>
    </row>
    <row r="77" spans="4:11" ht="15.75" thickBot="1">
      <c r="D77" s="8"/>
      <c r="E77" s="9" t="s">
        <v>443</v>
      </c>
      <c r="F77" s="9" t="s">
        <v>37</v>
      </c>
      <c r="G77" s="17"/>
      <c r="H77" s="17"/>
      <c r="I77" s="1" t="str">
        <f t="shared" si="4"/>
        <v/>
      </c>
      <c r="J77" s="1" t="str">
        <f t="shared" si="3"/>
        <v/>
      </c>
      <c r="K77" s="1">
        <f t="shared" si="5"/>
        <v>0</v>
      </c>
    </row>
    <row r="78" spans="4:11" ht="15" customHeight="1">
      <c r="D78" s="6" t="s">
        <v>45</v>
      </c>
      <c r="E78" s="7"/>
      <c r="F78" s="7"/>
      <c r="G78" s="17">
        <v>6</v>
      </c>
      <c r="H78" s="17">
        <v>3</v>
      </c>
      <c r="I78" s="1">
        <f t="shared" si="4"/>
        <v>3</v>
      </c>
      <c r="J78" s="1">
        <f t="shared" si="3"/>
        <v>0</v>
      </c>
      <c r="K78" s="1">
        <f t="shared" si="5"/>
        <v>9</v>
      </c>
    </row>
    <row r="79" spans="4:11" ht="15.75" thickBot="1">
      <c r="D79" s="8"/>
      <c r="E79" s="9" t="s">
        <v>41</v>
      </c>
      <c r="F79" s="9" t="s">
        <v>38</v>
      </c>
      <c r="G79" s="17"/>
      <c r="H79" s="17"/>
      <c r="I79" s="1" t="str">
        <f t="shared" si="4"/>
        <v/>
      </c>
      <c r="J79" s="1" t="str">
        <f t="shared" si="3"/>
        <v/>
      </c>
      <c r="K79" s="1">
        <f t="shared" si="5"/>
        <v>0</v>
      </c>
    </row>
    <row r="80" spans="4:11" ht="15" customHeight="1">
      <c r="D80" s="6" t="s">
        <v>45</v>
      </c>
      <c r="E80" s="7"/>
      <c r="F80" s="7"/>
      <c r="G80" s="17">
        <v>4</v>
      </c>
      <c r="H80" s="17">
        <v>3</v>
      </c>
      <c r="I80" s="1">
        <f t="shared" si="4"/>
        <v>1</v>
      </c>
      <c r="J80" s="1">
        <f t="shared" si="3"/>
        <v>-0.25101473130372653</v>
      </c>
      <c r="K80" s="1">
        <f t="shared" si="5"/>
        <v>1.565037857938935</v>
      </c>
    </row>
    <row r="81" spans="4:11" ht="30.75" thickBot="1">
      <c r="D81" s="8"/>
      <c r="E81" s="9" t="s">
        <v>10</v>
      </c>
      <c r="F81" s="9" t="s">
        <v>1</v>
      </c>
      <c r="G81" s="17"/>
      <c r="H81" s="17"/>
      <c r="I81" s="1" t="str">
        <f t="shared" si="4"/>
        <v/>
      </c>
      <c r="J81" s="1" t="str">
        <f t="shared" si="3"/>
        <v/>
      </c>
      <c r="K81" s="1">
        <f t="shared" si="5"/>
        <v>0</v>
      </c>
    </row>
    <row r="82" spans="4:11" ht="15" customHeight="1">
      <c r="D82" s="6" t="s">
        <v>45</v>
      </c>
      <c r="E82" s="7"/>
      <c r="F82" s="7"/>
      <c r="G82" s="17">
        <v>6</v>
      </c>
      <c r="H82" s="17">
        <v>5</v>
      </c>
      <c r="I82" s="1">
        <f t="shared" si="4"/>
        <v>1</v>
      </c>
      <c r="J82" s="1">
        <f t="shared" si="3"/>
        <v>-0.47490356656894051</v>
      </c>
      <c r="K82" s="1">
        <f t="shared" si="5"/>
        <v>2.1753405306777811</v>
      </c>
    </row>
    <row r="83" spans="4:11" ht="30.75" thickBot="1">
      <c r="D83" s="8"/>
      <c r="E83" s="9" t="s">
        <v>33</v>
      </c>
      <c r="F83" s="9" t="s">
        <v>12</v>
      </c>
      <c r="G83" s="17"/>
      <c r="H83" s="17"/>
      <c r="I83" s="1" t="str">
        <f t="shared" si="4"/>
        <v/>
      </c>
      <c r="J83" s="1" t="str">
        <f t="shared" si="3"/>
        <v/>
      </c>
      <c r="K83" s="1">
        <f t="shared" si="5"/>
        <v>0</v>
      </c>
    </row>
    <row r="84" spans="4:11" ht="15" customHeight="1">
      <c r="D84" s="6" t="s">
        <v>45</v>
      </c>
      <c r="E84" s="7"/>
      <c r="F84" s="7"/>
      <c r="G84" s="17">
        <v>4</v>
      </c>
      <c r="H84" s="17">
        <v>2</v>
      </c>
      <c r="I84" s="1">
        <f t="shared" si="4"/>
        <v>2</v>
      </c>
      <c r="J84" s="1">
        <f t="shared" si="3"/>
        <v>0.21915330071162487</v>
      </c>
      <c r="K84" s="1">
        <f t="shared" si="5"/>
        <v>3.1714149663663003</v>
      </c>
    </row>
    <row r="85" spans="4:11" ht="15.75" thickBot="1">
      <c r="D85" s="8"/>
      <c r="E85" s="9" t="s">
        <v>21</v>
      </c>
      <c r="F85" s="9" t="s">
        <v>7</v>
      </c>
      <c r="G85" s="17"/>
      <c r="H85" s="17"/>
      <c r="I85" s="1" t="str">
        <f t="shared" si="4"/>
        <v/>
      </c>
      <c r="J85" s="1" t="str">
        <f t="shared" si="3"/>
        <v/>
      </c>
      <c r="K85" s="1">
        <f t="shared" si="5"/>
        <v>0</v>
      </c>
    </row>
    <row r="86" spans="4:11" ht="15" customHeight="1">
      <c r="D86" s="6" t="s">
        <v>45</v>
      </c>
      <c r="E86" s="7"/>
      <c r="F86" s="7"/>
      <c r="G86" s="17">
        <v>4</v>
      </c>
      <c r="H86" s="17">
        <v>3</v>
      </c>
      <c r="I86" s="1">
        <f t="shared" si="4"/>
        <v>1</v>
      </c>
      <c r="J86" s="1">
        <f t="shared" si="3"/>
        <v>-0.98108066458932797</v>
      </c>
      <c r="K86" s="1">
        <f t="shared" si="5"/>
        <v>3.9246805996096934</v>
      </c>
    </row>
    <row r="87" spans="4:11" ht="15.75" thickBot="1">
      <c r="D87" s="8"/>
      <c r="E87" s="9" t="s">
        <v>8</v>
      </c>
      <c r="F87" s="9" t="s">
        <v>28</v>
      </c>
      <c r="G87" s="17"/>
      <c r="H87" s="17"/>
      <c r="I87" s="1" t="str">
        <f t="shared" si="4"/>
        <v/>
      </c>
      <c r="J87" s="1" t="str">
        <f t="shared" si="3"/>
        <v/>
      </c>
      <c r="K87" s="1">
        <f t="shared" si="5"/>
        <v>0</v>
      </c>
    </row>
    <row r="88" spans="4:11" ht="15" customHeight="1">
      <c r="D88" s="6" t="s">
        <v>45</v>
      </c>
      <c r="E88" s="7"/>
      <c r="F88" s="7"/>
      <c r="G88" s="17">
        <v>2</v>
      </c>
      <c r="H88" s="17">
        <v>3</v>
      </c>
      <c r="I88" s="1">
        <f t="shared" si="4"/>
        <v>-1</v>
      </c>
      <c r="J88" s="1">
        <f t="shared" si="3"/>
        <v>0.51626065416058964</v>
      </c>
      <c r="K88" s="1">
        <f t="shared" si="5"/>
        <v>2.2990463713554994</v>
      </c>
    </row>
    <row r="89" spans="4:11" ht="15.75" thickBot="1">
      <c r="D89" s="8"/>
      <c r="E89" s="9" t="s">
        <v>22</v>
      </c>
      <c r="F89" s="9" t="s">
        <v>0</v>
      </c>
      <c r="G89" s="17"/>
      <c r="H89" s="17"/>
      <c r="I89" s="1" t="str">
        <f t="shared" si="4"/>
        <v/>
      </c>
      <c r="J89" s="1" t="str">
        <f t="shared" si="3"/>
        <v/>
      </c>
      <c r="K89" s="1">
        <f t="shared" si="5"/>
        <v>0</v>
      </c>
    </row>
    <row r="90" spans="4:11" ht="15" customHeight="1">
      <c r="D90" s="6" t="s">
        <v>45</v>
      </c>
      <c r="E90" s="7"/>
      <c r="F90" s="7"/>
      <c r="G90" s="17">
        <v>2</v>
      </c>
      <c r="H90" s="17">
        <v>1</v>
      </c>
      <c r="I90" s="1">
        <f t="shared" si="4"/>
        <v>1</v>
      </c>
      <c r="J90" s="1">
        <f t="shared" si="3"/>
        <v>-0.89296901030817821</v>
      </c>
      <c r="K90" s="1">
        <f t="shared" si="5"/>
        <v>3.5833316739871237</v>
      </c>
    </row>
    <row r="91" spans="4:11" ht="15.75" thickBot="1">
      <c r="D91" s="8"/>
      <c r="E91" s="9" t="s">
        <v>36</v>
      </c>
      <c r="F91" s="9" t="s">
        <v>37</v>
      </c>
      <c r="G91" s="17"/>
      <c r="H91" s="17"/>
      <c r="I91" s="1" t="str">
        <f t="shared" si="4"/>
        <v/>
      </c>
      <c r="J91" s="1" t="str">
        <f t="shared" si="3"/>
        <v/>
      </c>
      <c r="K91" s="1">
        <f t="shared" si="5"/>
        <v>0</v>
      </c>
    </row>
    <row r="92" spans="4:11" ht="15" customHeight="1">
      <c r="D92" s="6" t="s">
        <v>45</v>
      </c>
      <c r="E92" s="7"/>
      <c r="F92" s="7"/>
      <c r="G92" s="17">
        <v>3</v>
      </c>
      <c r="H92" s="17">
        <v>2</v>
      </c>
      <c r="I92" s="1">
        <f t="shared" si="4"/>
        <v>1</v>
      </c>
      <c r="J92" s="1">
        <f t="shared" si="3"/>
        <v>-0.12478205645953722</v>
      </c>
      <c r="K92" s="1">
        <f t="shared" si="5"/>
        <v>1.2651346745333456</v>
      </c>
    </row>
    <row r="93" spans="4:11" ht="15.75" thickBot="1">
      <c r="D93" s="8"/>
      <c r="E93" s="9" t="s">
        <v>4</v>
      </c>
      <c r="F93" s="9" t="s">
        <v>19</v>
      </c>
      <c r="G93" s="17"/>
      <c r="H93" s="17"/>
      <c r="I93" s="1" t="str">
        <f t="shared" si="4"/>
        <v/>
      </c>
      <c r="J93" s="1" t="str">
        <f t="shared" si="3"/>
        <v/>
      </c>
      <c r="K93" s="1">
        <f t="shared" si="5"/>
        <v>0</v>
      </c>
    </row>
    <row r="94" spans="4:11" ht="15" customHeight="1">
      <c r="D94" s="6" t="s">
        <v>45</v>
      </c>
      <c r="E94" s="7"/>
      <c r="F94" s="7"/>
      <c r="G94" s="17">
        <v>1</v>
      </c>
      <c r="H94" s="17">
        <v>6</v>
      </c>
      <c r="I94" s="1">
        <f t="shared" si="4"/>
        <v>-5</v>
      </c>
      <c r="J94" s="1">
        <f t="shared" si="3"/>
        <v>-0.9819988545836793</v>
      </c>
      <c r="K94" s="1">
        <f t="shared" si="5"/>
        <v>16.144333204566866</v>
      </c>
    </row>
    <row r="95" spans="4:11" ht="15.75" thickBot="1">
      <c r="D95" s="8"/>
      <c r="E95" s="9" t="s">
        <v>24</v>
      </c>
      <c r="F95" s="9" t="s">
        <v>34</v>
      </c>
      <c r="G95" s="17"/>
      <c r="H95" s="17"/>
      <c r="I95" s="1" t="str">
        <f t="shared" si="4"/>
        <v/>
      </c>
      <c r="J95" s="1" t="str">
        <f t="shared" si="3"/>
        <v/>
      </c>
      <c r="K95" s="1">
        <f t="shared" si="5"/>
        <v>0</v>
      </c>
    </row>
    <row r="96" spans="4:11" ht="18" customHeight="1">
      <c r="D96" s="6" t="s">
        <v>46</v>
      </c>
      <c r="E96" s="7"/>
      <c r="F96" s="7"/>
      <c r="G96" s="17">
        <v>3</v>
      </c>
      <c r="H96" s="17">
        <v>2</v>
      </c>
      <c r="I96" s="1">
        <f t="shared" si="4"/>
        <v>1</v>
      </c>
      <c r="J96" s="1">
        <f t="shared" si="3"/>
        <v>-6.3981103375752468E-2</v>
      </c>
      <c r="K96" s="1">
        <f t="shared" si="5"/>
        <v>1.1320557883406837</v>
      </c>
    </row>
    <row r="97" spans="4:11" ht="15.75" thickBot="1">
      <c r="D97" s="8"/>
      <c r="E97" s="9" t="s">
        <v>2</v>
      </c>
      <c r="F97" s="9" t="s">
        <v>13</v>
      </c>
      <c r="G97" s="17"/>
      <c r="H97" s="17"/>
      <c r="I97" s="1" t="str">
        <f t="shared" si="4"/>
        <v/>
      </c>
      <c r="J97" s="1" t="str">
        <f t="shared" si="3"/>
        <v/>
      </c>
      <c r="K97" s="1">
        <f t="shared" si="5"/>
        <v>0</v>
      </c>
    </row>
    <row r="98" spans="4:11" ht="18" customHeight="1">
      <c r="D98" s="6" t="s">
        <v>46</v>
      </c>
      <c r="E98" s="7"/>
      <c r="F98" s="7"/>
      <c r="G98" s="17">
        <v>2</v>
      </c>
      <c r="H98" s="17">
        <v>1</v>
      </c>
      <c r="I98" s="1">
        <f t="shared" si="4"/>
        <v>1</v>
      </c>
      <c r="J98" s="1">
        <f t="shared" si="3"/>
        <v>-0.26008196250091942</v>
      </c>
      <c r="K98" s="1">
        <f t="shared" si="5"/>
        <v>1.5878065522201685</v>
      </c>
    </row>
    <row r="99" spans="4:11" ht="15.75" thickBot="1">
      <c r="D99" s="8"/>
      <c r="E99" s="9" t="s">
        <v>4</v>
      </c>
      <c r="F99" s="9" t="s">
        <v>20</v>
      </c>
      <c r="G99" s="17"/>
      <c r="H99" s="17"/>
      <c r="I99" s="1" t="str">
        <f t="shared" si="4"/>
        <v/>
      </c>
      <c r="J99" s="1" t="str">
        <f t="shared" si="3"/>
        <v/>
      </c>
      <c r="K99" s="1">
        <f t="shared" si="5"/>
        <v>0</v>
      </c>
    </row>
    <row r="100" spans="4:11" ht="15" customHeight="1">
      <c r="D100" s="6" t="s">
        <v>46</v>
      </c>
      <c r="E100" s="7"/>
      <c r="F100" s="7"/>
      <c r="G100" s="17">
        <v>4</v>
      </c>
      <c r="H100" s="17">
        <v>7</v>
      </c>
      <c r="I100" s="1">
        <f t="shared" si="4"/>
        <v>-3</v>
      </c>
      <c r="J100" s="1">
        <f t="shared" si="3"/>
        <v>-0.35940254426644458</v>
      </c>
      <c r="K100" s="1">
        <f t="shared" si="5"/>
        <v>6.9727549232265265</v>
      </c>
    </row>
    <row r="101" spans="4:11" ht="15.75" thickBot="1">
      <c r="D101" s="8"/>
      <c r="E101" s="9" t="s">
        <v>24</v>
      </c>
      <c r="F101" s="9" t="s">
        <v>26</v>
      </c>
      <c r="G101" s="17"/>
      <c r="H101" s="17"/>
      <c r="I101" s="1" t="str">
        <f t="shared" si="4"/>
        <v/>
      </c>
      <c r="J101" s="1" t="str">
        <f t="shared" si="3"/>
        <v/>
      </c>
      <c r="K101" s="1">
        <f t="shared" si="5"/>
        <v>0</v>
      </c>
    </row>
    <row r="102" spans="4:11" ht="15" customHeight="1">
      <c r="D102" s="6" t="s">
        <v>47</v>
      </c>
      <c r="E102" s="7"/>
      <c r="F102" s="7"/>
      <c r="G102" s="17">
        <v>3</v>
      </c>
      <c r="H102" s="17">
        <v>4</v>
      </c>
      <c r="I102" s="1">
        <f t="shared" si="4"/>
        <v>-1</v>
      </c>
      <c r="J102" s="1">
        <f t="shared" si="3"/>
        <v>-0.57604180891031831</v>
      </c>
      <c r="K102" s="1">
        <f t="shared" si="5"/>
        <v>0.17974054779203505</v>
      </c>
    </row>
    <row r="103" spans="4:11" ht="15.75" thickBot="1">
      <c r="D103" s="8"/>
      <c r="E103" s="9" t="s">
        <v>33</v>
      </c>
      <c r="F103" s="9" t="s">
        <v>41</v>
      </c>
      <c r="G103" s="17"/>
      <c r="H103" s="17"/>
      <c r="I103" s="1" t="str">
        <f t="shared" si="4"/>
        <v/>
      </c>
      <c r="J103" s="1" t="str">
        <f t="shared" si="3"/>
        <v/>
      </c>
      <c r="K103" s="1">
        <f t="shared" si="5"/>
        <v>0</v>
      </c>
    </row>
    <row r="104" spans="4:11" ht="15" customHeight="1">
      <c r="D104" s="6" t="s">
        <v>47</v>
      </c>
      <c r="E104" s="7"/>
      <c r="F104" s="7"/>
      <c r="G104" s="17">
        <v>3</v>
      </c>
      <c r="H104" s="17">
        <v>2</v>
      </c>
      <c r="I104" s="1">
        <f t="shared" si="4"/>
        <v>1</v>
      </c>
      <c r="J104" s="1">
        <f t="shared" si="3"/>
        <v>-0.3496734545863518</v>
      </c>
      <c r="K104" s="1">
        <f t="shared" si="5"/>
        <v>1.821618434015057</v>
      </c>
    </row>
    <row r="105" spans="4:11" ht="15.75" thickBot="1">
      <c r="D105" s="8"/>
      <c r="E105" s="9" t="s">
        <v>21</v>
      </c>
      <c r="F105" s="9" t="s">
        <v>11</v>
      </c>
      <c r="G105" s="17"/>
      <c r="H105" s="17"/>
      <c r="I105" s="1" t="str">
        <f t="shared" si="4"/>
        <v/>
      </c>
      <c r="J105" s="1" t="str">
        <f t="shared" si="3"/>
        <v/>
      </c>
      <c r="K105" s="1">
        <f t="shared" si="5"/>
        <v>0</v>
      </c>
    </row>
    <row r="106" spans="4:11" ht="15" customHeight="1">
      <c r="D106" s="6" t="s">
        <v>47</v>
      </c>
      <c r="E106" s="7"/>
      <c r="F106" s="7"/>
      <c r="G106" s="17">
        <v>2</v>
      </c>
      <c r="H106" s="17">
        <v>6</v>
      </c>
      <c r="I106" s="1">
        <f t="shared" si="4"/>
        <v>-4</v>
      </c>
      <c r="J106" s="1">
        <f t="shared" si="3"/>
        <v>-0.79073428264888435</v>
      </c>
      <c r="K106" s="1">
        <f t="shared" si="5"/>
        <v>10.299386444565171</v>
      </c>
    </row>
    <row r="107" spans="4:11" ht="30.75" thickBot="1">
      <c r="D107" s="8"/>
      <c r="E107" s="9" t="s">
        <v>36</v>
      </c>
      <c r="F107" s="9" t="s">
        <v>12</v>
      </c>
      <c r="G107" s="17"/>
      <c r="H107" s="17"/>
      <c r="I107" s="1" t="str">
        <f t="shared" si="4"/>
        <v/>
      </c>
      <c r="J107" s="1" t="str">
        <f t="shared" si="3"/>
        <v/>
      </c>
      <c r="K107" s="1">
        <f t="shared" si="5"/>
        <v>0</v>
      </c>
    </row>
    <row r="108" spans="4:11" ht="15" customHeight="1">
      <c r="D108" s="6" t="s">
        <v>47</v>
      </c>
      <c r="E108" s="7"/>
      <c r="F108" s="7"/>
      <c r="G108" s="17">
        <v>1</v>
      </c>
      <c r="H108" s="17">
        <v>2</v>
      </c>
      <c r="I108" s="1">
        <f t="shared" si="4"/>
        <v>-1</v>
      </c>
      <c r="J108" s="1">
        <f t="shared" si="3"/>
        <v>-0.90759281447076035</v>
      </c>
      <c r="K108" s="1">
        <f t="shared" si="5"/>
        <v>8.5390879374353194E-3</v>
      </c>
    </row>
    <row r="109" spans="4:11" ht="15.75" thickBot="1">
      <c r="D109" s="8"/>
      <c r="E109" s="9" t="s">
        <v>28</v>
      </c>
      <c r="F109" s="9" t="s">
        <v>38</v>
      </c>
      <c r="G109" s="17"/>
      <c r="H109" s="17"/>
      <c r="I109" s="1" t="str">
        <f t="shared" si="4"/>
        <v/>
      </c>
      <c r="J109" s="1" t="str">
        <f t="shared" si="3"/>
        <v/>
      </c>
      <c r="K109" s="1">
        <f t="shared" si="5"/>
        <v>0</v>
      </c>
    </row>
    <row r="110" spans="4:11" ht="15" customHeight="1">
      <c r="D110" s="6" t="s">
        <v>47</v>
      </c>
      <c r="E110" s="7"/>
      <c r="F110" s="7"/>
      <c r="G110" s="17">
        <v>4</v>
      </c>
      <c r="H110" s="17">
        <v>6</v>
      </c>
      <c r="I110" s="1">
        <f t="shared" si="4"/>
        <v>-2</v>
      </c>
      <c r="J110" s="1">
        <f t="shared" si="3"/>
        <v>-0.28341358545613105</v>
      </c>
      <c r="K110" s="1">
        <f t="shared" si="5"/>
        <v>2.9466689185965755</v>
      </c>
    </row>
    <row r="111" spans="4:11" ht="15.75" thickBot="1">
      <c r="D111" s="8"/>
      <c r="E111" s="9" t="s">
        <v>2</v>
      </c>
      <c r="F111" s="9" t="s">
        <v>443</v>
      </c>
      <c r="G111" s="17"/>
      <c r="H111" s="17"/>
      <c r="I111" s="1" t="str">
        <f t="shared" si="4"/>
        <v/>
      </c>
      <c r="J111" s="1" t="str">
        <f t="shared" si="3"/>
        <v/>
      </c>
      <c r="K111" s="1">
        <f t="shared" si="5"/>
        <v>0</v>
      </c>
    </row>
    <row r="112" spans="4:11" ht="15" customHeight="1">
      <c r="D112" s="6" t="s">
        <v>47</v>
      </c>
      <c r="E112" s="7"/>
      <c r="F112" s="7"/>
      <c r="G112" s="17">
        <v>3</v>
      </c>
      <c r="H112" s="17">
        <v>5</v>
      </c>
      <c r="I112" s="1">
        <f t="shared" si="4"/>
        <v>-2</v>
      </c>
      <c r="J112" s="1">
        <f t="shared" si="3"/>
        <v>-0.1915639489462535</v>
      </c>
      <c r="K112" s="1">
        <f t="shared" si="5"/>
        <v>3.2704409507508689</v>
      </c>
    </row>
    <row r="113" spans="4:11" ht="15.75" thickBot="1">
      <c r="D113" s="8"/>
      <c r="E113" s="9" t="s">
        <v>22</v>
      </c>
      <c r="F113" s="9" t="s">
        <v>18</v>
      </c>
      <c r="G113" s="17"/>
      <c r="H113" s="17"/>
      <c r="I113" s="1" t="str">
        <f t="shared" si="4"/>
        <v/>
      </c>
      <c r="J113" s="1" t="str">
        <f t="shared" si="3"/>
        <v/>
      </c>
      <c r="K113" s="1">
        <f t="shared" si="5"/>
        <v>0</v>
      </c>
    </row>
    <row r="114" spans="4:11" ht="15" customHeight="1">
      <c r="D114" s="6" t="s">
        <v>47</v>
      </c>
      <c r="E114" s="7"/>
      <c r="F114" s="7"/>
      <c r="G114" s="17">
        <v>0</v>
      </c>
      <c r="H114" s="17">
        <v>1</v>
      </c>
      <c r="I114" s="1">
        <f t="shared" si="4"/>
        <v>-1</v>
      </c>
      <c r="J114" s="1">
        <f t="shared" si="3"/>
        <v>0.41314403931424692</v>
      </c>
      <c r="K114" s="1">
        <f t="shared" si="5"/>
        <v>1.996976075849386</v>
      </c>
    </row>
    <row r="115" spans="4:11" ht="15.75" thickBot="1">
      <c r="D115" s="8"/>
      <c r="E115" s="9" t="s">
        <v>39</v>
      </c>
      <c r="F115" s="9" t="s">
        <v>34</v>
      </c>
      <c r="G115" s="17"/>
      <c r="H115" s="17"/>
      <c r="I115" s="1" t="str">
        <f t="shared" si="4"/>
        <v/>
      </c>
      <c r="J115" s="1" t="str">
        <f t="shared" si="3"/>
        <v/>
      </c>
      <c r="K115" s="1">
        <f t="shared" si="5"/>
        <v>0</v>
      </c>
    </row>
    <row r="116" spans="4:11" ht="18" customHeight="1">
      <c r="D116" s="6" t="s">
        <v>48</v>
      </c>
      <c r="E116" s="7"/>
      <c r="F116" s="7"/>
      <c r="G116" s="17">
        <v>1</v>
      </c>
      <c r="H116" s="17">
        <v>0</v>
      </c>
      <c r="I116" s="1">
        <f t="shared" si="4"/>
        <v>1</v>
      </c>
      <c r="J116" s="1">
        <f t="shared" si="3"/>
        <v>1.0871196075546976</v>
      </c>
      <c r="K116" s="1">
        <f t="shared" si="5"/>
        <v>7.5898260204845247E-3</v>
      </c>
    </row>
    <row r="117" spans="4:11" ht="15.75" thickBot="1">
      <c r="D117" s="8"/>
      <c r="E117" s="9" t="s">
        <v>14</v>
      </c>
      <c r="F117" s="9" t="s">
        <v>8</v>
      </c>
      <c r="G117" s="17"/>
      <c r="H117" s="17"/>
      <c r="I117" s="1" t="str">
        <f t="shared" si="4"/>
        <v/>
      </c>
      <c r="J117" s="1" t="str">
        <f t="shared" si="3"/>
        <v/>
      </c>
      <c r="K117" s="1">
        <f t="shared" si="5"/>
        <v>0</v>
      </c>
    </row>
    <row r="118" spans="4:11" ht="15" customHeight="1">
      <c r="D118" s="6" t="s">
        <v>48</v>
      </c>
      <c r="E118" s="7"/>
      <c r="F118" s="7"/>
      <c r="G118" s="17">
        <v>2</v>
      </c>
      <c r="H118" s="17">
        <v>3</v>
      </c>
      <c r="I118" s="1">
        <f t="shared" si="4"/>
        <v>-1</v>
      </c>
      <c r="J118" s="1">
        <f t="shared" si="3"/>
        <v>0.57950730545616125</v>
      </c>
      <c r="K118" s="1">
        <f t="shared" si="5"/>
        <v>2.4948433279893831</v>
      </c>
    </row>
    <row r="119" spans="4:11" ht="15.75" thickBot="1">
      <c r="D119" s="8"/>
      <c r="E119" s="9" t="s">
        <v>4</v>
      </c>
      <c r="F119" s="9" t="s">
        <v>7</v>
      </c>
      <c r="G119" s="17"/>
      <c r="H119" s="17"/>
      <c r="I119" s="1" t="str">
        <f t="shared" si="4"/>
        <v/>
      </c>
      <c r="J119" s="1" t="str">
        <f t="shared" si="3"/>
        <v/>
      </c>
      <c r="K119" s="1">
        <f t="shared" si="5"/>
        <v>0</v>
      </c>
    </row>
    <row r="120" spans="4:11" ht="15" customHeight="1">
      <c r="D120" s="6" t="s">
        <v>48</v>
      </c>
      <c r="E120" s="7"/>
      <c r="F120" s="7"/>
      <c r="G120" s="17">
        <v>4</v>
      </c>
      <c r="H120" s="17">
        <v>1</v>
      </c>
      <c r="I120" s="1">
        <f t="shared" si="4"/>
        <v>3</v>
      </c>
      <c r="J120" s="1">
        <f t="shared" si="3"/>
        <v>0.67586112002135224</v>
      </c>
      <c r="K120" s="1">
        <f t="shared" si="5"/>
        <v>5.4016215334284032</v>
      </c>
    </row>
    <row r="121" spans="4:11" ht="15.75" thickBot="1">
      <c r="D121" s="8"/>
      <c r="E121" s="9" t="s">
        <v>13</v>
      </c>
      <c r="F121" s="9" t="s">
        <v>0</v>
      </c>
      <c r="G121" s="17"/>
      <c r="H121" s="17"/>
      <c r="I121" s="1" t="str">
        <f t="shared" si="4"/>
        <v/>
      </c>
      <c r="J121" s="1" t="str">
        <f t="shared" si="3"/>
        <v/>
      </c>
      <c r="K121" s="1">
        <f t="shared" si="5"/>
        <v>0</v>
      </c>
    </row>
    <row r="122" spans="4:11" ht="15" customHeight="1">
      <c r="D122" s="6" t="s">
        <v>48</v>
      </c>
      <c r="E122" s="7"/>
      <c r="F122" s="7"/>
      <c r="G122" s="17">
        <v>2</v>
      </c>
      <c r="H122" s="17">
        <v>0</v>
      </c>
      <c r="I122" s="1">
        <f t="shared" si="4"/>
        <v>2</v>
      </c>
      <c r="J122" s="1">
        <f t="shared" si="3"/>
        <v>0.20922527724617623</v>
      </c>
      <c r="K122" s="1">
        <f t="shared" si="5"/>
        <v>3.2068741076540346</v>
      </c>
    </row>
    <row r="123" spans="4:11" ht="15.75" thickBot="1">
      <c r="D123" s="8"/>
      <c r="E123" s="9" t="s">
        <v>19</v>
      </c>
      <c r="F123" s="9" t="s">
        <v>25</v>
      </c>
      <c r="G123" s="17"/>
      <c r="H123" s="17"/>
      <c r="I123" s="1" t="str">
        <f t="shared" si="4"/>
        <v/>
      </c>
      <c r="J123" s="1" t="str">
        <f t="shared" si="3"/>
        <v/>
      </c>
      <c r="K123" s="1">
        <f t="shared" si="5"/>
        <v>0</v>
      </c>
    </row>
    <row r="124" spans="4:11" ht="15" customHeight="1">
      <c r="D124" s="6" t="s">
        <v>48</v>
      </c>
      <c r="E124" s="7"/>
      <c r="F124" s="7"/>
      <c r="G124" s="17">
        <v>2</v>
      </c>
      <c r="H124" s="17">
        <v>0</v>
      </c>
      <c r="I124" s="1">
        <f t="shared" si="4"/>
        <v>2</v>
      </c>
      <c r="J124" s="1">
        <f t="shared" si="3"/>
        <v>1.0576985098204545</v>
      </c>
      <c r="K124" s="1">
        <f t="shared" si="5"/>
        <v>0.88793209839459197</v>
      </c>
    </row>
    <row r="125" spans="4:11" ht="15.75" thickBot="1">
      <c r="D125" s="8"/>
      <c r="E125" s="9" t="s">
        <v>3</v>
      </c>
      <c r="F125" s="9" t="s">
        <v>24</v>
      </c>
      <c r="G125" s="17"/>
      <c r="H125" s="17"/>
      <c r="I125" s="1" t="str">
        <f t="shared" si="4"/>
        <v/>
      </c>
      <c r="J125" s="1" t="str">
        <f t="shared" si="3"/>
        <v/>
      </c>
      <c r="K125" s="1">
        <f t="shared" si="5"/>
        <v>0</v>
      </c>
    </row>
    <row r="126" spans="4:11" ht="15" customHeight="1">
      <c r="D126" s="6" t="s">
        <v>48</v>
      </c>
      <c r="E126" s="7"/>
      <c r="F126" s="7"/>
      <c r="G126" s="17">
        <v>1</v>
      </c>
      <c r="H126" s="17">
        <v>2</v>
      </c>
      <c r="I126" s="1">
        <f t="shared" si="4"/>
        <v>-1</v>
      </c>
      <c r="J126" s="1">
        <f t="shared" si="3"/>
        <v>0.94396886820456416</v>
      </c>
      <c r="K126" s="1">
        <f t="shared" si="5"/>
        <v>3.7790149605485341</v>
      </c>
    </row>
    <row r="127" spans="4:11" ht="15.75" thickBot="1">
      <c r="D127" s="8"/>
      <c r="E127" s="9" t="s">
        <v>23</v>
      </c>
      <c r="F127" s="9" t="s">
        <v>10</v>
      </c>
      <c r="G127" s="17"/>
      <c r="H127" s="17"/>
      <c r="I127" s="1" t="str">
        <f t="shared" si="4"/>
        <v/>
      </c>
      <c r="J127" s="1" t="str">
        <f t="shared" si="3"/>
        <v/>
      </c>
      <c r="K127" s="1">
        <f t="shared" si="5"/>
        <v>0</v>
      </c>
    </row>
    <row r="128" spans="4:11" ht="18" customHeight="1">
      <c r="D128" s="6" t="s">
        <v>49</v>
      </c>
      <c r="E128" s="7"/>
      <c r="F128" s="7"/>
      <c r="G128" s="17">
        <v>4</v>
      </c>
      <c r="H128" s="17">
        <v>0</v>
      </c>
      <c r="I128" s="1">
        <f t="shared" si="4"/>
        <v>4</v>
      </c>
      <c r="J128" s="1">
        <f t="shared" si="3"/>
        <v>1.410012734304658</v>
      </c>
      <c r="K128" s="1">
        <f t="shared" si="5"/>
        <v>6.7080340364640341</v>
      </c>
    </row>
    <row r="129" spans="4:11" ht="15.75" thickBot="1">
      <c r="D129" s="8"/>
      <c r="E129" s="9" t="s">
        <v>2</v>
      </c>
      <c r="F129" s="9" t="s">
        <v>8</v>
      </c>
      <c r="G129" s="17"/>
      <c r="H129" s="17"/>
      <c r="I129" s="1" t="str">
        <f t="shared" si="4"/>
        <v/>
      </c>
      <c r="J129" s="1" t="str">
        <f t="shared" si="3"/>
        <v/>
      </c>
      <c r="K129" s="1">
        <f t="shared" si="5"/>
        <v>0</v>
      </c>
    </row>
    <row r="130" spans="4:11" ht="15" customHeight="1">
      <c r="D130" s="6" t="s">
        <v>49</v>
      </c>
      <c r="E130" s="7"/>
      <c r="F130" s="7"/>
      <c r="G130" s="17">
        <v>2</v>
      </c>
      <c r="H130" s="17">
        <v>3</v>
      </c>
      <c r="I130" s="1">
        <f t="shared" si="4"/>
        <v>-1</v>
      </c>
      <c r="J130" s="1">
        <f t="shared" si="3"/>
        <v>-0.37903294794114117</v>
      </c>
      <c r="K130" s="1">
        <f t="shared" si="5"/>
        <v>0.38560007974266947</v>
      </c>
    </row>
    <row r="131" spans="4:11" ht="15.75" thickBot="1">
      <c r="D131" s="8"/>
      <c r="E131" s="9" t="s">
        <v>22</v>
      </c>
      <c r="F131" s="9" t="s">
        <v>443</v>
      </c>
      <c r="G131" s="17"/>
      <c r="H131" s="17"/>
      <c r="I131" s="1" t="str">
        <f t="shared" si="4"/>
        <v/>
      </c>
      <c r="J131" s="1" t="str">
        <f t="shared" ref="J131:J194" si="6">IF(F132="","",VLOOKUP(F132,$A$2:$B$31,2)+$B$33-VLOOKUP(E132,$A$2:$B$31,2))</f>
        <v/>
      </c>
      <c r="K131" s="1">
        <f t="shared" si="5"/>
        <v>0</v>
      </c>
    </row>
    <row r="132" spans="4:11" ht="15" customHeight="1">
      <c r="D132" s="6" t="s">
        <v>49</v>
      </c>
      <c r="E132" s="7"/>
      <c r="F132" s="7"/>
      <c r="G132" s="17">
        <v>2</v>
      </c>
      <c r="H132" s="17">
        <v>3</v>
      </c>
      <c r="I132" s="1">
        <f t="shared" ref="I132:I195" si="7">IF(G132="","",G132-H132)</f>
        <v>-1</v>
      </c>
      <c r="J132" s="1">
        <f t="shared" si="6"/>
        <v>-0.449898818337644</v>
      </c>
      <c r="K132" s="1">
        <f t="shared" ref="K132:K195" si="8">IF(J132="",0,(I132-J132)^2)</f>
        <v>0.30261131006632042</v>
      </c>
    </row>
    <row r="133" spans="4:11" ht="15.75" thickBot="1">
      <c r="D133" s="8"/>
      <c r="E133" s="9" t="s">
        <v>7</v>
      </c>
      <c r="F133" s="9" t="s">
        <v>18</v>
      </c>
      <c r="G133" s="17"/>
      <c r="H133" s="17"/>
      <c r="I133" s="1" t="str">
        <f t="shared" si="7"/>
        <v/>
      </c>
      <c r="J133" s="1" t="str">
        <f t="shared" si="6"/>
        <v/>
      </c>
      <c r="K133" s="1">
        <f t="shared" si="8"/>
        <v>0</v>
      </c>
    </row>
    <row r="134" spans="4:11" ht="15" customHeight="1">
      <c r="D134" s="6" t="s">
        <v>49</v>
      </c>
      <c r="E134" s="7"/>
      <c r="F134" s="7"/>
      <c r="G134" s="17">
        <v>0</v>
      </c>
      <c r="H134" s="17">
        <v>1</v>
      </c>
      <c r="I134" s="1">
        <f t="shared" si="7"/>
        <v>-1</v>
      </c>
      <c r="J134" s="1">
        <f t="shared" si="6"/>
        <v>-0.67586112002135224</v>
      </c>
      <c r="K134" s="1">
        <f t="shared" si="8"/>
        <v>0.10506601351381221</v>
      </c>
    </row>
    <row r="135" spans="4:11" ht="15.75" thickBot="1">
      <c r="D135" s="8"/>
      <c r="E135" s="9" t="s">
        <v>0</v>
      </c>
      <c r="F135" s="9" t="s">
        <v>13</v>
      </c>
      <c r="G135" s="17"/>
      <c r="H135" s="17"/>
      <c r="I135" s="1" t="str">
        <f t="shared" si="7"/>
        <v/>
      </c>
      <c r="J135" s="1" t="str">
        <f t="shared" si="6"/>
        <v/>
      </c>
      <c r="K135" s="1">
        <f t="shared" si="8"/>
        <v>0</v>
      </c>
    </row>
    <row r="136" spans="4:11" ht="15" customHeight="1">
      <c r="D136" s="6" t="s">
        <v>49</v>
      </c>
      <c r="E136" s="7"/>
      <c r="F136" s="7"/>
      <c r="G136" s="17">
        <v>4</v>
      </c>
      <c r="H136" s="17">
        <v>2</v>
      </c>
      <c r="I136" s="1">
        <f t="shared" si="7"/>
        <v>2</v>
      </c>
      <c r="J136" s="1">
        <f t="shared" si="6"/>
        <v>0.31583071607994384</v>
      </c>
      <c r="K136" s="1">
        <f t="shared" si="8"/>
        <v>2.8364261768997947</v>
      </c>
    </row>
    <row r="137" spans="4:11" ht="15.75" thickBot="1">
      <c r="D137" s="8"/>
      <c r="E137" s="9" t="s">
        <v>33</v>
      </c>
      <c r="F137" s="9" t="s">
        <v>36</v>
      </c>
      <c r="G137" s="17"/>
      <c r="H137" s="17"/>
      <c r="I137" s="1" t="str">
        <f t="shared" si="7"/>
        <v/>
      </c>
      <c r="J137" s="1" t="str">
        <f t="shared" si="6"/>
        <v/>
      </c>
      <c r="K137" s="1">
        <f t="shared" si="8"/>
        <v>0</v>
      </c>
    </row>
    <row r="138" spans="4:11" ht="15" customHeight="1">
      <c r="D138" s="6" t="s">
        <v>49</v>
      </c>
      <c r="E138" s="7"/>
      <c r="F138" s="7"/>
      <c r="G138" s="17">
        <v>1</v>
      </c>
      <c r="H138" s="17">
        <v>3</v>
      </c>
      <c r="I138" s="1">
        <f t="shared" si="7"/>
        <v>-2</v>
      </c>
      <c r="J138" s="1">
        <f t="shared" si="6"/>
        <v>0.26378822133385427</v>
      </c>
      <c r="K138" s="1">
        <f t="shared" si="8"/>
        <v>5.1247371110498952</v>
      </c>
    </row>
    <row r="139" spans="4:11" ht="15.75" thickBot="1">
      <c r="D139" s="8"/>
      <c r="E139" s="9" t="s">
        <v>41</v>
      </c>
      <c r="F139" s="9" t="s">
        <v>11</v>
      </c>
      <c r="G139" s="17"/>
      <c r="H139" s="17"/>
      <c r="I139" s="1" t="str">
        <f t="shared" si="7"/>
        <v/>
      </c>
      <c r="J139" s="1" t="str">
        <f t="shared" si="6"/>
        <v/>
      </c>
      <c r="K139" s="1">
        <f t="shared" si="8"/>
        <v>0</v>
      </c>
    </row>
    <row r="140" spans="4:11" ht="15" customHeight="1">
      <c r="D140" s="6" t="s">
        <v>49</v>
      </c>
      <c r="E140" s="7"/>
      <c r="F140" s="7"/>
      <c r="G140" s="17">
        <v>1</v>
      </c>
      <c r="H140" s="17">
        <v>2</v>
      </c>
      <c r="I140" s="1">
        <f t="shared" si="7"/>
        <v>-1</v>
      </c>
      <c r="J140" s="1">
        <f t="shared" si="6"/>
        <v>-0.7004156291640129</v>
      </c>
      <c r="K140" s="1">
        <f t="shared" si="8"/>
        <v>8.9750795249194243E-2</v>
      </c>
    </row>
    <row r="141" spans="4:11" ht="30.75" thickBot="1">
      <c r="D141" s="8"/>
      <c r="E141" s="9" t="s">
        <v>14</v>
      </c>
      <c r="F141" s="9" t="s">
        <v>12</v>
      </c>
      <c r="G141" s="17"/>
      <c r="H141" s="17"/>
      <c r="I141" s="1" t="str">
        <f t="shared" si="7"/>
        <v/>
      </c>
      <c r="J141" s="1" t="str">
        <f t="shared" si="6"/>
        <v/>
      </c>
      <c r="K141" s="1">
        <f t="shared" si="8"/>
        <v>0</v>
      </c>
    </row>
    <row r="142" spans="4:11" ht="15" customHeight="1">
      <c r="D142" s="6" t="s">
        <v>49</v>
      </c>
      <c r="E142" s="7"/>
      <c r="F142" s="7"/>
      <c r="G142" s="17">
        <v>6</v>
      </c>
      <c r="H142" s="17">
        <v>5</v>
      </c>
      <c r="I142" s="1">
        <f t="shared" si="7"/>
        <v>1</v>
      </c>
      <c r="J142" s="1">
        <f t="shared" si="6"/>
        <v>-0.19846017744070821</v>
      </c>
      <c r="K142" s="1">
        <f t="shared" si="8"/>
        <v>1.4363067969112138</v>
      </c>
    </row>
    <row r="143" spans="4:11" ht="15.75" thickBot="1">
      <c r="D143" s="8"/>
      <c r="E143" s="9" t="s">
        <v>1</v>
      </c>
      <c r="F143" s="9" t="s">
        <v>21</v>
      </c>
      <c r="G143" s="17"/>
      <c r="H143" s="17"/>
      <c r="I143" s="1" t="str">
        <f t="shared" si="7"/>
        <v/>
      </c>
      <c r="J143" s="1" t="str">
        <f t="shared" si="6"/>
        <v/>
      </c>
      <c r="K143" s="1">
        <f t="shared" si="8"/>
        <v>0</v>
      </c>
    </row>
    <row r="144" spans="4:11" ht="15" customHeight="1">
      <c r="D144" s="6" t="s">
        <v>49</v>
      </c>
      <c r="E144" s="7"/>
      <c r="F144" s="7"/>
      <c r="G144" s="17">
        <v>1</v>
      </c>
      <c r="H144" s="17">
        <v>2</v>
      </c>
      <c r="I144" s="1">
        <f t="shared" si="7"/>
        <v>-1</v>
      </c>
      <c r="J144" s="1">
        <f t="shared" si="6"/>
        <v>-0.1352999060413822</v>
      </c>
      <c r="K144" s="1">
        <f t="shared" si="8"/>
        <v>0.74770625249204248</v>
      </c>
    </row>
    <row r="145" spans="4:11" ht="15.75" thickBot="1">
      <c r="D145" s="8"/>
      <c r="E145" s="9" t="s">
        <v>19</v>
      </c>
      <c r="F145" s="9" t="s">
        <v>20</v>
      </c>
      <c r="G145" s="17"/>
      <c r="H145" s="17"/>
      <c r="I145" s="1" t="str">
        <f t="shared" si="7"/>
        <v/>
      </c>
      <c r="J145" s="1" t="str">
        <f t="shared" si="6"/>
        <v/>
      </c>
      <c r="K145" s="1">
        <f t="shared" si="8"/>
        <v>0</v>
      </c>
    </row>
    <row r="146" spans="4:11" ht="15" customHeight="1">
      <c r="D146" s="6" t="s">
        <v>49</v>
      </c>
      <c r="E146" s="7"/>
      <c r="F146" s="7"/>
      <c r="G146" s="17">
        <v>6</v>
      </c>
      <c r="H146" s="17">
        <v>1</v>
      </c>
      <c r="I146" s="1">
        <f t="shared" si="7"/>
        <v>5</v>
      </c>
      <c r="J146" s="1">
        <f t="shared" si="6"/>
        <v>1.0357403496314816</v>
      </c>
      <c r="K146" s="1">
        <f t="shared" si="8"/>
        <v>15.715354575539928</v>
      </c>
    </row>
    <row r="147" spans="4:11" ht="15.75" thickBot="1">
      <c r="D147" s="8"/>
      <c r="E147" s="9" t="s">
        <v>39</v>
      </c>
      <c r="F147" s="9" t="s">
        <v>26</v>
      </c>
      <c r="G147" s="17"/>
      <c r="H147" s="17"/>
      <c r="I147" s="1" t="str">
        <f t="shared" si="7"/>
        <v/>
      </c>
      <c r="J147" s="1" t="str">
        <f t="shared" si="6"/>
        <v/>
      </c>
      <c r="K147" s="1">
        <f t="shared" si="8"/>
        <v>0</v>
      </c>
    </row>
    <row r="148" spans="4:11" ht="15" customHeight="1">
      <c r="D148" s="6" t="s">
        <v>49</v>
      </c>
      <c r="E148" s="7"/>
      <c r="F148" s="7"/>
      <c r="G148" s="17">
        <v>4</v>
      </c>
      <c r="H148" s="17">
        <v>2</v>
      </c>
      <c r="I148" s="1">
        <f t="shared" si="7"/>
        <v>2</v>
      </c>
      <c r="J148" s="1">
        <f t="shared" si="6"/>
        <v>0.3657371044285469</v>
      </c>
      <c r="K148" s="1">
        <f t="shared" si="8"/>
        <v>2.6708152118415902</v>
      </c>
    </row>
    <row r="149" spans="4:11" ht="15.75" thickBot="1">
      <c r="D149" s="8"/>
      <c r="E149" s="9" t="s">
        <v>37</v>
      </c>
      <c r="F149" s="9" t="s">
        <v>3</v>
      </c>
      <c r="G149" s="17"/>
      <c r="H149" s="17"/>
      <c r="I149" s="1" t="str">
        <f t="shared" si="7"/>
        <v/>
      </c>
      <c r="J149" s="1" t="str">
        <f t="shared" si="6"/>
        <v/>
      </c>
      <c r="K149" s="1">
        <f t="shared" si="8"/>
        <v>0</v>
      </c>
    </row>
    <row r="150" spans="4:11" ht="15" customHeight="1">
      <c r="D150" s="6" t="s">
        <v>50</v>
      </c>
      <c r="E150" s="7"/>
      <c r="F150" s="7"/>
      <c r="G150" s="17">
        <v>1</v>
      </c>
      <c r="H150" s="17">
        <v>2</v>
      </c>
      <c r="I150" s="1">
        <f t="shared" si="7"/>
        <v>-1</v>
      </c>
      <c r="J150" s="1">
        <f t="shared" si="6"/>
        <v>0.32137255788732944</v>
      </c>
      <c r="K150" s="1">
        <f t="shared" si="8"/>
        <v>1.7460254367377037</v>
      </c>
    </row>
    <row r="151" spans="4:11" ht="15.75" thickBot="1">
      <c r="D151" s="8"/>
      <c r="E151" s="9" t="s">
        <v>23</v>
      </c>
      <c r="F151" s="9" t="s">
        <v>34</v>
      </c>
      <c r="G151" s="17"/>
      <c r="H151" s="17"/>
      <c r="I151" s="1" t="str">
        <f t="shared" si="7"/>
        <v/>
      </c>
      <c r="J151" s="1" t="str">
        <f t="shared" si="6"/>
        <v/>
      </c>
      <c r="K151" s="1">
        <f t="shared" si="8"/>
        <v>0</v>
      </c>
    </row>
    <row r="152" spans="4:11" ht="15" customHeight="1">
      <c r="D152" s="6" t="s">
        <v>50</v>
      </c>
      <c r="E152" s="7"/>
      <c r="F152" s="7"/>
      <c r="G152" s="17">
        <v>0</v>
      </c>
      <c r="H152" s="17">
        <v>4</v>
      </c>
      <c r="I152" s="1">
        <f t="shared" si="7"/>
        <v>-4</v>
      </c>
      <c r="J152" s="1">
        <f t="shared" si="6"/>
        <v>-0.57604180891031831</v>
      </c>
      <c r="K152" s="1">
        <f t="shared" si="8"/>
        <v>11.723489694330125</v>
      </c>
    </row>
    <row r="153" spans="4:11" ht="15.75" thickBot="1">
      <c r="D153" s="8"/>
      <c r="E153" s="9" t="s">
        <v>33</v>
      </c>
      <c r="F153" s="9" t="s">
        <v>38</v>
      </c>
      <c r="G153" s="17"/>
      <c r="H153" s="17"/>
      <c r="I153" s="1" t="str">
        <f t="shared" si="7"/>
        <v/>
      </c>
      <c r="J153" s="1" t="str">
        <f t="shared" si="6"/>
        <v/>
      </c>
      <c r="K153" s="1">
        <f t="shared" si="8"/>
        <v>0</v>
      </c>
    </row>
    <row r="154" spans="4:11" ht="15" customHeight="1">
      <c r="D154" s="6" t="s">
        <v>50</v>
      </c>
      <c r="E154" s="7"/>
      <c r="F154" s="7"/>
      <c r="G154" s="17">
        <v>4</v>
      </c>
      <c r="H154" s="17">
        <v>1</v>
      </c>
      <c r="I154" s="1">
        <f t="shared" si="7"/>
        <v>3</v>
      </c>
      <c r="J154" s="1">
        <f t="shared" si="6"/>
        <v>8.4443220786639017E-2</v>
      </c>
      <c r="K154" s="1">
        <f t="shared" si="8"/>
        <v>8.5004713328169874</v>
      </c>
    </row>
    <row r="155" spans="4:11" ht="15.75" thickBot="1">
      <c r="D155" s="8"/>
      <c r="E155" s="9" t="s">
        <v>4</v>
      </c>
      <c r="F155" s="9" t="s">
        <v>25</v>
      </c>
      <c r="G155" s="17"/>
      <c r="H155" s="17"/>
      <c r="I155" s="1" t="str">
        <f t="shared" si="7"/>
        <v/>
      </c>
      <c r="J155" s="1" t="str">
        <f t="shared" si="6"/>
        <v/>
      </c>
      <c r="K155" s="1">
        <f t="shared" si="8"/>
        <v>0</v>
      </c>
    </row>
    <row r="156" spans="4:11" ht="15" customHeight="1">
      <c r="D156" s="6" t="s">
        <v>50</v>
      </c>
      <c r="E156" s="7"/>
      <c r="F156" s="7"/>
      <c r="G156" s="17">
        <v>0</v>
      </c>
      <c r="H156" s="17">
        <v>3</v>
      </c>
      <c r="I156" s="1">
        <f t="shared" si="7"/>
        <v>-3</v>
      </c>
      <c r="J156" s="1">
        <f t="shared" si="6"/>
        <v>1.0357403496314816</v>
      </c>
      <c r="K156" s="1">
        <f t="shared" si="8"/>
        <v>16.287200169643633</v>
      </c>
    </row>
    <row r="157" spans="4:11" ht="15.75" thickBot="1">
      <c r="D157" s="8"/>
      <c r="E157" s="9" t="s">
        <v>39</v>
      </c>
      <c r="F157" s="9" t="s">
        <v>10</v>
      </c>
      <c r="G157" s="17"/>
      <c r="H157" s="17"/>
      <c r="I157" s="1" t="str">
        <f t="shared" si="7"/>
        <v/>
      </c>
      <c r="J157" s="1" t="str">
        <f t="shared" si="6"/>
        <v/>
      </c>
      <c r="K157" s="1">
        <f t="shared" si="8"/>
        <v>0</v>
      </c>
    </row>
    <row r="158" spans="4:11" ht="15" customHeight="1">
      <c r="D158" s="6" t="s">
        <v>51</v>
      </c>
      <c r="E158" s="7"/>
      <c r="F158" s="7"/>
      <c r="G158" s="17">
        <v>2</v>
      </c>
      <c r="H158" s="17">
        <v>3</v>
      </c>
      <c r="I158" s="1">
        <f t="shared" si="7"/>
        <v>-1</v>
      </c>
      <c r="J158" s="1">
        <f t="shared" si="6"/>
        <v>1.4234356142490014</v>
      </c>
      <c r="K158" s="1">
        <f t="shared" si="8"/>
        <v>5.8730401764104352</v>
      </c>
    </row>
    <row r="159" spans="4:11" ht="15.75" thickBot="1">
      <c r="D159" s="8"/>
      <c r="E159" s="9" t="s">
        <v>37</v>
      </c>
      <c r="F159" s="9" t="s">
        <v>24</v>
      </c>
      <c r="G159" s="17"/>
      <c r="H159" s="17"/>
      <c r="I159" s="1" t="str">
        <f t="shared" si="7"/>
        <v/>
      </c>
      <c r="J159" s="1" t="str">
        <f t="shared" si="6"/>
        <v/>
      </c>
      <c r="K159" s="1">
        <f t="shared" si="8"/>
        <v>0</v>
      </c>
    </row>
    <row r="160" spans="4:11" ht="15" customHeight="1">
      <c r="D160" s="6" t="s">
        <v>52</v>
      </c>
      <c r="E160" s="7"/>
      <c r="F160" s="7"/>
      <c r="G160" s="17">
        <v>3</v>
      </c>
      <c r="H160" s="17">
        <v>5</v>
      </c>
      <c r="I160" s="1">
        <f t="shared" si="7"/>
        <v>-2</v>
      </c>
      <c r="J160" s="1">
        <f t="shared" si="6"/>
        <v>-9.7381064154888008E-2</v>
      </c>
      <c r="K160" s="1">
        <f t="shared" si="8"/>
        <v>3.6199588150363864</v>
      </c>
    </row>
    <row r="161" spans="4:11" ht="15.75" thickBot="1">
      <c r="D161" s="8"/>
      <c r="E161" s="9" t="s">
        <v>33</v>
      </c>
      <c r="F161" s="9" t="s">
        <v>2</v>
      </c>
      <c r="G161" s="17"/>
      <c r="H161" s="17"/>
      <c r="I161" s="1" t="str">
        <f t="shared" si="7"/>
        <v/>
      </c>
      <c r="J161" s="1" t="str">
        <f t="shared" si="6"/>
        <v/>
      </c>
      <c r="K161" s="1">
        <f t="shared" si="8"/>
        <v>0</v>
      </c>
    </row>
    <row r="162" spans="4:11" ht="15" customHeight="1">
      <c r="D162" s="6" t="s">
        <v>52</v>
      </c>
      <c r="E162" s="7"/>
      <c r="F162" s="7"/>
      <c r="G162" s="17">
        <v>4</v>
      </c>
      <c r="H162" s="17">
        <v>3</v>
      </c>
      <c r="I162" s="1">
        <f t="shared" si="7"/>
        <v>1</v>
      </c>
      <c r="J162" s="1">
        <f t="shared" si="6"/>
        <v>0.89187252499026215</v>
      </c>
      <c r="K162" s="1">
        <f t="shared" si="8"/>
        <v>1.1691550851981484E-2</v>
      </c>
    </row>
    <row r="163" spans="4:11" ht="15.75" thickBot="1">
      <c r="D163" s="8"/>
      <c r="E163" s="9" t="s">
        <v>38</v>
      </c>
      <c r="F163" s="9" t="s">
        <v>36</v>
      </c>
      <c r="G163" s="17"/>
      <c r="H163" s="17"/>
      <c r="I163" s="1" t="str">
        <f t="shared" si="7"/>
        <v/>
      </c>
      <c r="J163" s="1" t="str">
        <f t="shared" si="6"/>
        <v/>
      </c>
      <c r="K163" s="1">
        <f t="shared" si="8"/>
        <v>0</v>
      </c>
    </row>
    <row r="164" spans="4:11" ht="15" customHeight="1">
      <c r="D164" s="6" t="s">
        <v>52</v>
      </c>
      <c r="E164" s="7"/>
      <c r="F164" s="7"/>
      <c r="G164" s="17">
        <v>5</v>
      </c>
      <c r="H164" s="17">
        <v>2</v>
      </c>
      <c r="I164" s="1">
        <f t="shared" si="7"/>
        <v>3</v>
      </c>
      <c r="J164" s="1">
        <f t="shared" si="6"/>
        <v>-1.0905407614010301</v>
      </c>
      <c r="K164" s="1">
        <f t="shared" si="8"/>
        <v>16.732523720683318</v>
      </c>
    </row>
    <row r="165" spans="4:11" ht="15.75" thickBot="1">
      <c r="D165" s="8"/>
      <c r="E165" s="9" t="s">
        <v>0</v>
      </c>
      <c r="F165" s="9" t="s">
        <v>41</v>
      </c>
      <c r="G165" s="17"/>
      <c r="H165" s="17"/>
      <c r="I165" s="1" t="str">
        <f t="shared" si="7"/>
        <v/>
      </c>
      <c r="J165" s="1" t="str">
        <f t="shared" si="6"/>
        <v/>
      </c>
      <c r="K165" s="1">
        <f t="shared" si="8"/>
        <v>0</v>
      </c>
    </row>
    <row r="166" spans="4:11" ht="15" customHeight="1">
      <c r="D166" s="6" t="s">
        <v>52</v>
      </c>
      <c r="E166" s="7"/>
      <c r="F166" s="7"/>
      <c r="G166" s="17">
        <v>1</v>
      </c>
      <c r="H166" s="17">
        <v>2</v>
      </c>
      <c r="I166" s="1">
        <f t="shared" si="7"/>
        <v>-1</v>
      </c>
      <c r="J166" s="1">
        <f t="shared" si="6"/>
        <v>-0.21943248208037858</v>
      </c>
      <c r="K166" s="1">
        <f t="shared" si="8"/>
        <v>0.6092856500311985</v>
      </c>
    </row>
    <row r="167" spans="4:11" ht="15.75" thickBot="1">
      <c r="D167" s="8"/>
      <c r="E167" s="9" t="s">
        <v>13</v>
      </c>
      <c r="F167" s="9" t="s">
        <v>443</v>
      </c>
      <c r="G167" s="17"/>
      <c r="H167" s="17"/>
      <c r="I167" s="1" t="str">
        <f t="shared" si="7"/>
        <v/>
      </c>
      <c r="J167" s="1" t="str">
        <f t="shared" si="6"/>
        <v/>
      </c>
      <c r="K167" s="1">
        <f t="shared" si="8"/>
        <v>0</v>
      </c>
    </row>
    <row r="168" spans="4:11" ht="15" customHeight="1">
      <c r="D168" s="6" t="s">
        <v>52</v>
      </c>
      <c r="E168" s="7"/>
      <c r="F168" s="7"/>
      <c r="G168" s="17">
        <v>3</v>
      </c>
      <c r="H168" s="17">
        <v>4</v>
      </c>
      <c r="I168" s="1">
        <f t="shared" si="7"/>
        <v>-1</v>
      </c>
      <c r="J168" s="1">
        <f t="shared" si="6"/>
        <v>-0.93461096994850834</v>
      </c>
      <c r="K168" s="1">
        <f t="shared" si="8"/>
        <v>4.275725251074879E-3</v>
      </c>
    </row>
    <row r="169" spans="4:11" ht="15.75" thickBot="1">
      <c r="D169" s="8"/>
      <c r="E169" s="9" t="s">
        <v>26</v>
      </c>
      <c r="F169" s="9" t="s">
        <v>19</v>
      </c>
      <c r="G169" s="17"/>
      <c r="H169" s="17"/>
      <c r="I169" s="1" t="str">
        <f t="shared" si="7"/>
        <v/>
      </c>
      <c r="J169" s="1" t="str">
        <f t="shared" si="6"/>
        <v/>
      </c>
      <c r="K169" s="1">
        <f t="shared" si="8"/>
        <v>0</v>
      </c>
    </row>
    <row r="170" spans="4:11" ht="15" customHeight="1">
      <c r="D170" s="6" t="s">
        <v>52</v>
      </c>
      <c r="E170" s="7"/>
      <c r="F170" s="7"/>
      <c r="G170" s="17">
        <v>1</v>
      </c>
      <c r="H170" s="17">
        <v>3</v>
      </c>
      <c r="I170" s="1">
        <f t="shared" si="7"/>
        <v>-2</v>
      </c>
      <c r="J170" s="1">
        <f t="shared" si="6"/>
        <v>-0.57004192250845165</v>
      </c>
      <c r="K170" s="1">
        <f t="shared" si="8"/>
        <v>2.0447801033833248</v>
      </c>
    </row>
    <row r="171" spans="4:11" ht="15.75" thickBot="1">
      <c r="D171" s="8"/>
      <c r="E171" s="9" t="s">
        <v>28</v>
      </c>
      <c r="F171" s="9" t="s">
        <v>25</v>
      </c>
      <c r="G171" s="17"/>
      <c r="H171" s="17"/>
      <c r="I171" s="1" t="str">
        <f t="shared" si="7"/>
        <v/>
      </c>
      <c r="J171" s="1" t="str">
        <f t="shared" si="6"/>
        <v/>
      </c>
      <c r="K171" s="1">
        <f t="shared" si="8"/>
        <v>0</v>
      </c>
    </row>
    <row r="172" spans="4:11" ht="15" customHeight="1">
      <c r="D172" s="6" t="s">
        <v>52</v>
      </c>
      <c r="E172" s="7"/>
      <c r="F172" s="7"/>
      <c r="G172" s="17">
        <v>0</v>
      </c>
      <c r="H172" s="17">
        <v>4</v>
      </c>
      <c r="I172" s="1">
        <f t="shared" si="7"/>
        <v>-4</v>
      </c>
      <c r="J172" s="1">
        <f t="shared" si="6"/>
        <v>-0.81889614468616401</v>
      </c>
      <c r="K172" s="1">
        <f t="shared" si="8"/>
        <v>10.119421738292552</v>
      </c>
    </row>
    <row r="173" spans="4:11" ht="15.75" thickBot="1">
      <c r="D173" s="8"/>
      <c r="E173" s="9" t="s">
        <v>1</v>
      </c>
      <c r="F173" s="9" t="s">
        <v>20</v>
      </c>
      <c r="G173" s="17"/>
      <c r="H173" s="17"/>
      <c r="I173" s="1" t="str">
        <f t="shared" si="7"/>
        <v/>
      </c>
      <c r="J173" s="1" t="str">
        <f t="shared" si="6"/>
        <v/>
      </c>
      <c r="K173" s="1">
        <f t="shared" si="8"/>
        <v>0</v>
      </c>
    </row>
    <row r="174" spans="4:11" ht="15" customHeight="1">
      <c r="D174" s="6" t="s">
        <v>52</v>
      </c>
      <c r="E174" s="7"/>
      <c r="F174" s="7"/>
      <c r="G174" s="17">
        <v>3</v>
      </c>
      <c r="H174" s="17">
        <v>6</v>
      </c>
      <c r="I174" s="1">
        <f t="shared" si="7"/>
        <v>-3</v>
      </c>
      <c r="J174" s="1">
        <f t="shared" si="6"/>
        <v>0.24882105680957523</v>
      </c>
      <c r="K174" s="1">
        <f t="shared" si="8"/>
        <v>10.554838259169285</v>
      </c>
    </row>
    <row r="175" spans="4:11" ht="15.75" thickBot="1">
      <c r="D175" s="8"/>
      <c r="E175" s="9" t="s">
        <v>3</v>
      </c>
      <c r="F175" s="9" t="s">
        <v>21</v>
      </c>
      <c r="G175" s="17"/>
      <c r="H175" s="17"/>
      <c r="I175" s="1" t="str">
        <f t="shared" si="7"/>
        <v/>
      </c>
      <c r="J175" s="1" t="str">
        <f t="shared" si="6"/>
        <v/>
      </c>
      <c r="K175" s="1">
        <f t="shared" si="8"/>
        <v>0</v>
      </c>
    </row>
    <row r="176" spans="4:11" ht="15" customHeight="1">
      <c r="D176" s="6" t="s">
        <v>52</v>
      </c>
      <c r="E176" s="7"/>
      <c r="F176" s="7"/>
      <c r="G176" s="17">
        <v>4</v>
      </c>
      <c r="H176" s="17">
        <v>3</v>
      </c>
      <c r="I176" s="1">
        <f t="shared" si="7"/>
        <v>1</v>
      </c>
      <c r="J176" s="1">
        <f t="shared" si="6"/>
        <v>-0.22727376426495027</v>
      </c>
      <c r="K176" s="1">
        <f t="shared" si="8"/>
        <v>1.5062008924530608</v>
      </c>
    </row>
    <row r="177" spans="4:11" ht="15.75" thickBot="1">
      <c r="D177" s="8"/>
      <c r="E177" s="9" t="s">
        <v>14</v>
      </c>
      <c r="F177" s="9" t="s">
        <v>22</v>
      </c>
      <c r="G177" s="17"/>
      <c r="H177" s="17"/>
      <c r="I177" s="1" t="str">
        <f t="shared" si="7"/>
        <v/>
      </c>
      <c r="J177" s="1" t="str">
        <f t="shared" si="6"/>
        <v/>
      </c>
      <c r="K177" s="1">
        <f t="shared" si="8"/>
        <v>0</v>
      </c>
    </row>
    <row r="178" spans="4:11" ht="15" customHeight="1">
      <c r="D178" s="6" t="s">
        <v>52</v>
      </c>
      <c r="E178" s="7"/>
      <c r="F178" s="7"/>
      <c r="G178" s="17">
        <v>2</v>
      </c>
      <c r="H178" s="17">
        <v>1</v>
      </c>
      <c r="I178" s="1">
        <f t="shared" si="7"/>
        <v>1</v>
      </c>
      <c r="J178" s="1">
        <f t="shared" si="6"/>
        <v>0.25420415649358574</v>
      </c>
      <c r="K178" s="1">
        <f t="shared" si="8"/>
        <v>0.55621144019144397</v>
      </c>
    </row>
    <row r="179" spans="4:11" ht="15.75" thickBot="1">
      <c r="D179" s="8"/>
      <c r="E179" s="9" t="s">
        <v>37</v>
      </c>
      <c r="F179" s="9" t="s">
        <v>4</v>
      </c>
      <c r="G179" s="17"/>
      <c r="H179" s="17"/>
      <c r="I179" s="1" t="str">
        <f t="shared" si="7"/>
        <v/>
      </c>
      <c r="J179" s="1" t="str">
        <f t="shared" si="6"/>
        <v/>
      </c>
      <c r="K179" s="1">
        <f t="shared" si="8"/>
        <v>0</v>
      </c>
    </row>
    <row r="180" spans="4:11" ht="15" customHeight="1">
      <c r="D180" s="6" t="s">
        <v>53</v>
      </c>
      <c r="E180" s="7"/>
      <c r="F180" s="7"/>
      <c r="G180" s="17">
        <v>5</v>
      </c>
      <c r="H180" s="17">
        <v>3</v>
      </c>
      <c r="I180" s="1">
        <f t="shared" si="7"/>
        <v>2</v>
      </c>
      <c r="J180" s="1">
        <f t="shared" si="6"/>
        <v>-0.54813363202706</v>
      </c>
      <c r="K180" s="1">
        <f t="shared" si="8"/>
        <v>6.4929850066674168</v>
      </c>
    </row>
    <row r="181" spans="4:11" ht="15.75" thickBot="1">
      <c r="D181" s="8"/>
      <c r="E181" s="9" t="s">
        <v>1</v>
      </c>
      <c r="F181" s="9" t="s">
        <v>11</v>
      </c>
      <c r="G181" s="17"/>
      <c r="H181" s="17"/>
      <c r="I181" s="1" t="str">
        <f t="shared" si="7"/>
        <v/>
      </c>
      <c r="J181" s="1" t="str">
        <f t="shared" si="6"/>
        <v/>
      </c>
      <c r="K181" s="1">
        <f t="shared" si="8"/>
        <v>0</v>
      </c>
    </row>
    <row r="182" spans="4:11" ht="15" customHeight="1">
      <c r="D182" s="6" t="s">
        <v>53</v>
      </c>
      <c r="E182" s="7"/>
      <c r="F182" s="7"/>
      <c r="G182" s="17">
        <v>2</v>
      </c>
      <c r="H182" s="17">
        <v>3</v>
      </c>
      <c r="I182" s="1">
        <f t="shared" si="7"/>
        <v>-1</v>
      </c>
      <c r="J182" s="1">
        <f t="shared" si="6"/>
        <v>1.3212008865897076</v>
      </c>
      <c r="K182" s="1">
        <f t="shared" si="8"/>
        <v>5.3879735559048445</v>
      </c>
    </row>
    <row r="183" spans="4:11" ht="15.75" thickBot="1">
      <c r="D183" s="8"/>
      <c r="E183" s="9" t="s">
        <v>12</v>
      </c>
      <c r="F183" s="9" t="s">
        <v>24</v>
      </c>
      <c r="G183" s="17"/>
      <c r="H183" s="17"/>
      <c r="I183" s="1" t="str">
        <f t="shared" si="7"/>
        <v/>
      </c>
      <c r="J183" s="1" t="str">
        <f t="shared" si="6"/>
        <v/>
      </c>
      <c r="K183" s="1">
        <f t="shared" si="8"/>
        <v>0</v>
      </c>
    </row>
    <row r="184" spans="4:11" ht="15" customHeight="1">
      <c r="D184" s="6" t="s">
        <v>53</v>
      </c>
      <c r="E184" s="7"/>
      <c r="F184" s="7"/>
      <c r="G184" s="17">
        <v>1</v>
      </c>
      <c r="H184" s="17">
        <v>4</v>
      </c>
      <c r="I184" s="1">
        <f t="shared" si="7"/>
        <v>-3</v>
      </c>
      <c r="J184" s="1">
        <f t="shared" si="6"/>
        <v>-0.82573689439544751</v>
      </c>
      <c r="K184" s="1">
        <f t="shared" si="8"/>
        <v>4.7274200523931533</v>
      </c>
    </row>
    <row r="185" spans="4:11" ht="15.75" thickBot="1">
      <c r="D185" s="8"/>
      <c r="E185" s="9" t="s">
        <v>8</v>
      </c>
      <c r="F185" s="9" t="s">
        <v>10</v>
      </c>
      <c r="G185" s="17"/>
      <c r="H185" s="17"/>
      <c r="I185" s="1" t="str">
        <f t="shared" si="7"/>
        <v/>
      </c>
      <c r="J185" s="1" t="str">
        <f t="shared" si="6"/>
        <v/>
      </c>
      <c r="K185" s="1">
        <f t="shared" si="8"/>
        <v>0</v>
      </c>
    </row>
    <row r="186" spans="4:11" ht="15" customHeight="1">
      <c r="D186" s="6" t="s">
        <v>54</v>
      </c>
      <c r="E186" s="7"/>
      <c r="F186" s="7"/>
      <c r="G186" s="17">
        <v>3</v>
      </c>
      <c r="H186" s="17">
        <v>2</v>
      </c>
      <c r="I186" s="1">
        <f t="shared" si="7"/>
        <v>1</v>
      </c>
      <c r="J186" s="1">
        <f t="shared" si="6"/>
        <v>0.4786607447554303</v>
      </c>
      <c r="K186" s="1">
        <f t="shared" si="8"/>
        <v>0.27179461905896257</v>
      </c>
    </row>
    <row r="187" spans="4:11" ht="15.75" thickBot="1">
      <c r="D187" s="8"/>
      <c r="E187" s="9" t="s">
        <v>41</v>
      </c>
      <c r="F187" s="9" t="s">
        <v>2</v>
      </c>
      <c r="G187" s="17"/>
      <c r="H187" s="17"/>
      <c r="I187" s="1" t="str">
        <f t="shared" si="7"/>
        <v/>
      </c>
      <c r="J187" s="1" t="str">
        <f t="shared" si="6"/>
        <v/>
      </c>
      <c r="K187" s="1">
        <f t="shared" si="8"/>
        <v>0</v>
      </c>
    </row>
    <row r="188" spans="4:11" ht="15" customHeight="1">
      <c r="D188" s="6" t="s">
        <v>54</v>
      </c>
      <c r="E188" s="7"/>
      <c r="F188" s="7"/>
      <c r="G188" s="17">
        <v>3</v>
      </c>
      <c r="H188" s="17">
        <v>4</v>
      </c>
      <c r="I188" s="1">
        <f t="shared" si="7"/>
        <v>-1</v>
      </c>
      <c r="J188" s="1">
        <f t="shared" si="6"/>
        <v>0.15089142004582357</v>
      </c>
      <c r="K188" s="1">
        <f t="shared" si="8"/>
        <v>1.3245510607350923</v>
      </c>
    </row>
    <row r="189" spans="4:11" ht="15.75" thickBot="1">
      <c r="D189" s="8"/>
      <c r="E189" s="9" t="s">
        <v>11</v>
      </c>
      <c r="F189" s="9" t="s">
        <v>13</v>
      </c>
      <c r="G189" s="17"/>
      <c r="H189" s="17"/>
      <c r="I189" s="1" t="str">
        <f t="shared" si="7"/>
        <v/>
      </c>
      <c r="J189" s="1" t="str">
        <f t="shared" si="6"/>
        <v/>
      </c>
      <c r="K189" s="1">
        <f t="shared" si="8"/>
        <v>0</v>
      </c>
    </row>
    <row r="190" spans="4:11" ht="15" customHeight="1">
      <c r="D190" s="6" t="s">
        <v>54</v>
      </c>
      <c r="E190" s="7"/>
      <c r="F190" s="7"/>
      <c r="G190" s="17">
        <v>4</v>
      </c>
      <c r="H190" s="17">
        <v>1</v>
      </c>
      <c r="I190" s="1">
        <f t="shared" si="7"/>
        <v>3</v>
      </c>
      <c r="J190" s="1">
        <f t="shared" si="6"/>
        <v>-0.33744438407747168</v>
      </c>
      <c r="K190" s="1">
        <f t="shared" si="8"/>
        <v>11.138535016810254</v>
      </c>
    </row>
    <row r="191" spans="4:11" ht="15.75" thickBot="1">
      <c r="D191" s="8"/>
      <c r="E191" s="9" t="s">
        <v>3</v>
      </c>
      <c r="F191" s="9" t="s">
        <v>39</v>
      </c>
      <c r="G191" s="17"/>
      <c r="H191" s="17"/>
      <c r="I191" s="1" t="str">
        <f t="shared" si="7"/>
        <v/>
      </c>
      <c r="J191" s="1" t="str">
        <f t="shared" si="6"/>
        <v/>
      </c>
      <c r="K191" s="1">
        <f t="shared" si="8"/>
        <v>0</v>
      </c>
    </row>
    <row r="192" spans="4:11" ht="15" customHeight="1">
      <c r="D192" s="6" t="s">
        <v>54</v>
      </c>
      <c r="E192" s="7"/>
      <c r="F192" s="7"/>
      <c r="G192" s="17">
        <v>2</v>
      </c>
      <c r="H192" s="17">
        <v>3</v>
      </c>
      <c r="I192" s="1">
        <f t="shared" si="7"/>
        <v>-1</v>
      </c>
      <c r="J192" s="1">
        <f t="shared" si="6"/>
        <v>0.1352999060413822</v>
      </c>
      <c r="K192" s="1">
        <f t="shared" si="8"/>
        <v>1.2889058766575712</v>
      </c>
    </row>
    <row r="193" spans="4:11" ht="15.75" thickBot="1">
      <c r="D193" s="8"/>
      <c r="E193" s="9" t="s">
        <v>20</v>
      </c>
      <c r="F193" s="9" t="s">
        <v>19</v>
      </c>
      <c r="G193" s="17"/>
      <c r="H193" s="17"/>
      <c r="I193" s="1" t="str">
        <f t="shared" si="7"/>
        <v/>
      </c>
      <c r="J193" s="1" t="str">
        <f t="shared" si="6"/>
        <v/>
      </c>
      <c r="K193" s="1">
        <f t="shared" si="8"/>
        <v>0</v>
      </c>
    </row>
    <row r="194" spans="4:11" ht="15" customHeight="1">
      <c r="D194" s="6" t="s">
        <v>54</v>
      </c>
      <c r="E194" s="7"/>
      <c r="F194" s="7"/>
      <c r="G194" s="17">
        <v>0</v>
      </c>
      <c r="H194" s="17">
        <v>2</v>
      </c>
      <c r="I194" s="1">
        <f t="shared" si="7"/>
        <v>-2</v>
      </c>
      <c r="J194" s="1">
        <f t="shared" si="6"/>
        <v>-0.94396886820456416</v>
      </c>
      <c r="K194" s="1">
        <f t="shared" si="8"/>
        <v>1.1152017513211492</v>
      </c>
    </row>
    <row r="195" spans="4:11" ht="15.75" thickBot="1">
      <c r="D195" s="8"/>
      <c r="E195" s="9" t="s">
        <v>26</v>
      </c>
      <c r="F195" s="9" t="s">
        <v>23</v>
      </c>
      <c r="G195" s="17"/>
      <c r="H195" s="17"/>
      <c r="I195" s="1" t="str">
        <f t="shared" si="7"/>
        <v/>
      </c>
      <c r="J195" s="1" t="str">
        <f t="shared" ref="J195:J258" si="9">IF(F196="","",VLOOKUP(F196,$A$2:$B$31,2)+$B$33-VLOOKUP(E196,$A$2:$B$31,2))</f>
        <v/>
      </c>
      <c r="K195" s="1">
        <f t="shared" si="8"/>
        <v>0</v>
      </c>
    </row>
    <row r="196" spans="4:11" ht="15" customHeight="1">
      <c r="D196" s="6" t="s">
        <v>54</v>
      </c>
      <c r="E196" s="7"/>
      <c r="F196" s="7"/>
      <c r="G196" s="17">
        <v>0</v>
      </c>
      <c r="H196" s="17">
        <v>5</v>
      </c>
      <c r="I196" s="1">
        <f t="shared" ref="I196:I259" si="10">IF(G196="","",G196-H196)</f>
        <v>-5</v>
      </c>
      <c r="J196" s="1">
        <f t="shared" si="9"/>
        <v>-0.65448514329509067</v>
      </c>
      <c r="K196" s="1">
        <f t="shared" ref="K196:K259" si="11">IF(J196="",0,(I196-J196)^2)</f>
        <v>18.88349936984309</v>
      </c>
    </row>
    <row r="197" spans="4:11" ht="15.75" thickBot="1">
      <c r="D197" s="8"/>
      <c r="E197" s="9" t="s">
        <v>28</v>
      </c>
      <c r="F197" s="9" t="s">
        <v>4</v>
      </c>
      <c r="G197" s="17"/>
      <c r="H197" s="17"/>
      <c r="I197" s="1" t="str">
        <f t="shared" si="10"/>
        <v/>
      </c>
      <c r="J197" s="1" t="str">
        <f t="shared" si="9"/>
        <v/>
      </c>
      <c r="K197" s="1">
        <f t="shared" si="11"/>
        <v>0</v>
      </c>
    </row>
    <row r="198" spans="4:11" ht="15" customHeight="1">
      <c r="D198" s="6" t="s">
        <v>54</v>
      </c>
      <c r="E198" s="7"/>
      <c r="F198" s="7"/>
      <c r="G198" s="17">
        <v>0</v>
      </c>
      <c r="H198" s="17">
        <v>2</v>
      </c>
      <c r="I198" s="1">
        <f t="shared" si="10"/>
        <v>-2</v>
      </c>
      <c r="J198" s="1">
        <f t="shared" si="9"/>
        <v>-1.4483332047126822</v>
      </c>
      <c r="K198" s="1">
        <f t="shared" si="11"/>
        <v>0.30433625302257938</v>
      </c>
    </row>
    <row r="199" spans="4:11" ht="15.75" thickBot="1">
      <c r="D199" s="8"/>
      <c r="E199" s="9" t="s">
        <v>8</v>
      </c>
      <c r="F199" s="9" t="s">
        <v>34</v>
      </c>
      <c r="G199" s="17"/>
      <c r="H199" s="17"/>
      <c r="I199" s="1" t="str">
        <f t="shared" si="10"/>
        <v/>
      </c>
      <c r="J199" s="1" t="str">
        <f t="shared" si="9"/>
        <v/>
      </c>
      <c r="K199" s="1">
        <f t="shared" si="11"/>
        <v>0</v>
      </c>
    </row>
    <row r="200" spans="4:11" ht="15" customHeight="1">
      <c r="D200" s="6" t="s">
        <v>54</v>
      </c>
      <c r="E200" s="7"/>
      <c r="F200" s="7"/>
      <c r="G200" s="17">
        <v>5</v>
      </c>
      <c r="H200" s="17">
        <v>4</v>
      </c>
      <c r="I200" s="1">
        <f t="shared" si="10"/>
        <v>1</v>
      </c>
      <c r="J200" s="1">
        <f t="shared" si="9"/>
        <v>-0.25657316772151262</v>
      </c>
      <c r="K200" s="1">
        <f t="shared" si="11"/>
        <v>1.5789761258376767</v>
      </c>
    </row>
    <row r="201" spans="4:11" ht="15.75" thickBot="1">
      <c r="D201" s="8"/>
      <c r="E201" s="9" t="s">
        <v>7</v>
      </c>
      <c r="F201" s="9" t="s">
        <v>33</v>
      </c>
      <c r="G201" s="17"/>
      <c r="H201" s="17"/>
      <c r="I201" s="1" t="str">
        <f t="shared" si="10"/>
        <v/>
      </c>
      <c r="J201" s="1" t="str">
        <f t="shared" si="9"/>
        <v/>
      </c>
      <c r="K201" s="1">
        <f t="shared" si="11"/>
        <v>0</v>
      </c>
    </row>
    <row r="202" spans="4:11" ht="15" customHeight="1">
      <c r="D202" s="6" t="s">
        <v>55</v>
      </c>
      <c r="E202" s="7"/>
      <c r="F202" s="7"/>
      <c r="G202" s="17">
        <v>3</v>
      </c>
      <c r="H202" s="17">
        <v>2</v>
      </c>
      <c r="I202" s="1">
        <f t="shared" si="10"/>
        <v>1</v>
      </c>
      <c r="J202" s="1">
        <f t="shared" si="9"/>
        <v>0.27841084907005609</v>
      </c>
      <c r="K202" s="1">
        <f t="shared" si="11"/>
        <v>0.52069090273979735</v>
      </c>
    </row>
    <row r="203" spans="4:11" ht="15.75" thickBot="1">
      <c r="D203" s="8"/>
      <c r="E203" s="9" t="s">
        <v>21</v>
      </c>
      <c r="F203" s="9" t="s">
        <v>36</v>
      </c>
      <c r="G203" s="17"/>
      <c r="H203" s="17"/>
      <c r="I203" s="1" t="str">
        <f t="shared" si="10"/>
        <v/>
      </c>
      <c r="J203" s="1" t="str">
        <f t="shared" si="9"/>
        <v/>
      </c>
      <c r="K203" s="1">
        <f t="shared" si="11"/>
        <v>0</v>
      </c>
    </row>
    <row r="204" spans="4:11" ht="15" customHeight="1">
      <c r="D204" s="6" t="s">
        <v>55</v>
      </c>
      <c r="E204" s="7"/>
      <c r="F204" s="7"/>
      <c r="G204" s="17">
        <v>4</v>
      </c>
      <c r="H204" s="17">
        <v>2</v>
      </c>
      <c r="I204" s="1">
        <f t="shared" si="10"/>
        <v>2</v>
      </c>
      <c r="J204" s="1">
        <f t="shared" si="9"/>
        <v>0.33864737728022476</v>
      </c>
      <c r="K204" s="1">
        <f t="shared" si="11"/>
        <v>2.7600925370178757</v>
      </c>
    </row>
    <row r="205" spans="4:11" ht="15.75" thickBot="1">
      <c r="D205" s="8"/>
      <c r="E205" s="9" t="s">
        <v>37</v>
      </c>
      <c r="F205" s="9" t="s">
        <v>25</v>
      </c>
      <c r="G205" s="17"/>
      <c r="H205" s="17"/>
      <c r="I205" s="1" t="str">
        <f t="shared" si="10"/>
        <v/>
      </c>
      <c r="J205" s="1" t="str">
        <f t="shared" si="9"/>
        <v/>
      </c>
      <c r="K205" s="1">
        <f t="shared" si="11"/>
        <v>0</v>
      </c>
    </row>
    <row r="206" spans="4:11" ht="15" customHeight="1">
      <c r="D206" s="6" t="s">
        <v>55</v>
      </c>
      <c r="E206" s="7"/>
      <c r="F206" s="7"/>
      <c r="G206" s="17">
        <v>3</v>
      </c>
      <c r="H206" s="17">
        <v>7</v>
      </c>
      <c r="I206" s="1">
        <f t="shared" si="10"/>
        <v>-4</v>
      </c>
      <c r="J206" s="1">
        <f t="shared" si="9"/>
        <v>0.20963948812980959</v>
      </c>
      <c r="K206" s="1">
        <f t="shared" si="11"/>
        <v>17.721064620021806</v>
      </c>
    </row>
    <row r="207" spans="4:11" ht="15.75" thickBot="1">
      <c r="D207" s="8"/>
      <c r="E207" s="9" t="s">
        <v>3</v>
      </c>
      <c r="F207" s="9" t="s">
        <v>22</v>
      </c>
      <c r="G207" s="17"/>
      <c r="H207" s="17"/>
      <c r="I207" s="1" t="str">
        <f t="shared" si="10"/>
        <v/>
      </c>
      <c r="J207" s="1" t="str">
        <f t="shared" si="9"/>
        <v/>
      </c>
      <c r="K207" s="1">
        <f t="shared" si="11"/>
        <v>0</v>
      </c>
    </row>
    <row r="208" spans="4:11" ht="15" customHeight="1">
      <c r="D208" s="6" t="s">
        <v>55</v>
      </c>
      <c r="E208" s="7"/>
      <c r="F208" s="7"/>
      <c r="G208" s="17">
        <v>3</v>
      </c>
      <c r="H208" s="17">
        <v>6</v>
      </c>
      <c r="I208" s="1">
        <f t="shared" si="10"/>
        <v>-3</v>
      </c>
      <c r="J208" s="1">
        <f t="shared" si="9"/>
        <v>0.51474631446032504</v>
      </c>
      <c r="K208" s="1">
        <f t="shared" si="11"/>
        <v>12.353441655012437</v>
      </c>
    </row>
    <row r="209" spans="4:11" ht="15.75" thickBot="1">
      <c r="D209" s="8"/>
      <c r="E209" s="9" t="s">
        <v>28</v>
      </c>
      <c r="F209" s="9" t="s">
        <v>24</v>
      </c>
      <c r="G209" s="17"/>
      <c r="H209" s="17"/>
      <c r="I209" s="1" t="str">
        <f t="shared" si="10"/>
        <v/>
      </c>
      <c r="J209" s="1" t="str">
        <f t="shared" si="9"/>
        <v/>
      </c>
      <c r="K209" s="1">
        <f t="shared" si="11"/>
        <v>0</v>
      </c>
    </row>
    <row r="210" spans="4:11" ht="15" customHeight="1">
      <c r="D210" s="6" t="s">
        <v>55</v>
      </c>
      <c r="E210" s="7"/>
      <c r="F210" s="7"/>
      <c r="G210" s="17">
        <v>1</v>
      </c>
      <c r="H210" s="17">
        <v>4</v>
      </c>
      <c r="I210" s="1">
        <f t="shared" si="10"/>
        <v>-3</v>
      </c>
      <c r="J210" s="1">
        <f t="shared" si="9"/>
        <v>0.23032160803280988</v>
      </c>
      <c r="K210" s="1">
        <f t="shared" si="11"/>
        <v>10.434977691323679</v>
      </c>
    </row>
    <row r="211" spans="4:11" ht="15.75" thickBot="1">
      <c r="D211" s="8"/>
      <c r="E211" s="9" t="s">
        <v>7</v>
      </c>
      <c r="F211" s="9" t="s">
        <v>10</v>
      </c>
      <c r="G211" s="17"/>
      <c r="H211" s="17"/>
      <c r="I211" s="1" t="str">
        <f t="shared" si="10"/>
        <v/>
      </c>
      <c r="J211" s="1" t="str">
        <f t="shared" si="9"/>
        <v/>
      </c>
      <c r="K211" s="1">
        <f t="shared" si="11"/>
        <v>0</v>
      </c>
    </row>
    <row r="212" spans="4:11" ht="15" customHeight="1">
      <c r="D212" s="6" t="s">
        <v>56</v>
      </c>
      <c r="E212" s="7"/>
      <c r="F212" s="7"/>
      <c r="G212" s="17">
        <v>2</v>
      </c>
      <c r="H212" s="17">
        <v>1</v>
      </c>
      <c r="I212" s="1">
        <f t="shared" si="10"/>
        <v>1</v>
      </c>
      <c r="J212" s="1">
        <f t="shared" si="9"/>
        <v>-1.31263167014977</v>
      </c>
      <c r="K212" s="1">
        <f t="shared" si="11"/>
        <v>5.348265241779715</v>
      </c>
    </row>
    <row r="213" spans="4:11" ht="15.75" thickBot="1">
      <c r="D213" s="8"/>
      <c r="E213" s="9" t="s">
        <v>8</v>
      </c>
      <c r="F213" s="9" t="s">
        <v>33</v>
      </c>
      <c r="G213" s="17"/>
      <c r="H213" s="17"/>
      <c r="I213" s="1" t="str">
        <f t="shared" si="10"/>
        <v/>
      </c>
      <c r="J213" s="1" t="str">
        <f t="shared" si="9"/>
        <v/>
      </c>
      <c r="K213" s="1">
        <f t="shared" si="11"/>
        <v>0</v>
      </c>
    </row>
    <row r="214" spans="4:11" ht="15" customHeight="1">
      <c r="D214" s="6" t="s">
        <v>56</v>
      </c>
      <c r="E214" s="7"/>
      <c r="F214" s="7"/>
      <c r="G214" s="17">
        <v>4</v>
      </c>
      <c r="H214" s="17">
        <v>1</v>
      </c>
      <c r="I214" s="1">
        <f t="shared" si="10"/>
        <v>3</v>
      </c>
      <c r="J214" s="1">
        <f t="shared" si="9"/>
        <v>0.61188001664559977</v>
      </c>
      <c r="K214" s="1">
        <f t="shared" si="11"/>
        <v>5.7031170548966212</v>
      </c>
    </row>
    <row r="215" spans="4:11" ht="15.75" thickBot="1">
      <c r="D215" s="8"/>
      <c r="E215" s="9" t="s">
        <v>2</v>
      </c>
      <c r="F215" s="9" t="s">
        <v>0</v>
      </c>
      <c r="G215" s="17"/>
      <c r="H215" s="17"/>
      <c r="I215" s="1" t="str">
        <f t="shared" si="10"/>
        <v/>
      </c>
      <c r="J215" s="1" t="str">
        <f t="shared" si="9"/>
        <v/>
      </c>
      <c r="K215" s="1">
        <f t="shared" si="11"/>
        <v>0</v>
      </c>
    </row>
    <row r="216" spans="4:11" ht="15" customHeight="1">
      <c r="D216" s="6" t="s">
        <v>56</v>
      </c>
      <c r="E216" s="7"/>
      <c r="F216" s="7"/>
      <c r="G216" s="17">
        <v>1</v>
      </c>
      <c r="H216" s="17">
        <v>3</v>
      </c>
      <c r="I216" s="1">
        <f t="shared" si="10"/>
        <v>-2</v>
      </c>
      <c r="J216" s="1">
        <f t="shared" si="9"/>
        <v>0.19524715929929926</v>
      </c>
      <c r="K216" s="1">
        <f t="shared" si="11"/>
        <v>4.8191100904116428</v>
      </c>
    </row>
    <row r="217" spans="4:11" ht="15.75" thickBot="1">
      <c r="D217" s="8"/>
      <c r="E217" s="9" t="s">
        <v>38</v>
      </c>
      <c r="F217" s="9" t="s">
        <v>443</v>
      </c>
      <c r="G217" s="17"/>
      <c r="H217" s="17"/>
      <c r="I217" s="1" t="str">
        <f t="shared" si="10"/>
        <v/>
      </c>
      <c r="J217" s="1" t="str">
        <f t="shared" si="9"/>
        <v/>
      </c>
      <c r="K217" s="1">
        <f t="shared" si="11"/>
        <v>0</v>
      </c>
    </row>
    <row r="218" spans="4:11" ht="15" customHeight="1">
      <c r="D218" s="6" t="s">
        <v>56</v>
      </c>
      <c r="E218" s="7"/>
      <c r="F218" s="7"/>
      <c r="G218" s="17">
        <v>3</v>
      </c>
      <c r="H218" s="17">
        <v>2</v>
      </c>
      <c r="I218" s="1">
        <f t="shared" si="10"/>
        <v>1</v>
      </c>
      <c r="J218" s="1">
        <f t="shared" si="9"/>
        <v>-0.50915636669607522</v>
      </c>
      <c r="K218" s="1">
        <f t="shared" si="11"/>
        <v>2.2775529391392988</v>
      </c>
    </row>
    <row r="219" spans="4:11" ht="15.75" thickBot="1">
      <c r="D219" s="8"/>
      <c r="E219" s="9" t="s">
        <v>36</v>
      </c>
      <c r="F219" s="9" t="s">
        <v>18</v>
      </c>
      <c r="G219" s="17"/>
      <c r="H219" s="17"/>
      <c r="I219" s="1" t="str">
        <f t="shared" si="10"/>
        <v/>
      </c>
      <c r="J219" s="1" t="str">
        <f t="shared" si="9"/>
        <v/>
      </c>
      <c r="K219" s="1">
        <f t="shared" si="11"/>
        <v>0</v>
      </c>
    </row>
    <row r="220" spans="4:11" ht="15" customHeight="1">
      <c r="D220" s="6" t="s">
        <v>56</v>
      </c>
      <c r="E220" s="7"/>
      <c r="F220" s="7"/>
      <c r="G220" s="17">
        <v>5</v>
      </c>
      <c r="H220" s="17">
        <v>7</v>
      </c>
      <c r="I220" s="1">
        <f t="shared" si="10"/>
        <v>-2</v>
      </c>
      <c r="J220" s="1">
        <f t="shared" si="9"/>
        <v>-0.61346167592020606</v>
      </c>
      <c r="K220" s="1">
        <f t="shared" si="11"/>
        <v>1.9224885241420038</v>
      </c>
    </row>
    <row r="221" spans="4:11" ht="15.75" thickBot="1">
      <c r="D221" s="8"/>
      <c r="E221" s="9" t="s">
        <v>21</v>
      </c>
      <c r="F221" s="9" t="s">
        <v>41</v>
      </c>
      <c r="G221" s="17"/>
      <c r="H221" s="17"/>
      <c r="I221" s="1" t="str">
        <f t="shared" si="10"/>
        <v/>
      </c>
      <c r="J221" s="1" t="str">
        <f t="shared" si="9"/>
        <v/>
      </c>
      <c r="K221" s="1">
        <f t="shared" si="11"/>
        <v>0</v>
      </c>
    </row>
    <row r="222" spans="4:11" ht="15" customHeight="1">
      <c r="D222" s="6" t="s">
        <v>56</v>
      </c>
      <c r="E222" s="7"/>
      <c r="F222" s="7"/>
      <c r="G222" s="17">
        <v>2</v>
      </c>
      <c r="H222" s="17">
        <v>4</v>
      </c>
      <c r="I222" s="1">
        <f t="shared" si="10"/>
        <v>-2</v>
      </c>
      <c r="J222" s="1">
        <f t="shared" si="9"/>
        <v>0.39724221198123644</v>
      </c>
      <c r="K222" s="1">
        <f t="shared" si="11"/>
        <v>5.7467702229046917</v>
      </c>
    </row>
    <row r="223" spans="4:11" ht="30.75" thickBot="1">
      <c r="D223" s="8"/>
      <c r="E223" s="9" t="s">
        <v>13</v>
      </c>
      <c r="F223" s="9" t="s">
        <v>1</v>
      </c>
      <c r="G223" s="17"/>
      <c r="H223" s="17"/>
      <c r="I223" s="1" t="str">
        <f t="shared" si="10"/>
        <v/>
      </c>
      <c r="J223" s="1" t="str">
        <f t="shared" si="9"/>
        <v/>
      </c>
      <c r="K223" s="1">
        <f t="shared" si="11"/>
        <v>0</v>
      </c>
    </row>
    <row r="224" spans="4:11" ht="18" customHeight="1">
      <c r="D224" s="6" t="s">
        <v>56</v>
      </c>
      <c r="E224" s="7"/>
      <c r="F224" s="7"/>
      <c r="G224" s="17">
        <v>2</v>
      </c>
      <c r="H224" s="17">
        <v>3</v>
      </c>
      <c r="I224" s="1">
        <f t="shared" si="10"/>
        <v>-1</v>
      </c>
      <c r="J224" s="1">
        <f t="shared" si="9"/>
        <v>3.4170526358408893E-2</v>
      </c>
      <c r="K224" s="1">
        <f t="shared" si="11"/>
        <v>1.0695086775884286</v>
      </c>
    </row>
    <row r="225" spans="4:11" ht="15.75" thickBot="1">
      <c r="D225" s="8"/>
      <c r="E225" s="9" t="s">
        <v>20</v>
      </c>
      <c r="F225" s="9" t="s">
        <v>39</v>
      </c>
      <c r="G225" s="17"/>
      <c r="H225" s="17"/>
      <c r="I225" s="1" t="str">
        <f t="shared" si="10"/>
        <v/>
      </c>
      <c r="J225" s="1" t="str">
        <f t="shared" si="9"/>
        <v/>
      </c>
      <c r="K225" s="1">
        <f t="shared" si="11"/>
        <v>0</v>
      </c>
    </row>
    <row r="226" spans="4:11" ht="15" customHeight="1">
      <c r="D226" s="6" t="s">
        <v>56</v>
      </c>
      <c r="E226" s="7"/>
      <c r="F226" s="7"/>
      <c r="G226" s="17">
        <v>3</v>
      </c>
      <c r="H226" s="17">
        <v>0</v>
      </c>
      <c r="I226" s="1">
        <f t="shared" si="10"/>
        <v>3</v>
      </c>
      <c r="J226" s="1">
        <f t="shared" si="9"/>
        <v>-0.1354626066177218</v>
      </c>
      <c r="K226" s="1">
        <f t="shared" si="11"/>
        <v>9.8311257574979987</v>
      </c>
    </row>
    <row r="227" spans="4:11" ht="15.75" thickBot="1">
      <c r="D227" s="8"/>
      <c r="E227" s="9" t="s">
        <v>11</v>
      </c>
      <c r="F227" s="9" t="s">
        <v>19</v>
      </c>
      <c r="G227" s="17"/>
      <c r="H227" s="17"/>
      <c r="I227" s="1" t="str">
        <f t="shared" si="10"/>
        <v/>
      </c>
      <c r="J227" s="1" t="str">
        <f t="shared" si="9"/>
        <v/>
      </c>
      <c r="K227" s="1">
        <f t="shared" si="11"/>
        <v>0</v>
      </c>
    </row>
    <row r="228" spans="4:11" ht="15" customHeight="1">
      <c r="D228" s="6" t="s">
        <v>56</v>
      </c>
      <c r="E228" s="7"/>
      <c r="F228" s="7"/>
      <c r="G228" s="17">
        <v>2</v>
      </c>
      <c r="H228" s="17">
        <v>7</v>
      </c>
      <c r="I228" s="1">
        <f t="shared" si="10"/>
        <v>-5</v>
      </c>
      <c r="J228" s="1">
        <f t="shared" si="9"/>
        <v>0.12006420177799271</v>
      </c>
      <c r="K228" s="1">
        <f t="shared" si="11"/>
        <v>26.215057430328514</v>
      </c>
    </row>
    <row r="229" spans="4:11" ht="15.75" thickBot="1">
      <c r="D229" s="8"/>
      <c r="E229" s="9" t="s">
        <v>37</v>
      </c>
      <c r="F229" s="9" t="s">
        <v>23</v>
      </c>
      <c r="G229" s="17"/>
      <c r="H229" s="17"/>
      <c r="I229" s="1" t="str">
        <f t="shared" si="10"/>
        <v/>
      </c>
      <c r="J229" s="1" t="str">
        <f t="shared" si="9"/>
        <v/>
      </c>
      <c r="K229" s="1">
        <f t="shared" si="11"/>
        <v>0</v>
      </c>
    </row>
    <row r="230" spans="4:11" ht="18" customHeight="1">
      <c r="D230" s="6" t="s">
        <v>56</v>
      </c>
      <c r="E230" s="7"/>
      <c r="F230" s="7"/>
      <c r="G230" s="17">
        <v>1</v>
      </c>
      <c r="H230" s="17">
        <v>2</v>
      </c>
      <c r="I230" s="1">
        <f t="shared" si="10"/>
        <v>-1</v>
      </c>
      <c r="J230" s="1">
        <f t="shared" si="9"/>
        <v>0.2613827131592501</v>
      </c>
      <c r="K230" s="1">
        <f t="shared" si="11"/>
        <v>1.5910863490569911</v>
      </c>
    </row>
    <row r="231" spans="4:11" ht="15.75" thickBot="1">
      <c r="D231" s="8"/>
      <c r="E231" s="9" t="s">
        <v>14</v>
      </c>
      <c r="F231" s="9" t="s">
        <v>26</v>
      </c>
      <c r="G231" s="17"/>
      <c r="H231" s="17"/>
      <c r="I231" s="1" t="str">
        <f t="shared" si="10"/>
        <v/>
      </c>
      <c r="J231" s="1" t="str">
        <f t="shared" si="9"/>
        <v/>
      </c>
      <c r="K231" s="1">
        <f t="shared" si="11"/>
        <v>0</v>
      </c>
    </row>
    <row r="232" spans="4:11" ht="15" customHeight="1">
      <c r="D232" s="6" t="s">
        <v>56</v>
      </c>
      <c r="E232" s="7"/>
      <c r="F232" s="7"/>
      <c r="G232" s="17">
        <v>3</v>
      </c>
      <c r="H232" s="17">
        <v>1</v>
      </c>
      <c r="I232" s="1">
        <f t="shared" si="10"/>
        <v>2</v>
      </c>
      <c r="J232" s="1">
        <f t="shared" si="9"/>
        <v>0.15196942883429188</v>
      </c>
      <c r="K232" s="1">
        <f t="shared" si="11"/>
        <v>3.4152169919630535</v>
      </c>
    </row>
    <row r="233" spans="4:11" ht="15.75" thickBot="1">
      <c r="D233" s="8"/>
      <c r="E233" s="9" t="s">
        <v>12</v>
      </c>
      <c r="F233" s="9" t="s">
        <v>4</v>
      </c>
      <c r="G233" s="17"/>
      <c r="H233" s="17"/>
      <c r="I233" s="1" t="str">
        <f t="shared" si="10"/>
        <v/>
      </c>
      <c r="J233" s="1" t="str">
        <f t="shared" si="9"/>
        <v/>
      </c>
      <c r="K233" s="1">
        <f t="shared" si="11"/>
        <v>0</v>
      </c>
    </row>
    <row r="234" spans="4:11" ht="15" customHeight="1">
      <c r="D234" s="6" t="s">
        <v>57</v>
      </c>
      <c r="E234" s="7"/>
      <c r="F234" s="7"/>
      <c r="G234" s="17">
        <v>1</v>
      </c>
      <c r="H234" s="17">
        <v>2</v>
      </c>
      <c r="I234" s="1">
        <f t="shared" si="10"/>
        <v>-1</v>
      </c>
      <c r="J234" s="1">
        <f t="shared" si="9"/>
        <v>-0.23672921527813173</v>
      </c>
      <c r="K234" s="1">
        <f t="shared" si="11"/>
        <v>0.58258229080993662</v>
      </c>
    </row>
    <row r="235" spans="4:11" ht="15.75" thickBot="1">
      <c r="D235" s="8"/>
      <c r="E235" s="9" t="s">
        <v>22</v>
      </c>
      <c r="F235" s="9" t="s">
        <v>25</v>
      </c>
      <c r="G235" s="17"/>
      <c r="H235" s="17"/>
      <c r="I235" s="1" t="str">
        <f t="shared" si="10"/>
        <v/>
      </c>
      <c r="J235" s="1" t="str">
        <f t="shared" si="9"/>
        <v/>
      </c>
      <c r="K235" s="1">
        <f t="shared" si="11"/>
        <v>0</v>
      </c>
    </row>
    <row r="236" spans="4:11" ht="15" customHeight="1">
      <c r="D236" s="6" t="s">
        <v>57</v>
      </c>
      <c r="E236" s="7"/>
      <c r="F236" s="7"/>
      <c r="G236" s="17">
        <v>2</v>
      </c>
      <c r="H236" s="17">
        <v>5</v>
      </c>
      <c r="I236" s="1">
        <f t="shared" si="10"/>
        <v>-3</v>
      </c>
      <c r="J236" s="1">
        <f t="shared" si="9"/>
        <v>-0.39227470228442485</v>
      </c>
      <c r="K236" s="1">
        <f t="shared" si="11"/>
        <v>6.8002312283457851</v>
      </c>
    </row>
    <row r="237" spans="4:11" ht="15.75" thickBot="1">
      <c r="D237" s="8"/>
      <c r="E237" s="9" t="s">
        <v>7</v>
      </c>
      <c r="F237" s="9" t="s">
        <v>34</v>
      </c>
      <c r="G237" s="17"/>
      <c r="H237" s="17"/>
      <c r="I237" s="1" t="str">
        <f t="shared" si="10"/>
        <v/>
      </c>
      <c r="J237" s="1" t="str">
        <f t="shared" si="9"/>
        <v/>
      </c>
      <c r="K237" s="1">
        <f t="shared" si="11"/>
        <v>0</v>
      </c>
    </row>
    <row r="238" spans="4:11" ht="15" customHeight="1">
      <c r="D238" s="6" t="s">
        <v>57</v>
      </c>
      <c r="E238" s="7"/>
      <c r="F238" s="7"/>
      <c r="G238" s="17">
        <v>1</v>
      </c>
      <c r="H238" s="17">
        <v>2</v>
      </c>
      <c r="I238" s="1">
        <f t="shared" si="10"/>
        <v>-1</v>
      </c>
      <c r="J238" s="1">
        <f t="shared" si="9"/>
        <v>-0.38969044961943666</v>
      </c>
      <c r="K238" s="1">
        <f t="shared" si="11"/>
        <v>0.37247774728572536</v>
      </c>
    </row>
    <row r="239" spans="4:11" ht="15.75" thickBot="1">
      <c r="D239" s="8"/>
      <c r="E239" s="9" t="s">
        <v>18</v>
      </c>
      <c r="F239" s="9" t="s">
        <v>20</v>
      </c>
      <c r="G239" s="17"/>
      <c r="H239" s="17"/>
      <c r="I239" s="1" t="str">
        <f t="shared" si="10"/>
        <v/>
      </c>
      <c r="J239" s="1" t="str">
        <f t="shared" si="9"/>
        <v/>
      </c>
      <c r="K239" s="1">
        <f t="shared" si="11"/>
        <v>0</v>
      </c>
    </row>
    <row r="240" spans="4:11" ht="15" customHeight="1">
      <c r="D240" s="6" t="s">
        <v>57</v>
      </c>
      <c r="E240" s="7"/>
      <c r="F240" s="7"/>
      <c r="G240" s="17">
        <v>4</v>
      </c>
      <c r="H240" s="17">
        <v>1</v>
      </c>
      <c r="I240" s="1">
        <f t="shared" si="10"/>
        <v>3</v>
      </c>
      <c r="J240" s="1">
        <f t="shared" si="9"/>
        <v>0.4868947757543225</v>
      </c>
      <c r="K240" s="1">
        <f t="shared" si="11"/>
        <v>6.3156978681309166</v>
      </c>
    </row>
    <row r="241" spans="4:11" ht="15.75" thickBot="1">
      <c r="D241" s="8"/>
      <c r="E241" s="9" t="s">
        <v>33</v>
      </c>
      <c r="F241" s="9" t="s">
        <v>10</v>
      </c>
      <c r="G241" s="17"/>
      <c r="H241" s="17"/>
      <c r="I241" s="1" t="str">
        <f t="shared" si="10"/>
        <v/>
      </c>
      <c r="J241" s="1" t="str">
        <f t="shared" si="9"/>
        <v/>
      </c>
      <c r="K241" s="1">
        <f t="shared" si="11"/>
        <v>0</v>
      </c>
    </row>
    <row r="242" spans="4:11" ht="15" customHeight="1">
      <c r="D242" s="6" t="s">
        <v>57</v>
      </c>
      <c r="E242" s="7"/>
      <c r="F242" s="7"/>
      <c r="G242" s="17">
        <v>2</v>
      </c>
      <c r="H242" s="17">
        <v>4</v>
      </c>
      <c r="I242" s="1">
        <f t="shared" si="10"/>
        <v>-2</v>
      </c>
      <c r="J242" s="1">
        <f t="shared" si="9"/>
        <v>0.26350237676925303</v>
      </c>
      <c r="K242" s="1">
        <f t="shared" si="11"/>
        <v>5.1234430096400576</v>
      </c>
    </row>
    <row r="243" spans="4:11" ht="15.75" thickBot="1">
      <c r="D243" s="8"/>
      <c r="E243" s="9" t="s">
        <v>12</v>
      </c>
      <c r="F243" s="9" t="s">
        <v>3</v>
      </c>
      <c r="G243" s="17"/>
      <c r="H243" s="17"/>
      <c r="I243" s="1" t="str">
        <f t="shared" si="10"/>
        <v/>
      </c>
      <c r="J243" s="1" t="str">
        <f t="shared" si="9"/>
        <v/>
      </c>
      <c r="K243" s="1">
        <f t="shared" si="11"/>
        <v>0</v>
      </c>
    </row>
    <row r="244" spans="4:11" ht="15" customHeight="1">
      <c r="D244" s="6" t="s">
        <v>58</v>
      </c>
      <c r="E244" s="7"/>
      <c r="F244" s="7"/>
      <c r="G244" s="17">
        <v>4</v>
      </c>
      <c r="H244" s="17">
        <v>5</v>
      </c>
      <c r="I244" s="1">
        <f t="shared" si="10"/>
        <v>-1</v>
      </c>
      <c r="J244" s="1">
        <f t="shared" si="9"/>
        <v>-0.11896771646007664</v>
      </c>
      <c r="K244" s="1">
        <f t="shared" si="11"/>
        <v>0.77621788463957186</v>
      </c>
    </row>
    <row r="245" spans="4:11" ht="15.75" thickBot="1">
      <c r="D245" s="8"/>
      <c r="E245" s="9" t="s">
        <v>23</v>
      </c>
      <c r="F245" s="9" t="s">
        <v>38</v>
      </c>
      <c r="G245" s="17"/>
      <c r="H245" s="17"/>
      <c r="I245" s="1" t="str">
        <f t="shared" si="10"/>
        <v/>
      </c>
      <c r="J245" s="1" t="str">
        <f t="shared" si="9"/>
        <v/>
      </c>
      <c r="K245" s="1">
        <f t="shared" si="11"/>
        <v>0</v>
      </c>
    </row>
    <row r="246" spans="4:11" ht="15" customHeight="1">
      <c r="D246" s="6" t="s">
        <v>58</v>
      </c>
      <c r="E246" s="7"/>
      <c r="F246" s="7"/>
      <c r="G246" s="17">
        <v>0</v>
      </c>
      <c r="H246" s="17">
        <v>3</v>
      </c>
      <c r="I246" s="1">
        <f t="shared" si="10"/>
        <v>-3</v>
      </c>
      <c r="J246" s="1">
        <f t="shared" si="9"/>
        <v>1.2270919696317861</v>
      </c>
      <c r="K246" s="1">
        <f t="shared" si="11"/>
        <v>17.868306519725532</v>
      </c>
    </row>
    <row r="247" spans="4:11" ht="15.75" thickBot="1">
      <c r="D247" s="8"/>
      <c r="E247" s="9" t="s">
        <v>443</v>
      </c>
      <c r="F247" s="9" t="s">
        <v>24</v>
      </c>
      <c r="G247" s="17"/>
      <c r="H247" s="17"/>
      <c r="I247" s="1" t="str">
        <f t="shared" si="10"/>
        <v/>
      </c>
      <c r="J247" s="1" t="str">
        <f t="shared" si="9"/>
        <v/>
      </c>
      <c r="K247" s="1">
        <f t="shared" si="11"/>
        <v>0</v>
      </c>
    </row>
    <row r="248" spans="4:11" ht="15" customHeight="1">
      <c r="D248" s="6" t="s">
        <v>59</v>
      </c>
      <c r="E248" s="7"/>
      <c r="F248" s="7"/>
      <c r="G248" s="17">
        <v>4</v>
      </c>
      <c r="H248" s="17">
        <v>3</v>
      </c>
      <c r="I248" s="1">
        <f t="shared" si="10"/>
        <v>1</v>
      </c>
      <c r="J248" s="1">
        <f t="shared" si="9"/>
        <v>0.35969302829535366</v>
      </c>
      <c r="K248" s="1">
        <f t="shared" si="11"/>
        <v>0.40999301801357479</v>
      </c>
    </row>
    <row r="249" spans="4:11" ht="15.75" thickBot="1">
      <c r="D249" s="8"/>
      <c r="E249" s="9" t="s">
        <v>23</v>
      </c>
      <c r="F249" s="9" t="s">
        <v>2</v>
      </c>
      <c r="G249" s="17"/>
      <c r="H249" s="17"/>
      <c r="I249" s="1" t="str">
        <f t="shared" si="10"/>
        <v/>
      </c>
      <c r="J249" s="1" t="str">
        <f t="shared" si="9"/>
        <v/>
      </c>
      <c r="K249" s="1">
        <f t="shared" si="11"/>
        <v>0</v>
      </c>
    </row>
    <row r="250" spans="4:11" ht="15" customHeight="1">
      <c r="D250" s="6" t="s">
        <v>59</v>
      </c>
      <c r="E250" s="7"/>
      <c r="F250" s="7"/>
      <c r="G250" s="17">
        <v>4</v>
      </c>
      <c r="H250" s="17">
        <v>3</v>
      </c>
      <c r="I250" s="1">
        <f t="shared" si="10"/>
        <v>1</v>
      </c>
      <c r="J250" s="1">
        <f t="shared" si="9"/>
        <v>-0.3375508919623087</v>
      </c>
      <c r="K250" s="1">
        <f t="shared" si="11"/>
        <v>1.7890423885891675</v>
      </c>
    </row>
    <row r="251" spans="4:11" ht="15.75" thickBot="1">
      <c r="D251" s="8"/>
      <c r="E251" s="9" t="s">
        <v>25</v>
      </c>
      <c r="F251" s="9" t="s">
        <v>41</v>
      </c>
      <c r="G251" s="17"/>
      <c r="H251" s="17"/>
      <c r="I251" s="1" t="str">
        <f t="shared" si="10"/>
        <v/>
      </c>
      <c r="J251" s="1" t="str">
        <f t="shared" si="9"/>
        <v/>
      </c>
      <c r="K251" s="1">
        <f t="shared" si="11"/>
        <v>0</v>
      </c>
    </row>
    <row r="252" spans="4:11" ht="15" customHeight="1">
      <c r="D252" s="6" t="s">
        <v>59</v>
      </c>
      <c r="E252" s="7"/>
      <c r="F252" s="7"/>
      <c r="G252" s="17">
        <v>2</v>
      </c>
      <c r="H252" s="17">
        <v>3</v>
      </c>
      <c r="I252" s="1">
        <f t="shared" si="10"/>
        <v>-1</v>
      </c>
      <c r="J252" s="1">
        <f t="shared" si="9"/>
        <v>0.37158157901350819</v>
      </c>
      <c r="K252" s="1">
        <f t="shared" si="11"/>
        <v>1.8812360278891884</v>
      </c>
    </row>
    <row r="253" spans="4:11" ht="30.75" thickBot="1">
      <c r="D253" s="8"/>
      <c r="E253" s="9" t="s">
        <v>34</v>
      </c>
      <c r="F253" s="9" t="s">
        <v>1</v>
      </c>
      <c r="G253" s="17"/>
      <c r="H253" s="17"/>
      <c r="I253" s="1" t="str">
        <f t="shared" si="10"/>
        <v/>
      </c>
      <c r="J253" s="1" t="str">
        <f t="shared" si="9"/>
        <v/>
      </c>
      <c r="K253" s="1">
        <f t="shared" si="11"/>
        <v>0</v>
      </c>
    </row>
    <row r="254" spans="4:11" ht="15" customHeight="1">
      <c r="D254" s="6" t="s">
        <v>59</v>
      </c>
      <c r="E254" s="7"/>
      <c r="F254" s="7"/>
      <c r="G254" s="17">
        <v>3</v>
      </c>
      <c r="H254" s="17">
        <v>8</v>
      </c>
      <c r="I254" s="1">
        <f t="shared" si="10"/>
        <v>-5</v>
      </c>
      <c r="J254" s="1">
        <f t="shared" si="9"/>
        <v>-0.62808430365640788</v>
      </c>
      <c r="K254" s="1">
        <f t="shared" si="11"/>
        <v>19.113646855935475</v>
      </c>
    </row>
    <row r="255" spans="4:11" ht="15.75" thickBot="1">
      <c r="D255" s="8"/>
      <c r="E255" s="9" t="s">
        <v>36</v>
      </c>
      <c r="F255" s="9" t="s">
        <v>11</v>
      </c>
      <c r="G255" s="17"/>
      <c r="H255" s="17"/>
      <c r="I255" s="1" t="str">
        <f t="shared" si="10"/>
        <v/>
      </c>
      <c r="J255" s="1" t="str">
        <f t="shared" si="9"/>
        <v/>
      </c>
      <c r="K255" s="1">
        <f t="shared" si="11"/>
        <v>0</v>
      </c>
    </row>
    <row r="256" spans="4:11" ht="15" customHeight="1">
      <c r="D256" s="6" t="s">
        <v>59</v>
      </c>
      <c r="E256" s="7"/>
      <c r="F256" s="7"/>
      <c r="G256" s="17">
        <v>5</v>
      </c>
      <c r="H256" s="17">
        <v>2</v>
      </c>
      <c r="I256" s="1">
        <f t="shared" si="10"/>
        <v>3</v>
      </c>
      <c r="J256" s="1">
        <f t="shared" si="9"/>
        <v>0.449898818337644</v>
      </c>
      <c r="K256" s="1">
        <f t="shared" si="11"/>
        <v>6.5030160367157448</v>
      </c>
    </row>
    <row r="257" spans="4:11" ht="15.75" thickBot="1">
      <c r="D257" s="8"/>
      <c r="E257" s="9" t="s">
        <v>18</v>
      </c>
      <c r="F257" s="9" t="s">
        <v>7</v>
      </c>
      <c r="G257" s="17"/>
      <c r="H257" s="17"/>
      <c r="I257" s="1" t="str">
        <f t="shared" si="10"/>
        <v/>
      </c>
      <c r="J257" s="1" t="str">
        <f t="shared" si="9"/>
        <v/>
      </c>
      <c r="K257" s="1">
        <f t="shared" si="11"/>
        <v>0</v>
      </c>
    </row>
    <row r="258" spans="4:11" ht="15" customHeight="1">
      <c r="D258" s="6" t="s">
        <v>59</v>
      </c>
      <c r="E258" s="7"/>
      <c r="F258" s="7"/>
      <c r="G258" s="17">
        <v>0</v>
      </c>
      <c r="H258" s="17">
        <v>4</v>
      </c>
      <c r="I258" s="1">
        <f t="shared" si="10"/>
        <v>-4</v>
      </c>
      <c r="J258" s="1">
        <f t="shared" si="9"/>
        <v>-0.79813271765905824</v>
      </c>
      <c r="K258" s="1">
        <f t="shared" si="11"/>
        <v>10.251954093725368</v>
      </c>
    </row>
    <row r="259" spans="4:11" ht="15.75" thickBot="1">
      <c r="D259" s="8"/>
      <c r="E259" s="9" t="s">
        <v>8</v>
      </c>
      <c r="F259" s="9" t="s">
        <v>0</v>
      </c>
      <c r="G259" s="17"/>
      <c r="H259" s="17"/>
      <c r="I259" s="1" t="str">
        <f t="shared" si="10"/>
        <v/>
      </c>
      <c r="J259" s="1" t="str">
        <f t="shared" ref="J259:J322" si="12">IF(F260="","",VLOOKUP(F260,$A$2:$B$31,2)+$B$33-VLOOKUP(E260,$A$2:$B$31,2))</f>
        <v/>
      </c>
      <c r="K259" s="1">
        <f t="shared" si="11"/>
        <v>0</v>
      </c>
    </row>
    <row r="260" spans="4:11" ht="15" customHeight="1">
      <c r="D260" s="6" t="s">
        <v>59</v>
      </c>
      <c r="E260" s="7"/>
      <c r="F260" s="7"/>
      <c r="G260" s="17">
        <v>3</v>
      </c>
      <c r="H260" s="17">
        <v>7</v>
      </c>
      <c r="I260" s="1">
        <f t="shared" ref="I260:I323" si="13">IF(G260="","",G260-H260)</f>
        <v>-4</v>
      </c>
      <c r="J260" s="1">
        <f t="shared" si="12"/>
        <v>-1.0640330699825569</v>
      </c>
      <c r="K260" s="1">
        <f t="shared" ref="K260:K323" si="14">IF(J260="",0,(I260-J260)^2)</f>
        <v>8.6199018141560497</v>
      </c>
    </row>
    <row r="261" spans="4:11" ht="15.75" thickBot="1">
      <c r="D261" s="8"/>
      <c r="E261" s="9" t="s">
        <v>26</v>
      </c>
      <c r="F261" s="9" t="s">
        <v>37</v>
      </c>
      <c r="G261" s="17"/>
      <c r="H261" s="17"/>
      <c r="I261" s="1" t="str">
        <f t="shared" si="13"/>
        <v/>
      </c>
      <c r="J261" s="1" t="str">
        <f t="shared" si="12"/>
        <v/>
      </c>
      <c r="K261" s="1">
        <f t="shared" si="14"/>
        <v>0</v>
      </c>
    </row>
    <row r="262" spans="4:11" ht="15" customHeight="1">
      <c r="D262" s="6" t="s">
        <v>59</v>
      </c>
      <c r="E262" s="7"/>
      <c r="F262" s="7"/>
      <c r="G262" s="17">
        <v>1</v>
      </c>
      <c r="H262" s="17">
        <v>0</v>
      </c>
      <c r="I262" s="1">
        <f t="shared" si="13"/>
        <v>1</v>
      </c>
      <c r="J262" s="1">
        <f t="shared" si="12"/>
        <v>-1.0699108759898905</v>
      </c>
      <c r="K262" s="1">
        <f t="shared" si="14"/>
        <v>4.284531034541236</v>
      </c>
    </row>
    <row r="263" spans="4:11" ht="15.75" thickBot="1">
      <c r="D263" s="8"/>
      <c r="E263" s="9" t="s">
        <v>10</v>
      </c>
      <c r="F263" s="9" t="s">
        <v>20</v>
      </c>
      <c r="G263" s="17"/>
      <c r="H263" s="17"/>
      <c r="I263" s="1" t="str">
        <f t="shared" si="13"/>
        <v/>
      </c>
      <c r="J263" s="1" t="str">
        <f t="shared" si="12"/>
        <v/>
      </c>
      <c r="K263" s="1">
        <f t="shared" si="14"/>
        <v>0</v>
      </c>
    </row>
    <row r="264" spans="4:11" ht="18" customHeight="1">
      <c r="D264" s="6" t="s">
        <v>59</v>
      </c>
      <c r="E264" s="7"/>
      <c r="F264" s="7"/>
      <c r="G264" s="17">
        <v>4</v>
      </c>
      <c r="H264" s="17">
        <v>3</v>
      </c>
      <c r="I264" s="1">
        <f t="shared" si="13"/>
        <v>1</v>
      </c>
      <c r="J264" s="1">
        <f t="shared" si="12"/>
        <v>0.58626544088704691</v>
      </c>
      <c r="K264" s="1">
        <f t="shared" si="14"/>
        <v>0.17117628540438967</v>
      </c>
    </row>
    <row r="265" spans="4:11" ht="15.75" thickBot="1">
      <c r="D265" s="8"/>
      <c r="E265" s="9" t="s">
        <v>39</v>
      </c>
      <c r="F265" s="9" t="s">
        <v>21</v>
      </c>
      <c r="G265" s="17"/>
      <c r="H265" s="17"/>
      <c r="I265" s="1" t="str">
        <f t="shared" si="13"/>
        <v/>
      </c>
      <c r="J265" s="1" t="str">
        <f t="shared" si="12"/>
        <v/>
      </c>
      <c r="K265" s="1">
        <f t="shared" si="14"/>
        <v>0</v>
      </c>
    </row>
    <row r="266" spans="4:11" ht="15" customHeight="1">
      <c r="D266" s="6" t="s">
        <v>59</v>
      </c>
      <c r="E266" s="7"/>
      <c r="F266" s="7"/>
      <c r="G266" s="17">
        <v>3</v>
      </c>
      <c r="H266" s="17">
        <v>2</v>
      </c>
      <c r="I266" s="1">
        <f t="shared" si="13"/>
        <v>1</v>
      </c>
      <c r="J266" s="1">
        <f t="shared" si="12"/>
        <v>-1.7617016698778798E-3</v>
      </c>
      <c r="K266" s="1">
        <f t="shared" si="14"/>
        <v>1.0035265069325294</v>
      </c>
    </row>
    <row r="267" spans="4:11" ht="15.75" thickBot="1">
      <c r="D267" s="8"/>
      <c r="E267" s="9" t="s">
        <v>33</v>
      </c>
      <c r="F267" s="9" t="s">
        <v>22</v>
      </c>
      <c r="G267" s="17"/>
      <c r="H267" s="17"/>
      <c r="I267" s="1" t="str">
        <f t="shared" si="13"/>
        <v/>
      </c>
      <c r="J267" s="1" t="str">
        <f t="shared" si="12"/>
        <v/>
      </c>
      <c r="K267" s="1">
        <f t="shared" si="14"/>
        <v>0</v>
      </c>
    </row>
    <row r="268" spans="4:11" ht="15" customHeight="1">
      <c r="D268" s="6" t="s">
        <v>59</v>
      </c>
      <c r="E268" s="7"/>
      <c r="F268" s="7"/>
      <c r="G268" s="17">
        <v>2</v>
      </c>
      <c r="H268" s="17">
        <v>1</v>
      </c>
      <c r="I268" s="1">
        <f t="shared" si="13"/>
        <v>1</v>
      </c>
      <c r="J268" s="1">
        <f t="shared" si="12"/>
        <v>5.7860511876370424E-2</v>
      </c>
      <c r="K268" s="1">
        <f t="shared" si="14"/>
        <v>0.8876268150818547</v>
      </c>
    </row>
    <row r="269" spans="4:11" ht="15.75" thickBot="1">
      <c r="D269" s="8"/>
      <c r="E269" s="9" t="s">
        <v>443</v>
      </c>
      <c r="F269" s="9" t="s">
        <v>4</v>
      </c>
      <c r="G269" s="17"/>
      <c r="H269" s="17"/>
      <c r="I269" s="1" t="str">
        <f t="shared" si="13"/>
        <v/>
      </c>
      <c r="J269" s="1" t="str">
        <f t="shared" si="12"/>
        <v/>
      </c>
      <c r="K269" s="1">
        <f t="shared" si="14"/>
        <v>0</v>
      </c>
    </row>
    <row r="270" spans="4:11" ht="15" customHeight="1">
      <c r="D270" s="6" t="s">
        <v>59</v>
      </c>
      <c r="E270" s="7"/>
      <c r="F270" s="7"/>
      <c r="G270" s="17">
        <v>1</v>
      </c>
      <c r="H270" s="17">
        <v>4</v>
      </c>
      <c r="I270" s="1">
        <f t="shared" si="13"/>
        <v>-3</v>
      </c>
      <c r="J270" s="1">
        <f t="shared" si="12"/>
        <v>-0.54295219536012951</v>
      </c>
      <c r="K270" s="1">
        <f t="shared" si="14"/>
        <v>6.0370839142856072</v>
      </c>
    </row>
    <row r="271" spans="4:11" ht="15.75" thickBot="1">
      <c r="D271" s="8"/>
      <c r="E271" s="9" t="s">
        <v>28</v>
      </c>
      <c r="F271" s="9" t="s">
        <v>3</v>
      </c>
      <c r="G271" s="17"/>
      <c r="H271" s="17"/>
      <c r="I271" s="1" t="str">
        <f t="shared" si="13"/>
        <v/>
      </c>
      <c r="J271" s="1" t="str">
        <f t="shared" si="12"/>
        <v/>
      </c>
      <c r="K271" s="1">
        <f t="shared" si="14"/>
        <v>0</v>
      </c>
    </row>
    <row r="272" spans="4:11" ht="15" customHeight="1">
      <c r="D272" s="6" t="s">
        <v>60</v>
      </c>
      <c r="E272" s="7"/>
      <c r="F272" s="7"/>
      <c r="G272" s="17">
        <v>4</v>
      </c>
      <c r="H272" s="17">
        <v>2</v>
      </c>
      <c r="I272" s="1">
        <f t="shared" si="13"/>
        <v>2</v>
      </c>
      <c r="J272" s="1">
        <f t="shared" si="12"/>
        <v>-0.31354139903830003</v>
      </c>
      <c r="K272" s="1">
        <f t="shared" si="14"/>
        <v>5.3524738050640943</v>
      </c>
    </row>
    <row r="273" spans="4:11" ht="30.75" thickBot="1">
      <c r="D273" s="8"/>
      <c r="E273" s="9" t="s">
        <v>13</v>
      </c>
      <c r="F273" s="9" t="s">
        <v>12</v>
      </c>
      <c r="G273" s="17"/>
      <c r="H273" s="17"/>
      <c r="I273" s="1" t="str">
        <f t="shared" si="13"/>
        <v/>
      </c>
      <c r="J273" s="1" t="str">
        <f t="shared" si="12"/>
        <v/>
      </c>
      <c r="K273" s="1">
        <f t="shared" si="14"/>
        <v>0</v>
      </c>
    </row>
    <row r="274" spans="4:11" ht="15" customHeight="1">
      <c r="D274" s="6" t="s">
        <v>60</v>
      </c>
      <c r="E274" s="7"/>
      <c r="F274" s="7"/>
      <c r="G274" s="17">
        <v>4</v>
      </c>
      <c r="H274" s="17">
        <v>1</v>
      </c>
      <c r="I274" s="1">
        <f t="shared" si="13"/>
        <v>3</v>
      </c>
      <c r="J274" s="1">
        <f t="shared" si="12"/>
        <v>1.2940135142149529</v>
      </c>
      <c r="K274" s="1">
        <f t="shared" si="14"/>
        <v>2.9103898896812148</v>
      </c>
    </row>
    <row r="275" spans="4:11" ht="15.75" thickBot="1">
      <c r="D275" s="8"/>
      <c r="E275" s="9" t="s">
        <v>19</v>
      </c>
      <c r="F275" s="9" t="s">
        <v>24</v>
      </c>
      <c r="G275" s="17"/>
      <c r="H275" s="17"/>
      <c r="I275" s="1" t="str">
        <f t="shared" si="13"/>
        <v/>
      </c>
      <c r="J275" s="1" t="str">
        <f t="shared" si="12"/>
        <v/>
      </c>
      <c r="K275" s="1">
        <f t="shared" si="14"/>
        <v>0</v>
      </c>
    </row>
    <row r="276" spans="4:11" ht="18" customHeight="1">
      <c r="D276" s="6" t="s">
        <v>61</v>
      </c>
      <c r="E276" s="7"/>
      <c r="F276" s="7"/>
      <c r="G276" s="17">
        <v>3</v>
      </c>
      <c r="H276" s="17">
        <v>2</v>
      </c>
      <c r="I276" s="1">
        <f t="shared" si="13"/>
        <v>1</v>
      </c>
      <c r="J276" s="1">
        <f t="shared" si="12"/>
        <v>1.410012734304658</v>
      </c>
      <c r="K276" s="1">
        <f t="shared" si="14"/>
        <v>0.16811044229198208</v>
      </c>
    </row>
    <row r="277" spans="4:11" ht="15.75" thickBot="1">
      <c r="D277" s="8"/>
      <c r="E277" s="9" t="s">
        <v>2</v>
      </c>
      <c r="F277" s="9" t="s">
        <v>8</v>
      </c>
      <c r="G277" s="17"/>
      <c r="H277" s="17"/>
      <c r="I277" s="1" t="str">
        <f t="shared" si="13"/>
        <v/>
      </c>
      <c r="J277" s="1" t="str">
        <f t="shared" si="12"/>
        <v/>
      </c>
      <c r="K277" s="1">
        <f t="shared" si="14"/>
        <v>0</v>
      </c>
    </row>
    <row r="278" spans="4:11" ht="15" customHeight="1">
      <c r="D278" s="6" t="s">
        <v>61</v>
      </c>
      <c r="E278" s="7"/>
      <c r="F278" s="7"/>
      <c r="G278" s="17">
        <v>1</v>
      </c>
      <c r="H278" s="17">
        <v>2</v>
      </c>
      <c r="I278" s="1">
        <f t="shared" si="13"/>
        <v>-1</v>
      </c>
      <c r="J278" s="1">
        <f t="shared" si="12"/>
        <v>0.55432163302795345</v>
      </c>
      <c r="K278" s="1">
        <f t="shared" si="14"/>
        <v>2.4159157388986841</v>
      </c>
    </row>
    <row r="279" spans="4:11" ht="15.75" thickBot="1">
      <c r="D279" s="8"/>
      <c r="E279" s="9" t="s">
        <v>25</v>
      </c>
      <c r="F279" s="9" t="s">
        <v>36</v>
      </c>
      <c r="G279" s="17"/>
      <c r="H279" s="17"/>
      <c r="I279" s="1" t="str">
        <f t="shared" si="13"/>
        <v/>
      </c>
      <c r="J279" s="1" t="str">
        <f t="shared" si="12"/>
        <v/>
      </c>
      <c r="K279" s="1">
        <f t="shared" si="14"/>
        <v>0</v>
      </c>
    </row>
    <row r="280" spans="4:11" ht="15" customHeight="1">
      <c r="D280" s="6" t="s">
        <v>61</v>
      </c>
      <c r="E280" s="7"/>
      <c r="F280" s="7"/>
      <c r="G280" s="17">
        <v>0</v>
      </c>
      <c r="H280" s="17">
        <v>3</v>
      </c>
      <c r="I280" s="1">
        <f t="shared" si="13"/>
        <v>-3</v>
      </c>
      <c r="J280" s="1">
        <f t="shared" si="12"/>
        <v>-0.17655205301355181</v>
      </c>
      <c r="K280" s="1">
        <f t="shared" si="14"/>
        <v>7.9718583093419895</v>
      </c>
    </row>
    <row r="281" spans="4:11" ht="15.75" thickBot="1">
      <c r="D281" s="8"/>
      <c r="E281" s="9" t="s">
        <v>34</v>
      </c>
      <c r="F281" s="9" t="s">
        <v>11</v>
      </c>
      <c r="G281" s="17"/>
      <c r="H281" s="17"/>
      <c r="I281" s="1" t="str">
        <f t="shared" si="13"/>
        <v/>
      </c>
      <c r="J281" s="1" t="str">
        <f t="shared" si="12"/>
        <v/>
      </c>
      <c r="K281" s="1">
        <f t="shared" si="14"/>
        <v>0</v>
      </c>
    </row>
    <row r="282" spans="4:11" ht="18" customHeight="1">
      <c r="D282" s="6" t="s">
        <v>61</v>
      </c>
      <c r="E282" s="7"/>
      <c r="F282" s="7"/>
      <c r="G282" s="17">
        <v>5</v>
      </c>
      <c r="H282" s="17">
        <v>4</v>
      </c>
      <c r="I282" s="1">
        <f t="shared" si="13"/>
        <v>1</v>
      </c>
      <c r="J282" s="1">
        <f t="shared" si="12"/>
        <v>0.38969044961943666</v>
      </c>
      <c r="K282" s="1">
        <f t="shared" si="14"/>
        <v>0.37247774728572536</v>
      </c>
    </row>
    <row r="283" spans="4:11" ht="15.75" thickBot="1">
      <c r="D283" s="8"/>
      <c r="E283" s="9" t="s">
        <v>20</v>
      </c>
      <c r="F283" s="9" t="s">
        <v>18</v>
      </c>
      <c r="G283" s="17"/>
      <c r="H283" s="17"/>
      <c r="I283" s="1" t="str">
        <f t="shared" si="13"/>
        <v/>
      </c>
      <c r="J283" s="1" t="str">
        <f t="shared" si="12"/>
        <v/>
      </c>
      <c r="K283" s="1">
        <f t="shared" si="14"/>
        <v>0</v>
      </c>
    </row>
    <row r="284" spans="4:11" ht="15" customHeight="1">
      <c r="D284" s="6" t="s">
        <v>61</v>
      </c>
      <c r="E284" s="7"/>
      <c r="F284" s="7"/>
      <c r="G284" s="17">
        <v>3</v>
      </c>
      <c r="H284" s="17">
        <v>4</v>
      </c>
      <c r="I284" s="1">
        <f t="shared" si="13"/>
        <v>-1</v>
      </c>
      <c r="J284" s="1">
        <f t="shared" si="12"/>
        <v>-0.81301833867883033</v>
      </c>
      <c r="K284" s="1">
        <f t="shared" si="14"/>
        <v>3.49621416704246E-2</v>
      </c>
    </row>
    <row r="285" spans="4:11" ht="15.75" thickBot="1">
      <c r="D285" s="8"/>
      <c r="E285" s="9" t="s">
        <v>1</v>
      </c>
      <c r="F285" s="9" t="s">
        <v>37</v>
      </c>
      <c r="G285" s="17"/>
      <c r="H285" s="17"/>
      <c r="I285" s="1" t="str">
        <f t="shared" si="13"/>
        <v/>
      </c>
      <c r="J285" s="1" t="str">
        <f t="shared" si="12"/>
        <v/>
      </c>
      <c r="K285" s="1">
        <f t="shared" si="14"/>
        <v>0</v>
      </c>
    </row>
    <row r="286" spans="4:11" ht="18" customHeight="1">
      <c r="D286" s="6" t="s">
        <v>61</v>
      </c>
      <c r="E286" s="7"/>
      <c r="F286" s="7"/>
      <c r="G286" s="17">
        <v>1</v>
      </c>
      <c r="H286" s="17">
        <v>2</v>
      </c>
      <c r="I286" s="1">
        <f t="shared" si="13"/>
        <v>-1</v>
      </c>
      <c r="J286" s="1">
        <f t="shared" si="12"/>
        <v>-0.2613827131592501</v>
      </c>
      <c r="K286" s="1">
        <f t="shared" si="14"/>
        <v>0.54555549641999057</v>
      </c>
    </row>
    <row r="287" spans="4:11" ht="15.75" thickBot="1">
      <c r="D287" s="8"/>
      <c r="E287" s="9" t="s">
        <v>26</v>
      </c>
      <c r="F287" s="9" t="s">
        <v>14</v>
      </c>
      <c r="G287" s="17"/>
      <c r="H287" s="17"/>
      <c r="I287" s="1" t="str">
        <f t="shared" si="13"/>
        <v/>
      </c>
      <c r="J287" s="1" t="str">
        <f t="shared" si="12"/>
        <v/>
      </c>
      <c r="K287" s="1">
        <f t="shared" si="14"/>
        <v>0</v>
      </c>
    </row>
    <row r="288" spans="4:11" ht="15" customHeight="1">
      <c r="D288" s="6" t="s">
        <v>61</v>
      </c>
      <c r="E288" s="7"/>
      <c r="F288" s="7"/>
      <c r="G288" s="17">
        <v>0</v>
      </c>
      <c r="H288" s="17">
        <v>2</v>
      </c>
      <c r="I288" s="1">
        <f t="shared" si="13"/>
        <v>-2</v>
      </c>
      <c r="J288" s="1">
        <f t="shared" si="12"/>
        <v>-1.0357403496314816</v>
      </c>
      <c r="K288" s="1">
        <f t="shared" si="14"/>
        <v>0.92979667332881721</v>
      </c>
    </row>
    <row r="289" spans="4:11" ht="15.75" thickBot="1">
      <c r="D289" s="8"/>
      <c r="E289" s="9" t="s">
        <v>10</v>
      </c>
      <c r="F289" s="9" t="s">
        <v>39</v>
      </c>
      <c r="G289" s="17"/>
      <c r="H289" s="17"/>
      <c r="I289" s="1" t="str">
        <f t="shared" si="13"/>
        <v/>
      </c>
      <c r="J289" s="1" t="str">
        <f t="shared" si="12"/>
        <v/>
      </c>
      <c r="K289" s="1">
        <f t="shared" si="14"/>
        <v>0</v>
      </c>
    </row>
    <row r="290" spans="4:11" ht="15" customHeight="1">
      <c r="D290" s="6" t="s">
        <v>61</v>
      </c>
      <c r="E290" s="7"/>
      <c r="F290" s="7"/>
      <c r="G290" s="17">
        <v>3</v>
      </c>
      <c r="H290" s="17">
        <v>4</v>
      </c>
      <c r="I290" s="1">
        <f t="shared" si="13"/>
        <v>-1</v>
      </c>
      <c r="J290" s="1">
        <f t="shared" si="12"/>
        <v>-0.45707409245024166</v>
      </c>
      <c r="K290" s="1">
        <f t="shared" si="14"/>
        <v>0.29476854108872874</v>
      </c>
    </row>
    <row r="291" spans="4:11" ht="15.75" thickBot="1">
      <c r="D291" s="8"/>
      <c r="E291" s="9" t="s">
        <v>33</v>
      </c>
      <c r="F291" s="9" t="s">
        <v>23</v>
      </c>
      <c r="G291" s="17"/>
      <c r="H291" s="17"/>
      <c r="I291" s="1" t="str">
        <f t="shared" si="13"/>
        <v/>
      </c>
      <c r="J291" s="1" t="str">
        <f t="shared" si="12"/>
        <v/>
      </c>
      <c r="K291" s="1">
        <f t="shared" si="14"/>
        <v>0</v>
      </c>
    </row>
    <row r="292" spans="4:11" ht="15" customHeight="1">
      <c r="D292" s="6" t="s">
        <v>61</v>
      </c>
      <c r="E292" s="7"/>
      <c r="F292" s="7"/>
      <c r="G292" s="17">
        <v>0</v>
      </c>
      <c r="H292" s="17">
        <v>5</v>
      </c>
      <c r="I292" s="1">
        <f t="shared" si="13"/>
        <v>-5</v>
      </c>
      <c r="J292" s="1">
        <f t="shared" si="12"/>
        <v>0.57428010724044043</v>
      </c>
      <c r="K292" s="1">
        <f t="shared" si="14"/>
        <v>31.072598713976497</v>
      </c>
    </row>
    <row r="293" spans="4:11" ht="15.75" thickBot="1">
      <c r="D293" s="8"/>
      <c r="E293" s="9" t="s">
        <v>41</v>
      </c>
      <c r="F293" s="9" t="s">
        <v>22</v>
      </c>
      <c r="G293" s="17"/>
      <c r="H293" s="17"/>
      <c r="I293" s="1" t="str">
        <f t="shared" si="13"/>
        <v/>
      </c>
      <c r="J293" s="1" t="str">
        <f t="shared" si="12"/>
        <v/>
      </c>
      <c r="K293" s="1">
        <f t="shared" si="14"/>
        <v>0</v>
      </c>
    </row>
    <row r="294" spans="4:11" ht="15" customHeight="1">
      <c r="D294" s="6" t="s">
        <v>61</v>
      </c>
      <c r="E294" s="7"/>
      <c r="F294" s="7"/>
      <c r="G294" s="17">
        <v>2</v>
      </c>
      <c r="H294" s="17">
        <v>3</v>
      </c>
      <c r="I294" s="1">
        <f t="shared" si="13"/>
        <v>-1</v>
      </c>
      <c r="J294" s="1">
        <f t="shared" si="12"/>
        <v>0.16939345981133158</v>
      </c>
      <c r="K294" s="1">
        <f t="shared" si="14"/>
        <v>1.3674810638495163</v>
      </c>
    </row>
    <row r="295" spans="4:11" ht="15.75" thickBot="1">
      <c r="D295" s="8"/>
      <c r="E295" s="9" t="s">
        <v>443</v>
      </c>
      <c r="F295" s="9" t="s">
        <v>3</v>
      </c>
      <c r="G295" s="17"/>
      <c r="H295" s="17"/>
      <c r="I295" s="1" t="str">
        <f t="shared" si="13"/>
        <v/>
      </c>
      <c r="J295" s="1" t="str">
        <f t="shared" si="12"/>
        <v/>
      </c>
      <c r="K295" s="1">
        <f t="shared" si="14"/>
        <v>0</v>
      </c>
    </row>
    <row r="296" spans="4:11" ht="15" customHeight="1">
      <c r="D296" s="6" t="s">
        <v>62</v>
      </c>
      <c r="E296" s="7"/>
      <c r="F296" s="7"/>
      <c r="G296" s="17">
        <v>4</v>
      </c>
      <c r="H296" s="17">
        <v>1</v>
      </c>
      <c r="I296" s="1">
        <f t="shared" si="13"/>
        <v>3</v>
      </c>
      <c r="J296" s="1">
        <f t="shared" si="12"/>
        <v>-0.25792578476919914</v>
      </c>
      <c r="K296" s="1">
        <f t="shared" si="14"/>
        <v>10.614080419064003</v>
      </c>
    </row>
    <row r="297" spans="4:11" ht="15.75" thickBot="1">
      <c r="D297" s="8"/>
      <c r="E297" s="9" t="s">
        <v>0</v>
      </c>
      <c r="F297" s="9" t="s">
        <v>7</v>
      </c>
      <c r="G297" s="17"/>
      <c r="H297" s="17"/>
      <c r="I297" s="1" t="str">
        <f t="shared" si="13"/>
        <v/>
      </c>
      <c r="J297" s="1" t="str">
        <f t="shared" si="12"/>
        <v/>
      </c>
      <c r="K297" s="1">
        <f t="shared" si="14"/>
        <v>0</v>
      </c>
    </row>
    <row r="298" spans="4:11" ht="15" customHeight="1">
      <c r="D298" s="6" t="s">
        <v>62</v>
      </c>
      <c r="E298" s="7"/>
      <c r="F298" s="7"/>
      <c r="G298" s="17">
        <v>2</v>
      </c>
      <c r="H298" s="17">
        <v>5</v>
      </c>
      <c r="I298" s="1">
        <f t="shared" si="13"/>
        <v>-3</v>
      </c>
      <c r="J298" s="1">
        <f t="shared" si="12"/>
        <v>-2.5660632967728247E-2</v>
      </c>
      <c r="K298" s="1">
        <f t="shared" si="14"/>
        <v>8.8466946702779357</v>
      </c>
    </row>
    <row r="299" spans="4:11" ht="15.75" thickBot="1">
      <c r="D299" s="8"/>
      <c r="E299" s="9" t="s">
        <v>34</v>
      </c>
      <c r="F299" s="9" t="s">
        <v>13</v>
      </c>
      <c r="G299" s="17"/>
      <c r="H299" s="17"/>
      <c r="I299" s="1" t="str">
        <f t="shared" si="13"/>
        <v/>
      </c>
      <c r="J299" s="1" t="str">
        <f t="shared" si="12"/>
        <v/>
      </c>
      <c r="K299" s="1">
        <f t="shared" si="14"/>
        <v>0</v>
      </c>
    </row>
    <row r="300" spans="4:11" ht="15" customHeight="1">
      <c r="D300" s="6" t="s">
        <v>62</v>
      </c>
      <c r="E300" s="7"/>
      <c r="F300" s="7"/>
      <c r="G300" s="17">
        <v>2</v>
      </c>
      <c r="H300" s="17">
        <v>1</v>
      </c>
      <c r="I300" s="1">
        <f t="shared" si="13"/>
        <v>1</v>
      </c>
      <c r="J300" s="1">
        <f t="shared" si="12"/>
        <v>-0.44947490874443474</v>
      </c>
      <c r="K300" s="1">
        <f t="shared" si="14"/>
        <v>2.1009775110796873</v>
      </c>
    </row>
    <row r="301" spans="4:11" ht="15.75" thickBot="1">
      <c r="D301" s="8"/>
      <c r="E301" s="9" t="s">
        <v>10</v>
      </c>
      <c r="F301" s="9" t="s">
        <v>21</v>
      </c>
      <c r="G301" s="17"/>
      <c r="H301" s="17"/>
      <c r="I301" s="1" t="str">
        <f t="shared" si="13"/>
        <v/>
      </c>
      <c r="J301" s="1" t="str">
        <f t="shared" si="12"/>
        <v/>
      </c>
      <c r="K301" s="1">
        <f t="shared" si="14"/>
        <v>0</v>
      </c>
    </row>
    <row r="302" spans="4:11">
      <c r="D302" s="6" t="s">
        <v>62</v>
      </c>
      <c r="E302" s="7"/>
      <c r="F302" s="7"/>
      <c r="G302" s="17">
        <v>3</v>
      </c>
      <c r="H302" s="17">
        <v>4</v>
      </c>
      <c r="I302" s="1">
        <f t="shared" si="13"/>
        <v>-1</v>
      </c>
      <c r="J302" s="1">
        <f t="shared" si="12"/>
        <v>0.12478205645953722</v>
      </c>
      <c r="K302" s="1">
        <f t="shared" si="14"/>
        <v>1.2651346745333456</v>
      </c>
    </row>
    <row r="303" spans="4:11" ht="15.75" thickBot="1">
      <c r="D303" s="10"/>
      <c r="E303" s="11" t="s">
        <v>19</v>
      </c>
      <c r="F303" s="11" t="s">
        <v>4</v>
      </c>
      <c r="G303" s="17"/>
      <c r="H303" s="17"/>
      <c r="I303" s="1" t="str">
        <f t="shared" si="13"/>
        <v/>
      </c>
      <c r="J303" s="1" t="str">
        <f t="shared" si="12"/>
        <v/>
      </c>
      <c r="K303" s="1">
        <f t="shared" si="14"/>
        <v>0</v>
      </c>
    </row>
    <row r="304" spans="4:11" ht="18" customHeight="1">
      <c r="D304" s="6" t="s">
        <v>63</v>
      </c>
      <c r="E304" s="12"/>
      <c r="F304" s="12"/>
      <c r="G304" s="17">
        <v>2</v>
      </c>
      <c r="H304" s="17">
        <v>4</v>
      </c>
      <c r="I304" s="1">
        <f>IF(G304="","",G304-H304)</f>
        <v>-2</v>
      </c>
      <c r="J304" s="1">
        <f t="shared" si="12"/>
        <v>9.5944586461243375E-2</v>
      </c>
      <c r="K304" s="1">
        <f t="shared" si="14"/>
        <v>4.3929837095161925</v>
      </c>
    </row>
    <row r="305" spans="4:11" ht="15.75" thickBot="1">
      <c r="D305" s="8"/>
      <c r="E305" s="9" t="s">
        <v>18</v>
      </c>
      <c r="F305" s="9" t="s">
        <v>2</v>
      </c>
      <c r="G305" s="17"/>
      <c r="H305" s="17"/>
      <c r="I305" s="1" t="str">
        <f t="shared" si="13"/>
        <v/>
      </c>
      <c r="J305" s="1" t="str">
        <f t="shared" si="12"/>
        <v/>
      </c>
      <c r="K305" s="1">
        <f t="shared" si="14"/>
        <v>0</v>
      </c>
    </row>
    <row r="306" spans="4:11" ht="18" customHeight="1">
      <c r="D306" s="6" t="s">
        <v>63</v>
      </c>
      <c r="E306" s="7"/>
      <c r="F306" s="7"/>
      <c r="G306" s="17">
        <v>2</v>
      </c>
      <c r="H306" s="17">
        <v>3</v>
      </c>
      <c r="I306" s="1">
        <f t="shared" si="13"/>
        <v>-1</v>
      </c>
      <c r="J306" s="1">
        <f t="shared" si="12"/>
        <v>1.0975150527262798</v>
      </c>
      <c r="K306" s="1">
        <f t="shared" si="14"/>
        <v>4.3995693964133284</v>
      </c>
    </row>
    <row r="307" spans="4:11" ht="15.75" thickBot="1">
      <c r="D307" s="8"/>
      <c r="E307" s="9" t="s">
        <v>20</v>
      </c>
      <c r="F307" s="9" t="s">
        <v>0</v>
      </c>
      <c r="G307" s="17"/>
      <c r="H307" s="17"/>
      <c r="I307" s="1" t="str">
        <f t="shared" si="13"/>
        <v/>
      </c>
      <c r="J307" s="1" t="str">
        <f t="shared" si="12"/>
        <v/>
      </c>
      <c r="K307" s="1">
        <f t="shared" si="14"/>
        <v>0</v>
      </c>
    </row>
    <row r="308" spans="4:11" ht="15" customHeight="1">
      <c r="D308" s="6" t="s">
        <v>63</v>
      </c>
      <c r="E308" s="7"/>
      <c r="F308" s="7"/>
      <c r="G308" s="22">
        <v>3</v>
      </c>
      <c r="H308" s="17">
        <v>4</v>
      </c>
      <c r="I308" s="1">
        <f t="shared" si="13"/>
        <v>-1</v>
      </c>
      <c r="J308" s="1">
        <f t="shared" si="12"/>
        <v>-0.10223472765929387</v>
      </c>
      <c r="K308" s="1">
        <f t="shared" si="14"/>
        <v>0.80598248422098229</v>
      </c>
    </row>
    <row r="309" spans="4:11" ht="15.75" thickBot="1">
      <c r="D309" s="8"/>
      <c r="E309" s="9" t="s">
        <v>12</v>
      </c>
      <c r="F309" s="9" t="s">
        <v>37</v>
      </c>
      <c r="G309" s="17"/>
      <c r="H309" s="17"/>
      <c r="I309" s="1" t="str">
        <f t="shared" si="13"/>
        <v/>
      </c>
      <c r="J309" s="1" t="str">
        <f t="shared" si="12"/>
        <v/>
      </c>
      <c r="K309" s="1">
        <f t="shared" si="14"/>
        <v>0</v>
      </c>
    </row>
    <row r="310" spans="4:11" ht="15" customHeight="1">
      <c r="D310" s="6" t="s">
        <v>63</v>
      </c>
      <c r="E310" s="7"/>
      <c r="F310" s="7"/>
      <c r="G310" s="23">
        <v>1</v>
      </c>
      <c r="H310" s="17">
        <v>2</v>
      </c>
      <c r="I310" s="1">
        <f t="shared" si="13"/>
        <v>-1</v>
      </c>
      <c r="J310" s="1">
        <f t="shared" si="12"/>
        <v>-1.0367981855523567E-2</v>
      </c>
      <c r="K310" s="1">
        <f t="shared" si="14"/>
        <v>0.97937153133670929</v>
      </c>
    </row>
    <row r="311" spans="4:11" ht="15.75" thickBot="1">
      <c r="D311" s="8"/>
      <c r="E311" s="9" t="s">
        <v>1</v>
      </c>
      <c r="F311" s="9" t="s">
        <v>14</v>
      </c>
      <c r="G311" s="17"/>
      <c r="H311" s="17"/>
      <c r="I311" s="1" t="str">
        <f t="shared" si="13"/>
        <v/>
      </c>
      <c r="J311" s="1" t="str">
        <f t="shared" si="12"/>
        <v/>
      </c>
      <c r="K311" s="1">
        <f t="shared" si="14"/>
        <v>0</v>
      </c>
    </row>
    <row r="312" spans="4:11" ht="15" customHeight="1">
      <c r="D312" s="6" t="s">
        <v>63</v>
      </c>
      <c r="E312" s="7"/>
      <c r="F312" s="7"/>
      <c r="G312" s="17">
        <v>2</v>
      </c>
      <c r="H312" s="17">
        <v>3</v>
      </c>
      <c r="I312" s="1">
        <f t="shared" si="13"/>
        <v>-1</v>
      </c>
      <c r="J312" s="1">
        <f t="shared" si="12"/>
        <v>5.9257548358431222E-2</v>
      </c>
      <c r="K312" s="1">
        <f t="shared" si="14"/>
        <v>1.1220265537543141</v>
      </c>
    </row>
    <row r="313" spans="4:11" ht="15.75" thickBot="1">
      <c r="D313" s="8"/>
      <c r="E313" s="9" t="s">
        <v>7</v>
      </c>
      <c r="F313" s="9" t="s">
        <v>36</v>
      </c>
      <c r="G313" s="17"/>
      <c r="H313" s="17"/>
      <c r="I313" s="1" t="str">
        <f t="shared" si="13"/>
        <v/>
      </c>
      <c r="J313" s="1" t="str">
        <f t="shared" si="12"/>
        <v/>
      </c>
      <c r="K313" s="1">
        <f t="shared" si="14"/>
        <v>0</v>
      </c>
    </row>
    <row r="314" spans="4:11" ht="15" customHeight="1">
      <c r="D314" s="6" t="s">
        <v>63</v>
      </c>
      <c r="E314" s="7"/>
      <c r="F314" s="7"/>
      <c r="G314" s="17">
        <v>1</v>
      </c>
      <c r="H314" s="17">
        <v>0</v>
      </c>
      <c r="I314" s="1">
        <f t="shared" si="13"/>
        <v>1</v>
      </c>
      <c r="J314" s="1">
        <f t="shared" si="12"/>
        <v>-0.3375508919623087</v>
      </c>
      <c r="K314" s="1">
        <f t="shared" si="14"/>
        <v>1.7890423885891675</v>
      </c>
    </row>
    <row r="315" spans="4:11" ht="15.75" thickBot="1">
      <c r="D315" s="8"/>
      <c r="E315" s="9" t="s">
        <v>25</v>
      </c>
      <c r="F315" s="9" t="s">
        <v>38</v>
      </c>
      <c r="G315" s="17" t="s">
        <v>178</v>
      </c>
      <c r="H315" s="17"/>
      <c r="I315" s="1" t="str">
        <f t="shared" si="13"/>
        <v/>
      </c>
      <c r="J315" s="1" t="str">
        <f t="shared" si="12"/>
        <v/>
      </c>
      <c r="K315" s="1">
        <f t="shared" si="14"/>
        <v>0</v>
      </c>
    </row>
    <row r="316" spans="4:11" ht="15" customHeight="1">
      <c r="D316" s="6" t="s">
        <v>63</v>
      </c>
      <c r="E316" s="7"/>
      <c r="F316" s="7"/>
      <c r="G316" s="17" t="s">
        <v>179</v>
      </c>
      <c r="H316" s="17">
        <v>5</v>
      </c>
      <c r="I316" s="1">
        <f t="shared" si="13"/>
        <v>-5</v>
      </c>
      <c r="J316" s="1">
        <f t="shared" si="12"/>
        <v>-1.624885257726234</v>
      </c>
      <c r="K316" s="1">
        <f t="shared" si="14"/>
        <v>11.39139952351371</v>
      </c>
    </row>
    <row r="317" spans="4:11" ht="15.75" thickBot="1">
      <c r="D317" s="8"/>
      <c r="E317" s="9" t="s">
        <v>8</v>
      </c>
      <c r="F317" s="9" t="s">
        <v>11</v>
      </c>
      <c r="G317" s="17" t="s">
        <v>178</v>
      </c>
      <c r="H317" s="17"/>
      <c r="I317" s="1" t="str">
        <f t="shared" si="13"/>
        <v/>
      </c>
      <c r="J317" s="1" t="str">
        <f t="shared" si="12"/>
        <v/>
      </c>
      <c r="K317" s="1">
        <f t="shared" si="14"/>
        <v>0</v>
      </c>
    </row>
    <row r="318" spans="4:11" ht="15" customHeight="1">
      <c r="D318" s="6" t="s">
        <v>63</v>
      </c>
      <c r="E318" s="7"/>
      <c r="F318" s="7"/>
      <c r="G318" s="17" t="s">
        <v>179</v>
      </c>
      <c r="H318" s="17">
        <v>3</v>
      </c>
      <c r="I318" s="1">
        <f t="shared" si="13"/>
        <v>-3</v>
      </c>
      <c r="J318" s="1">
        <f t="shared" si="12"/>
        <v>-0.15534377019388046</v>
      </c>
      <c r="K318" s="1">
        <f t="shared" si="14"/>
        <v>8.0920690657747656</v>
      </c>
    </row>
    <row r="319" spans="4:11" ht="15.75" thickBot="1">
      <c r="D319" s="8"/>
      <c r="E319" s="9" t="s">
        <v>26</v>
      </c>
      <c r="F319" s="9" t="s">
        <v>28</v>
      </c>
      <c r="G319" s="17" t="s">
        <v>178</v>
      </c>
      <c r="H319" s="17"/>
      <c r="I319" s="1" t="str">
        <f t="shared" si="13"/>
        <v/>
      </c>
      <c r="J319" s="1" t="str">
        <f t="shared" si="12"/>
        <v/>
      </c>
      <c r="K319" s="1">
        <f t="shared" si="14"/>
        <v>0</v>
      </c>
    </row>
    <row r="320" spans="4:11" ht="15" customHeight="1">
      <c r="D320" s="6" t="s">
        <v>63</v>
      </c>
      <c r="E320" s="7"/>
      <c r="F320" s="7"/>
      <c r="G320" s="17" t="s">
        <v>180</v>
      </c>
      <c r="H320" s="17">
        <v>3</v>
      </c>
      <c r="I320" s="1">
        <f t="shared" si="13"/>
        <v>-1</v>
      </c>
      <c r="J320" s="1">
        <f t="shared" si="12"/>
        <v>-0.54708387220728127</v>
      </c>
      <c r="K320" s="1">
        <f t="shared" si="14"/>
        <v>0.20513301881475032</v>
      </c>
    </row>
    <row r="321" spans="4:11" ht="15.75" thickBot="1">
      <c r="D321" s="8"/>
      <c r="E321" s="9" t="s">
        <v>22</v>
      </c>
      <c r="F321" s="9" t="s">
        <v>39</v>
      </c>
      <c r="G321" s="17" t="s">
        <v>178</v>
      </c>
      <c r="H321" s="17"/>
      <c r="I321" s="1" t="str">
        <f t="shared" si="13"/>
        <v/>
      </c>
      <c r="J321" s="1" t="str">
        <f t="shared" si="12"/>
        <v/>
      </c>
      <c r="K321" s="1">
        <f t="shared" si="14"/>
        <v>0</v>
      </c>
    </row>
    <row r="322" spans="4:11" ht="15" customHeight="1">
      <c r="D322" s="6" t="s">
        <v>63</v>
      </c>
      <c r="E322" s="7"/>
      <c r="F322" s="7"/>
      <c r="G322" s="17" t="s">
        <v>181</v>
      </c>
      <c r="H322" s="17">
        <v>4</v>
      </c>
      <c r="I322" s="1">
        <f t="shared" si="13"/>
        <v>-3</v>
      </c>
      <c r="J322" s="1">
        <f t="shared" si="12"/>
        <v>-0.49449395946012942</v>
      </c>
      <c r="K322" s="1">
        <f t="shared" si="14"/>
        <v>6.2775605191817796</v>
      </c>
    </row>
    <row r="323" spans="4:11" ht="15.75" thickBot="1">
      <c r="D323" s="8"/>
      <c r="E323" s="9" t="s">
        <v>21</v>
      </c>
      <c r="F323" s="9" t="s">
        <v>23</v>
      </c>
      <c r="G323" s="17" t="s">
        <v>178</v>
      </c>
      <c r="H323" s="17"/>
      <c r="I323" s="1" t="str">
        <f t="shared" si="13"/>
        <v/>
      </c>
      <c r="J323" s="1" t="str">
        <f t="shared" ref="J323:J386" si="15">IF(F324="","",VLOOKUP(F324,$A$2:$B$31,2)+$B$33-VLOOKUP(E324,$A$2:$B$31,2))</f>
        <v/>
      </c>
      <c r="K323" s="1">
        <f t="shared" si="14"/>
        <v>0</v>
      </c>
    </row>
    <row r="324" spans="4:11" ht="15" customHeight="1">
      <c r="D324" s="6" t="s">
        <v>63</v>
      </c>
      <c r="E324" s="7"/>
      <c r="F324" s="7"/>
      <c r="G324" s="17" t="s">
        <v>182</v>
      </c>
      <c r="H324" s="17">
        <v>2</v>
      </c>
      <c r="I324" s="1">
        <f t="shared" ref="I324:I387" si="16">IF(G324="","",G324-H324)</f>
        <v>1</v>
      </c>
      <c r="J324" s="1">
        <f t="shared" si="15"/>
        <v>1.0576985098204545</v>
      </c>
      <c r="K324" s="1">
        <f t="shared" ref="K324:K387" si="17">IF(J324="",0,(I324-J324)^2)</f>
        <v>3.3291180355010897E-3</v>
      </c>
    </row>
    <row r="325" spans="4:11" ht="15.75" thickBot="1">
      <c r="D325" s="8"/>
      <c r="E325" s="9" t="s">
        <v>3</v>
      </c>
      <c r="F325" s="9" t="s">
        <v>24</v>
      </c>
      <c r="G325" s="17" t="s">
        <v>178</v>
      </c>
      <c r="H325" s="17"/>
      <c r="I325" s="1" t="str">
        <f t="shared" si="16"/>
        <v/>
      </c>
      <c r="J325" s="1" t="str">
        <f t="shared" si="15"/>
        <v/>
      </c>
      <c r="K325" s="1">
        <f t="shared" si="17"/>
        <v>0</v>
      </c>
    </row>
    <row r="326" spans="4:11" ht="15" customHeight="1">
      <c r="D326" s="6" t="s">
        <v>63</v>
      </c>
      <c r="E326" s="7"/>
      <c r="F326" s="7"/>
      <c r="G326" s="17" t="s">
        <v>181</v>
      </c>
      <c r="H326" s="17">
        <v>3</v>
      </c>
      <c r="I326" s="1">
        <f t="shared" si="16"/>
        <v>-2</v>
      </c>
      <c r="J326" s="1">
        <f t="shared" si="15"/>
        <v>0.57604180891031831</v>
      </c>
      <c r="K326" s="1">
        <f t="shared" si="17"/>
        <v>6.6359914012539445</v>
      </c>
    </row>
    <row r="327" spans="4:11" ht="15.75" thickBot="1">
      <c r="D327" s="8"/>
      <c r="E327" s="9" t="s">
        <v>41</v>
      </c>
      <c r="F327" s="9" t="s">
        <v>33</v>
      </c>
      <c r="G327" s="17" t="s">
        <v>178</v>
      </c>
      <c r="H327" s="17"/>
      <c r="I327" s="1" t="str">
        <f t="shared" si="16"/>
        <v/>
      </c>
      <c r="J327" s="1" t="str">
        <f t="shared" si="15"/>
        <v/>
      </c>
      <c r="K327" s="1">
        <f t="shared" si="17"/>
        <v>0</v>
      </c>
    </row>
    <row r="328" spans="4:11" ht="18" customHeight="1">
      <c r="D328" s="6" t="s">
        <v>64</v>
      </c>
      <c r="E328" s="7"/>
      <c r="F328" s="7"/>
      <c r="G328" s="17" t="s">
        <v>180</v>
      </c>
      <c r="H328" s="17">
        <v>3</v>
      </c>
      <c r="I328" s="1">
        <f t="shared" si="16"/>
        <v>-1</v>
      </c>
      <c r="J328" s="1">
        <f t="shared" si="15"/>
        <v>1.4739938376804105</v>
      </c>
      <c r="K328" s="1">
        <f t="shared" si="17"/>
        <v>6.1206455088806448</v>
      </c>
    </row>
    <row r="329" spans="4:11" ht="15.75" thickBot="1">
      <c r="D329" s="8"/>
      <c r="E329" s="9" t="s">
        <v>13</v>
      </c>
      <c r="F329" s="9" t="s">
        <v>8</v>
      </c>
      <c r="G329" s="17" t="s">
        <v>178</v>
      </c>
      <c r="H329" s="17"/>
      <c r="I329" s="1" t="str">
        <f t="shared" si="16"/>
        <v/>
      </c>
      <c r="J329" s="1" t="str">
        <f t="shared" si="15"/>
        <v/>
      </c>
      <c r="K329" s="1">
        <f t="shared" si="17"/>
        <v>0</v>
      </c>
    </row>
    <row r="330" spans="4:11" ht="15" customHeight="1">
      <c r="D330" s="6" t="s">
        <v>64</v>
      </c>
      <c r="E330" s="7"/>
      <c r="F330" s="7"/>
      <c r="G330" s="17" t="s">
        <v>180</v>
      </c>
      <c r="H330" s="17">
        <v>3</v>
      </c>
      <c r="I330" s="1">
        <f t="shared" si="16"/>
        <v>-1</v>
      </c>
      <c r="J330" s="1">
        <f t="shared" si="15"/>
        <v>0.46725254012335427</v>
      </c>
      <c r="K330" s="1">
        <f t="shared" si="17"/>
        <v>2.1528300164984353</v>
      </c>
    </row>
    <row r="331" spans="4:11" ht="15.75" thickBot="1">
      <c r="D331" s="8"/>
      <c r="E331" s="9" t="s">
        <v>34</v>
      </c>
      <c r="F331" s="9" t="s">
        <v>28</v>
      </c>
      <c r="G331" s="17" t="s">
        <v>178</v>
      </c>
      <c r="H331" s="17"/>
      <c r="I331" s="1" t="str">
        <f t="shared" si="16"/>
        <v/>
      </c>
      <c r="J331" s="1" t="str">
        <f t="shared" si="15"/>
        <v/>
      </c>
      <c r="K331" s="1">
        <f t="shared" si="17"/>
        <v>0</v>
      </c>
    </row>
    <row r="332" spans="4:11" ht="15" customHeight="1">
      <c r="D332" s="6" t="s">
        <v>64</v>
      </c>
      <c r="E332" s="7"/>
      <c r="F332" s="7"/>
      <c r="G332" s="17" t="s">
        <v>183</v>
      </c>
      <c r="H332" s="17">
        <v>2</v>
      </c>
      <c r="I332" s="1">
        <f t="shared" si="16"/>
        <v>4</v>
      </c>
      <c r="J332" s="1">
        <f t="shared" si="15"/>
        <v>-5.7860511876370424E-2</v>
      </c>
      <c r="K332" s="1">
        <f t="shared" si="17"/>
        <v>16.46623193384556</v>
      </c>
    </row>
    <row r="333" spans="4:11" ht="15.75" thickBot="1">
      <c r="D333" s="8"/>
      <c r="E333" s="9" t="s">
        <v>4</v>
      </c>
      <c r="F333" s="9" t="s">
        <v>443</v>
      </c>
      <c r="G333" s="17" t="s">
        <v>178</v>
      </c>
      <c r="H333" s="17"/>
      <c r="I333" s="1" t="str">
        <f t="shared" si="16"/>
        <v/>
      </c>
      <c r="J333" s="1" t="str">
        <f t="shared" si="15"/>
        <v/>
      </c>
      <c r="K333" s="1">
        <f t="shared" si="17"/>
        <v>0</v>
      </c>
    </row>
    <row r="334" spans="4:11" ht="15" customHeight="1">
      <c r="D334" s="6" t="s">
        <v>64</v>
      </c>
      <c r="E334" s="7"/>
      <c r="F334" s="7"/>
      <c r="G334" s="17" t="s">
        <v>183</v>
      </c>
      <c r="H334" s="17">
        <v>5</v>
      </c>
      <c r="I334" s="1">
        <f t="shared" si="16"/>
        <v>1</v>
      </c>
      <c r="J334" s="1">
        <f t="shared" si="15"/>
        <v>-0.961798342323263</v>
      </c>
      <c r="K334" s="1">
        <f t="shared" si="17"/>
        <v>3.8486527359423026</v>
      </c>
    </row>
    <row r="335" spans="4:11" ht="30.75" thickBot="1">
      <c r="D335" s="8"/>
      <c r="E335" s="9" t="s">
        <v>26</v>
      </c>
      <c r="F335" s="9" t="s">
        <v>12</v>
      </c>
      <c r="G335" s="17" t="s">
        <v>178</v>
      </c>
      <c r="H335" s="17"/>
      <c r="I335" s="1" t="str">
        <f t="shared" si="16"/>
        <v/>
      </c>
      <c r="J335" s="1" t="str">
        <f t="shared" si="15"/>
        <v/>
      </c>
      <c r="K335" s="1">
        <f t="shared" si="17"/>
        <v>0</v>
      </c>
    </row>
    <row r="336" spans="4:11" ht="15" customHeight="1">
      <c r="D336" s="6" t="s">
        <v>64</v>
      </c>
      <c r="E336" s="7"/>
      <c r="F336" s="7"/>
      <c r="G336" s="17" t="s">
        <v>182</v>
      </c>
      <c r="H336" s="17">
        <v>2</v>
      </c>
      <c r="I336" s="1">
        <f t="shared" si="16"/>
        <v>1</v>
      </c>
      <c r="J336" s="1">
        <f t="shared" si="15"/>
        <v>-0.48865647742420038</v>
      </c>
      <c r="K336" s="1">
        <f t="shared" si="17"/>
        <v>2.2160981077770288</v>
      </c>
    </row>
    <row r="337" spans="4:11" ht="15.75" thickBot="1">
      <c r="D337" s="8"/>
      <c r="E337" s="9" t="s">
        <v>10</v>
      </c>
      <c r="F337" s="9" t="s">
        <v>22</v>
      </c>
      <c r="G337" s="17" t="s">
        <v>178</v>
      </c>
      <c r="H337" s="17"/>
      <c r="I337" s="1" t="str">
        <f t="shared" si="16"/>
        <v/>
      </c>
      <c r="J337" s="1" t="str">
        <f t="shared" si="15"/>
        <v/>
      </c>
      <c r="K337" s="1">
        <f t="shared" si="17"/>
        <v>0</v>
      </c>
    </row>
    <row r="338" spans="4:11" ht="18" customHeight="1">
      <c r="D338" s="6" t="s">
        <v>64</v>
      </c>
      <c r="E338" s="7"/>
      <c r="F338" s="7"/>
      <c r="G338" s="17" t="s">
        <v>181</v>
      </c>
      <c r="H338" s="17">
        <v>0</v>
      </c>
      <c r="I338" s="1">
        <f t="shared" si="16"/>
        <v>1</v>
      </c>
      <c r="J338" s="1">
        <f t="shared" si="15"/>
        <v>-0.34452518328755843</v>
      </c>
      <c r="K338" s="1">
        <f t="shared" si="17"/>
        <v>1.8077479684944426</v>
      </c>
    </row>
    <row r="339" spans="4:11" ht="15.75" thickBot="1">
      <c r="D339" s="8"/>
      <c r="E339" s="9" t="s">
        <v>25</v>
      </c>
      <c r="F339" s="9" t="s">
        <v>20</v>
      </c>
      <c r="G339" s="17" t="s">
        <v>178</v>
      </c>
      <c r="H339" s="17"/>
      <c r="I339" s="1" t="str">
        <f t="shared" si="16"/>
        <v/>
      </c>
      <c r="J339" s="1" t="str">
        <f t="shared" si="15"/>
        <v/>
      </c>
      <c r="K339" s="1">
        <f t="shared" si="17"/>
        <v>0</v>
      </c>
    </row>
    <row r="340" spans="4:11" ht="15" customHeight="1">
      <c r="D340" s="6" t="s">
        <v>64</v>
      </c>
      <c r="E340" s="7"/>
      <c r="F340" s="7"/>
      <c r="G340" s="17" t="s">
        <v>182</v>
      </c>
      <c r="H340" s="17">
        <v>1</v>
      </c>
      <c r="I340" s="1">
        <f t="shared" si="16"/>
        <v>2</v>
      </c>
      <c r="J340" s="1">
        <f t="shared" si="15"/>
        <v>0.23631500439449837</v>
      </c>
      <c r="K340" s="1">
        <f t="shared" si="17"/>
        <v>3.1105847637239781</v>
      </c>
    </row>
    <row r="341" spans="4:11" ht="15.75" thickBot="1">
      <c r="D341" s="8"/>
      <c r="E341" s="9" t="s">
        <v>19</v>
      </c>
      <c r="F341" s="9" t="s">
        <v>3</v>
      </c>
      <c r="G341" s="17" t="s">
        <v>178</v>
      </c>
      <c r="H341" s="17"/>
      <c r="I341" s="1" t="str">
        <f t="shared" si="16"/>
        <v/>
      </c>
      <c r="J341" s="1" t="str">
        <f t="shared" si="15"/>
        <v/>
      </c>
      <c r="K341" s="1">
        <f t="shared" si="17"/>
        <v>0</v>
      </c>
    </row>
    <row r="342" spans="4:11" ht="15" customHeight="1">
      <c r="D342" s="6" t="s">
        <v>65</v>
      </c>
      <c r="E342" s="7"/>
      <c r="F342" s="7"/>
      <c r="G342" s="17" t="s">
        <v>184</v>
      </c>
      <c r="H342" s="17">
        <v>3</v>
      </c>
      <c r="I342" s="1">
        <f t="shared" si="16"/>
        <v>1</v>
      </c>
      <c r="J342" s="1">
        <f t="shared" si="15"/>
        <v>-2.7196235033159155E-2</v>
      </c>
      <c r="K342" s="1">
        <f t="shared" si="17"/>
        <v>1.0551321052662972</v>
      </c>
    </row>
    <row r="343" spans="4:11" ht="15.75" thickBot="1">
      <c r="D343" s="8"/>
      <c r="E343" s="9" t="s">
        <v>39</v>
      </c>
      <c r="F343" s="9" t="s">
        <v>38</v>
      </c>
      <c r="G343" s="17" t="s">
        <v>178</v>
      </c>
      <c r="H343" s="17"/>
      <c r="I343" s="1" t="str">
        <f t="shared" si="16"/>
        <v/>
      </c>
      <c r="J343" s="1" t="str">
        <f t="shared" si="15"/>
        <v/>
      </c>
      <c r="K343" s="1">
        <f t="shared" si="17"/>
        <v>0</v>
      </c>
    </row>
    <row r="344" spans="4:11" ht="18" customHeight="1">
      <c r="D344" s="6" t="s">
        <v>66</v>
      </c>
      <c r="E344" s="7"/>
      <c r="F344" s="7"/>
      <c r="G344" s="17" t="s">
        <v>181</v>
      </c>
      <c r="H344" s="17">
        <v>2</v>
      </c>
      <c r="I344" s="1">
        <f t="shared" si="16"/>
        <v>-1</v>
      </c>
      <c r="J344" s="1">
        <f t="shared" si="15"/>
        <v>-0.3228931267499604</v>
      </c>
      <c r="K344" s="1">
        <f t="shared" si="17"/>
        <v>0.45847371780244517</v>
      </c>
    </row>
    <row r="345" spans="4:11" ht="15.75" thickBot="1">
      <c r="D345" s="8"/>
      <c r="E345" s="9" t="s">
        <v>14</v>
      </c>
      <c r="F345" s="9" t="s">
        <v>2</v>
      </c>
      <c r="G345" s="17" t="s">
        <v>178</v>
      </c>
      <c r="H345" s="17"/>
      <c r="I345" s="1" t="str">
        <f t="shared" si="16"/>
        <v/>
      </c>
      <c r="J345" s="1" t="str">
        <f t="shared" si="15"/>
        <v/>
      </c>
      <c r="K345" s="1">
        <f t="shared" si="17"/>
        <v>0</v>
      </c>
    </row>
    <row r="346" spans="4:11" ht="15" customHeight="1">
      <c r="D346" s="6" t="s">
        <v>66</v>
      </c>
      <c r="E346" s="7"/>
      <c r="F346" s="7"/>
      <c r="G346" s="17" t="s">
        <v>181</v>
      </c>
      <c r="H346" s="17">
        <v>4</v>
      </c>
      <c r="I346" s="1">
        <f t="shared" si="16"/>
        <v>-3</v>
      </c>
      <c r="J346" s="1">
        <f t="shared" si="15"/>
        <v>-0.61041727557017111</v>
      </c>
      <c r="K346" s="1">
        <f t="shared" si="17"/>
        <v>5.7101055968934835</v>
      </c>
    </row>
    <row r="347" spans="4:11" ht="30.75" thickBot="1">
      <c r="D347" s="8"/>
      <c r="E347" s="9" t="s">
        <v>24</v>
      </c>
      <c r="F347" s="9" t="s">
        <v>1</v>
      </c>
      <c r="G347" s="17" t="s">
        <v>178</v>
      </c>
      <c r="H347" s="17"/>
      <c r="I347" s="1" t="str">
        <f t="shared" si="16"/>
        <v/>
      </c>
      <c r="J347" s="1" t="str">
        <f t="shared" si="15"/>
        <v/>
      </c>
      <c r="K347" s="1">
        <f t="shared" si="17"/>
        <v>0</v>
      </c>
    </row>
    <row r="348" spans="4:11" ht="15" customHeight="1">
      <c r="D348" s="6" t="s">
        <v>66</v>
      </c>
      <c r="E348" s="7"/>
      <c r="F348" s="7"/>
      <c r="G348" s="17" t="s">
        <v>184</v>
      </c>
      <c r="H348" s="17">
        <v>3</v>
      </c>
      <c r="I348" s="1">
        <f t="shared" si="16"/>
        <v>1</v>
      </c>
      <c r="J348" s="1">
        <f t="shared" si="15"/>
        <v>-0.15196942883429188</v>
      </c>
      <c r="K348" s="1">
        <f t="shared" si="17"/>
        <v>1.3270335649688048</v>
      </c>
    </row>
    <row r="349" spans="4:11" ht="30.75" thickBot="1">
      <c r="D349" s="8"/>
      <c r="E349" s="9" t="s">
        <v>4</v>
      </c>
      <c r="F349" s="9" t="s">
        <v>12</v>
      </c>
      <c r="G349" s="17" t="s">
        <v>178</v>
      </c>
      <c r="H349" s="17"/>
      <c r="I349" s="1" t="str">
        <f t="shared" si="16"/>
        <v/>
      </c>
      <c r="J349" s="1" t="str">
        <f t="shared" si="15"/>
        <v/>
      </c>
      <c r="K349" s="1">
        <f t="shared" si="17"/>
        <v>0</v>
      </c>
    </row>
    <row r="350" spans="4:11" ht="15" customHeight="1">
      <c r="D350" s="6" t="s">
        <v>66</v>
      </c>
      <c r="E350" s="7"/>
      <c r="F350" s="7"/>
      <c r="G350" s="17" t="s">
        <v>184</v>
      </c>
      <c r="H350" s="17">
        <v>2</v>
      </c>
      <c r="I350" s="1">
        <f t="shared" si="16"/>
        <v>2</v>
      </c>
      <c r="J350" s="1">
        <f t="shared" si="15"/>
        <v>-7.4977837838929418E-2</v>
      </c>
      <c r="K350" s="1">
        <f t="shared" si="17"/>
        <v>4.3055330275227188</v>
      </c>
    </row>
    <row r="351" spans="4:11" ht="15.75" thickBot="1">
      <c r="D351" s="8"/>
      <c r="E351" s="9" t="s">
        <v>28</v>
      </c>
      <c r="F351" s="9" t="s">
        <v>7</v>
      </c>
      <c r="G351" s="17" t="s">
        <v>178</v>
      </c>
      <c r="H351" s="17"/>
      <c r="I351" s="1" t="str">
        <f t="shared" si="16"/>
        <v/>
      </c>
      <c r="J351" s="1" t="str">
        <f t="shared" si="15"/>
        <v/>
      </c>
      <c r="K351" s="1">
        <f t="shared" si="17"/>
        <v>0</v>
      </c>
    </row>
    <row r="352" spans="4:11" ht="15" customHeight="1">
      <c r="D352" s="6" t="s">
        <v>66</v>
      </c>
      <c r="E352" s="7"/>
      <c r="F352" s="7"/>
      <c r="G352" s="17" t="s">
        <v>181</v>
      </c>
      <c r="H352" s="17">
        <v>0</v>
      </c>
      <c r="I352" s="1">
        <f t="shared" si="16"/>
        <v>1</v>
      </c>
      <c r="J352" s="1">
        <f t="shared" si="15"/>
        <v>0.86467628995710299</v>
      </c>
      <c r="K352" s="1">
        <f t="shared" si="17"/>
        <v>1.8312506499774065E-2</v>
      </c>
    </row>
    <row r="353" spans="4:11" ht="15.75" thickBot="1">
      <c r="D353" s="8"/>
      <c r="E353" s="9" t="s">
        <v>39</v>
      </c>
      <c r="F353" s="9" t="s">
        <v>36</v>
      </c>
      <c r="G353" s="17" t="s">
        <v>178</v>
      </c>
      <c r="H353" s="17"/>
      <c r="I353" s="1" t="str">
        <f t="shared" si="16"/>
        <v/>
      </c>
      <c r="J353" s="1" t="str">
        <f t="shared" si="15"/>
        <v/>
      </c>
      <c r="K353" s="1">
        <f t="shared" si="17"/>
        <v>0</v>
      </c>
    </row>
    <row r="354" spans="4:11" ht="15" customHeight="1">
      <c r="D354" s="6" t="s">
        <v>66</v>
      </c>
      <c r="E354" s="7"/>
      <c r="F354" s="7"/>
      <c r="G354" s="17" t="s">
        <v>185</v>
      </c>
      <c r="H354" s="17">
        <v>0</v>
      </c>
      <c r="I354" s="1">
        <f t="shared" si="16"/>
        <v>5</v>
      </c>
      <c r="J354" s="1">
        <f t="shared" si="15"/>
        <v>0.20222145062454899</v>
      </c>
      <c r="K354" s="1">
        <f t="shared" si="17"/>
        <v>23.018679008847208</v>
      </c>
    </row>
    <row r="355" spans="4:11" ht="15.75" thickBot="1">
      <c r="D355" s="8"/>
      <c r="E355" s="9" t="s">
        <v>20</v>
      </c>
      <c r="F355" s="9" t="s">
        <v>443</v>
      </c>
      <c r="G355" s="17" t="s">
        <v>178</v>
      </c>
      <c r="H355" s="17"/>
      <c r="I355" s="1" t="str">
        <f t="shared" si="16"/>
        <v/>
      </c>
      <c r="J355" s="1" t="str">
        <f t="shared" si="15"/>
        <v/>
      </c>
      <c r="K355" s="1">
        <f t="shared" si="17"/>
        <v>0</v>
      </c>
    </row>
    <row r="356" spans="4:11" ht="18" customHeight="1">
      <c r="D356" s="6" t="s">
        <v>66</v>
      </c>
      <c r="E356" s="7"/>
      <c r="F356" s="7"/>
      <c r="G356" s="17" t="s">
        <v>181</v>
      </c>
      <c r="H356" s="17">
        <v>3</v>
      </c>
      <c r="I356" s="1">
        <f t="shared" si="16"/>
        <v>-2</v>
      </c>
      <c r="J356" s="1">
        <f t="shared" si="15"/>
        <v>-3.1963483085490907E-2</v>
      </c>
      <c r="K356" s="1">
        <f t="shared" si="17"/>
        <v>3.873167731908993</v>
      </c>
    </row>
    <row r="357" spans="4:11" ht="15.75" thickBot="1">
      <c r="D357" s="8"/>
      <c r="E357" s="9" t="s">
        <v>13</v>
      </c>
      <c r="F357" s="9" t="s">
        <v>18</v>
      </c>
      <c r="G357" s="17" t="s">
        <v>178</v>
      </c>
      <c r="H357" s="17"/>
      <c r="I357" s="1" t="str">
        <f t="shared" si="16"/>
        <v/>
      </c>
      <c r="J357" s="1" t="str">
        <f t="shared" si="15"/>
        <v/>
      </c>
      <c r="K357" s="1">
        <f t="shared" si="17"/>
        <v>0</v>
      </c>
    </row>
    <row r="358" spans="4:11" ht="15" customHeight="1">
      <c r="D358" s="6" t="s">
        <v>66</v>
      </c>
      <c r="E358" s="7"/>
      <c r="F358" s="7"/>
      <c r="G358" s="17" t="s">
        <v>184</v>
      </c>
      <c r="H358" s="17">
        <v>1</v>
      </c>
      <c r="I358" s="1">
        <f t="shared" si="16"/>
        <v>3</v>
      </c>
      <c r="J358" s="1">
        <f t="shared" si="15"/>
        <v>-0.14482050487377762</v>
      </c>
      <c r="K358" s="1">
        <f t="shared" si="17"/>
        <v>9.8898960078745617</v>
      </c>
    </row>
    <row r="359" spans="4:11" ht="15.75" thickBot="1">
      <c r="D359" s="8"/>
      <c r="E359" s="9" t="s">
        <v>11</v>
      </c>
      <c r="F359" s="9" t="s">
        <v>23</v>
      </c>
      <c r="G359" s="17" t="s">
        <v>178</v>
      </c>
      <c r="H359" s="17"/>
      <c r="I359" s="1" t="str">
        <f t="shared" si="16"/>
        <v/>
      </c>
      <c r="J359" s="1" t="str">
        <f t="shared" si="15"/>
        <v/>
      </c>
      <c r="K359" s="1">
        <f t="shared" si="17"/>
        <v>0</v>
      </c>
    </row>
    <row r="360" spans="4:11" ht="15" customHeight="1">
      <c r="D360" s="6" t="s">
        <v>66</v>
      </c>
      <c r="E360" s="7"/>
      <c r="F360" s="7"/>
      <c r="G360" s="17" t="s">
        <v>181</v>
      </c>
      <c r="H360" s="17">
        <v>3</v>
      </c>
      <c r="I360" s="1">
        <f t="shared" si="16"/>
        <v>-2</v>
      </c>
      <c r="J360" s="1">
        <f t="shared" si="15"/>
        <v>0.20922527724617623</v>
      </c>
      <c r="K360" s="1">
        <f t="shared" si="17"/>
        <v>4.880676325623444</v>
      </c>
    </row>
    <row r="361" spans="4:11" ht="15.75" thickBot="1">
      <c r="D361" s="8"/>
      <c r="E361" s="9" t="s">
        <v>19</v>
      </c>
      <c r="F361" s="9" t="s">
        <v>25</v>
      </c>
      <c r="G361" s="17" t="s">
        <v>178</v>
      </c>
      <c r="H361" s="17"/>
      <c r="I361" s="1" t="str">
        <f t="shared" si="16"/>
        <v/>
      </c>
      <c r="J361" s="1" t="str">
        <f t="shared" si="15"/>
        <v/>
      </c>
      <c r="K361" s="1">
        <f t="shared" si="17"/>
        <v>0</v>
      </c>
    </row>
    <row r="362" spans="4:11" ht="15" customHeight="1">
      <c r="D362" s="6" t="s">
        <v>66</v>
      </c>
      <c r="E362" s="7"/>
      <c r="F362" s="7"/>
      <c r="G362" s="17" t="s">
        <v>182</v>
      </c>
      <c r="H362" s="17">
        <v>1</v>
      </c>
      <c r="I362" s="1">
        <f t="shared" si="16"/>
        <v>2</v>
      </c>
      <c r="J362" s="1">
        <f t="shared" si="15"/>
        <v>0.17312140157279998</v>
      </c>
      <c r="K362" s="1">
        <f t="shared" si="17"/>
        <v>3.3374854133913305</v>
      </c>
    </row>
    <row r="363" spans="4:11" ht="15.75" thickBot="1">
      <c r="D363" s="8"/>
      <c r="E363" s="9" t="s">
        <v>34</v>
      </c>
      <c r="F363" s="9" t="s">
        <v>21</v>
      </c>
      <c r="G363" s="17" t="s">
        <v>178</v>
      </c>
      <c r="H363" s="17"/>
      <c r="I363" s="1" t="str">
        <f t="shared" si="16"/>
        <v/>
      </c>
      <c r="J363" s="1" t="str">
        <f t="shared" si="15"/>
        <v/>
      </c>
      <c r="K363" s="1">
        <f t="shared" si="17"/>
        <v>0</v>
      </c>
    </row>
    <row r="364" spans="4:11" ht="15" customHeight="1">
      <c r="D364" s="6" t="s">
        <v>66</v>
      </c>
      <c r="E364" s="7"/>
      <c r="F364" s="7"/>
      <c r="G364" s="17" t="s">
        <v>185</v>
      </c>
      <c r="H364" s="17">
        <v>2</v>
      </c>
      <c r="I364" s="1">
        <f t="shared" si="16"/>
        <v>3</v>
      </c>
      <c r="J364" s="1">
        <f t="shared" si="15"/>
        <v>0.20963948812980959</v>
      </c>
      <c r="K364" s="1">
        <f t="shared" si="17"/>
        <v>7.7861117862044713</v>
      </c>
    </row>
    <row r="365" spans="4:11" ht="15.75" thickBot="1">
      <c r="D365" s="8"/>
      <c r="E365" s="9" t="s">
        <v>3</v>
      </c>
      <c r="F365" s="9" t="s">
        <v>22</v>
      </c>
      <c r="G365" s="17" t="s">
        <v>178</v>
      </c>
      <c r="H365" s="17"/>
      <c r="I365" s="1" t="str">
        <f t="shared" si="16"/>
        <v/>
      </c>
      <c r="J365" s="1" t="str">
        <f t="shared" si="15"/>
        <v/>
      </c>
      <c r="K365" s="1">
        <f t="shared" si="17"/>
        <v>0</v>
      </c>
    </row>
    <row r="366" spans="4:11" ht="15" customHeight="1">
      <c r="D366" s="6" t="s">
        <v>66</v>
      </c>
      <c r="E366" s="7"/>
      <c r="F366" s="7"/>
      <c r="G366" s="17" t="s">
        <v>180</v>
      </c>
      <c r="H366" s="17">
        <v>3</v>
      </c>
      <c r="I366" s="1">
        <f t="shared" si="16"/>
        <v>-1</v>
      </c>
      <c r="J366" s="1">
        <f t="shared" si="15"/>
        <v>-2.7604176736389263E-2</v>
      </c>
      <c r="K366" s="1">
        <f t="shared" si="17"/>
        <v>0.94555363710051532</v>
      </c>
    </row>
    <row r="367" spans="4:11" ht="15.75" thickBot="1">
      <c r="D367" s="8"/>
      <c r="E367" s="9" t="s">
        <v>0</v>
      </c>
      <c r="F367" s="9" t="s">
        <v>26</v>
      </c>
      <c r="G367" s="17" t="s">
        <v>178</v>
      </c>
      <c r="H367" s="17"/>
      <c r="I367" s="1" t="str">
        <f t="shared" si="16"/>
        <v/>
      </c>
      <c r="J367" s="1" t="str">
        <f t="shared" si="15"/>
        <v/>
      </c>
      <c r="K367" s="1">
        <f t="shared" si="17"/>
        <v>0</v>
      </c>
    </row>
    <row r="368" spans="4:11" ht="18" customHeight="1">
      <c r="D368" s="6" t="s">
        <v>67</v>
      </c>
      <c r="E368" s="7"/>
      <c r="F368" s="7"/>
      <c r="G368" s="17" t="s">
        <v>180</v>
      </c>
      <c r="H368" s="17">
        <v>1</v>
      </c>
      <c r="I368" s="1">
        <f t="shared" si="16"/>
        <v>1</v>
      </c>
      <c r="J368" s="1">
        <f t="shared" si="15"/>
        <v>1.6934263197607891</v>
      </c>
      <c r="K368" s="1">
        <f t="shared" si="17"/>
        <v>0.48084006093699205</v>
      </c>
    </row>
    <row r="369" spans="4:11" ht="15.75" thickBot="1">
      <c r="D369" s="8"/>
      <c r="E369" s="9" t="s">
        <v>443</v>
      </c>
      <c r="F369" s="9" t="s">
        <v>8</v>
      </c>
      <c r="G369" s="17" t="s">
        <v>178</v>
      </c>
      <c r="H369" s="17"/>
      <c r="I369" s="1" t="str">
        <f t="shared" si="16"/>
        <v/>
      </c>
      <c r="J369" s="1" t="str">
        <f t="shared" si="15"/>
        <v/>
      </c>
      <c r="K369" s="1">
        <f t="shared" si="17"/>
        <v>0</v>
      </c>
    </row>
    <row r="370" spans="4:11" ht="15" customHeight="1">
      <c r="D370" s="6" t="s">
        <v>67</v>
      </c>
      <c r="E370" s="7"/>
      <c r="F370" s="7"/>
      <c r="G370" s="17" t="s">
        <v>182</v>
      </c>
      <c r="H370" s="17">
        <v>4</v>
      </c>
      <c r="I370" s="1">
        <f t="shared" si="16"/>
        <v>-1</v>
      </c>
      <c r="J370" s="1">
        <f t="shared" si="15"/>
        <v>-0.41467964137967783</v>
      </c>
      <c r="K370" s="1">
        <f t="shared" si="17"/>
        <v>0.34259992221542257</v>
      </c>
    </row>
    <row r="371" spans="4:11" ht="15.75" thickBot="1">
      <c r="D371" s="8"/>
      <c r="E371" s="9" t="s">
        <v>13</v>
      </c>
      <c r="F371" s="9" t="s">
        <v>38</v>
      </c>
      <c r="G371" s="17" t="s">
        <v>178</v>
      </c>
      <c r="H371" s="17"/>
      <c r="I371" s="1" t="str">
        <f t="shared" si="16"/>
        <v/>
      </c>
      <c r="J371" s="1" t="str">
        <f t="shared" si="15"/>
        <v/>
      </c>
      <c r="K371" s="1">
        <f t="shared" si="17"/>
        <v>0</v>
      </c>
    </row>
    <row r="372" spans="4:11" ht="15" customHeight="1">
      <c r="D372" s="6" t="s">
        <v>67</v>
      </c>
      <c r="E372" s="7"/>
      <c r="F372" s="7"/>
      <c r="G372" s="17" t="s">
        <v>182</v>
      </c>
      <c r="H372" s="17">
        <v>2</v>
      </c>
      <c r="I372" s="1">
        <f t="shared" si="16"/>
        <v>1</v>
      </c>
      <c r="J372" s="1">
        <f t="shared" si="15"/>
        <v>1.0629365846646408</v>
      </c>
      <c r="K372" s="1">
        <f t="shared" si="17"/>
        <v>3.9610136892494997E-3</v>
      </c>
    </row>
    <row r="373" spans="4:11" ht="15.75" thickBot="1">
      <c r="D373" s="8"/>
      <c r="E373" s="9" t="s">
        <v>41</v>
      </c>
      <c r="F373" s="9" t="s">
        <v>10</v>
      </c>
      <c r="G373" s="17" t="s">
        <v>178</v>
      </c>
      <c r="H373" s="17"/>
      <c r="I373" s="1" t="str">
        <f t="shared" si="16"/>
        <v/>
      </c>
      <c r="J373" s="1" t="str">
        <f t="shared" si="15"/>
        <v/>
      </c>
      <c r="K373" s="1">
        <f t="shared" si="17"/>
        <v>0</v>
      </c>
    </row>
    <row r="374" spans="4:11" ht="15" customHeight="1">
      <c r="D374" s="6" t="s">
        <v>68</v>
      </c>
      <c r="E374" s="7"/>
      <c r="F374" s="7"/>
      <c r="G374" s="17" t="s">
        <v>180</v>
      </c>
      <c r="H374" s="17">
        <v>5</v>
      </c>
      <c r="I374" s="1">
        <f t="shared" si="16"/>
        <v>-3</v>
      </c>
      <c r="J374" s="1">
        <f t="shared" si="15"/>
        <v>-0.94367838417565508</v>
      </c>
      <c r="K374" s="1">
        <f t="shared" si="17"/>
        <v>4.2284585877064451</v>
      </c>
    </row>
    <row r="375" spans="4:11" ht="15.75" thickBot="1">
      <c r="D375" s="8"/>
      <c r="E375" s="9" t="s">
        <v>24</v>
      </c>
      <c r="F375" s="9" t="s">
        <v>2</v>
      </c>
      <c r="G375" s="17" t="s">
        <v>178</v>
      </c>
      <c r="H375" s="17"/>
      <c r="I375" s="1" t="str">
        <f t="shared" si="16"/>
        <v/>
      </c>
      <c r="J375" s="1" t="str">
        <f t="shared" si="15"/>
        <v/>
      </c>
      <c r="K375" s="1">
        <f t="shared" si="17"/>
        <v>0</v>
      </c>
    </row>
    <row r="376" spans="4:11" ht="15" customHeight="1">
      <c r="D376" s="6" t="s">
        <v>68</v>
      </c>
      <c r="E376" s="7"/>
      <c r="F376" s="7"/>
      <c r="G376" s="17" t="s">
        <v>181</v>
      </c>
      <c r="H376" s="17">
        <v>4</v>
      </c>
      <c r="I376" s="1">
        <f t="shared" si="16"/>
        <v>-3</v>
      </c>
      <c r="J376" s="1">
        <f t="shared" si="15"/>
        <v>1.0367981855523567E-2</v>
      </c>
      <c r="K376" s="1">
        <f t="shared" si="17"/>
        <v>9.0623153861808987</v>
      </c>
    </row>
    <row r="377" spans="4:11" ht="30.75" thickBot="1">
      <c r="D377" s="8"/>
      <c r="E377" s="9" t="s">
        <v>14</v>
      </c>
      <c r="F377" s="9" t="s">
        <v>1</v>
      </c>
      <c r="G377" s="17" t="s">
        <v>178</v>
      </c>
      <c r="H377" s="17"/>
      <c r="I377" s="1" t="str">
        <f t="shared" si="16"/>
        <v/>
      </c>
      <c r="J377" s="1" t="str">
        <f t="shared" si="15"/>
        <v/>
      </c>
      <c r="K377" s="1">
        <f t="shared" si="17"/>
        <v>0</v>
      </c>
    </row>
    <row r="378" spans="4:11" ht="15" customHeight="1">
      <c r="D378" s="6" t="s">
        <v>68</v>
      </c>
      <c r="E378" s="7"/>
      <c r="F378" s="7"/>
      <c r="G378" s="17" t="s">
        <v>179</v>
      </c>
      <c r="H378" s="17">
        <v>3</v>
      </c>
      <c r="I378" s="1">
        <f t="shared" si="16"/>
        <v>-3</v>
      </c>
      <c r="J378" s="1">
        <f t="shared" si="15"/>
        <v>0.26374844183411028</v>
      </c>
      <c r="K378" s="1">
        <f t="shared" si="17"/>
        <v>10.652053891574583</v>
      </c>
    </row>
    <row r="379" spans="4:11" ht="15.75" thickBot="1">
      <c r="D379" s="8"/>
      <c r="E379" s="9" t="s">
        <v>23</v>
      </c>
      <c r="F379" s="9" t="s">
        <v>18</v>
      </c>
      <c r="G379" s="17" t="s">
        <v>178</v>
      </c>
      <c r="H379" s="17"/>
      <c r="I379" s="1" t="str">
        <f t="shared" si="16"/>
        <v/>
      </c>
      <c r="J379" s="1" t="str">
        <f t="shared" si="15"/>
        <v/>
      </c>
      <c r="K379" s="1">
        <f t="shared" si="17"/>
        <v>0</v>
      </c>
    </row>
    <row r="380" spans="4:11" ht="15" customHeight="1">
      <c r="D380" s="6" t="s">
        <v>68</v>
      </c>
      <c r="E380" s="7"/>
      <c r="F380" s="7"/>
      <c r="G380" s="17" t="s">
        <v>180</v>
      </c>
      <c r="H380" s="17">
        <v>5</v>
      </c>
      <c r="I380" s="1">
        <f t="shared" si="16"/>
        <v>-3</v>
      </c>
      <c r="J380" s="1">
        <f t="shared" si="15"/>
        <v>-0.25420415649358574</v>
      </c>
      <c r="K380" s="1">
        <f t="shared" si="17"/>
        <v>7.5393948142171006</v>
      </c>
    </row>
    <row r="381" spans="4:11" ht="15.75" thickBot="1">
      <c r="D381" s="8"/>
      <c r="E381" s="9" t="s">
        <v>4</v>
      </c>
      <c r="F381" s="9" t="s">
        <v>37</v>
      </c>
      <c r="G381" s="17" t="s">
        <v>178</v>
      </c>
      <c r="H381" s="17"/>
      <c r="I381" s="1" t="str">
        <f t="shared" si="16"/>
        <v/>
      </c>
      <c r="J381" s="1" t="str">
        <f t="shared" si="15"/>
        <v/>
      </c>
      <c r="K381" s="1">
        <f t="shared" si="17"/>
        <v>0</v>
      </c>
    </row>
    <row r="382" spans="4:11" ht="15" customHeight="1">
      <c r="D382" s="6" t="s">
        <v>68</v>
      </c>
      <c r="E382" s="7"/>
      <c r="F382" s="7"/>
      <c r="G382" s="17" t="s">
        <v>182</v>
      </c>
      <c r="H382" s="17">
        <v>4</v>
      </c>
      <c r="I382" s="1">
        <f t="shared" si="16"/>
        <v>-1</v>
      </c>
      <c r="J382" s="1">
        <f t="shared" si="15"/>
        <v>-0.86467628995710299</v>
      </c>
      <c r="K382" s="1">
        <f t="shared" si="17"/>
        <v>1.8312506499774065E-2</v>
      </c>
    </row>
    <row r="383" spans="4:11" ht="15.75" thickBot="1">
      <c r="D383" s="8"/>
      <c r="E383" s="9" t="s">
        <v>36</v>
      </c>
      <c r="F383" s="9" t="s">
        <v>39</v>
      </c>
      <c r="G383" s="17" t="s">
        <v>178</v>
      </c>
      <c r="H383" s="17"/>
      <c r="I383" s="1" t="str">
        <f t="shared" si="16"/>
        <v/>
      </c>
      <c r="J383" s="1" t="str">
        <f t="shared" si="15"/>
        <v/>
      </c>
      <c r="K383" s="1">
        <f t="shared" si="17"/>
        <v>0</v>
      </c>
    </row>
    <row r="384" spans="4:11" ht="15" customHeight="1">
      <c r="D384" s="6" t="s">
        <v>68</v>
      </c>
      <c r="E384" s="7"/>
      <c r="F384" s="7"/>
      <c r="G384" s="17" t="s">
        <v>184</v>
      </c>
      <c r="H384" s="17">
        <v>3</v>
      </c>
      <c r="I384" s="1">
        <f t="shared" si="16"/>
        <v>1</v>
      </c>
      <c r="J384" s="1">
        <f t="shared" si="15"/>
        <v>7.376267062845443E-2</v>
      </c>
      <c r="K384" s="1">
        <f t="shared" si="17"/>
        <v>0.85791559032133302</v>
      </c>
    </row>
    <row r="385" spans="4:11" ht="15.75" thickBot="1">
      <c r="D385" s="8"/>
      <c r="E385" s="9" t="s">
        <v>11</v>
      </c>
      <c r="F385" s="9" t="s">
        <v>25</v>
      </c>
      <c r="G385" s="17" t="s">
        <v>178</v>
      </c>
      <c r="H385" s="17"/>
      <c r="I385" s="1" t="str">
        <f t="shared" si="16"/>
        <v/>
      </c>
      <c r="J385" s="1" t="str">
        <f t="shared" si="15"/>
        <v/>
      </c>
      <c r="K385" s="1">
        <f t="shared" si="17"/>
        <v>0</v>
      </c>
    </row>
    <row r="386" spans="4:11" ht="18" customHeight="1">
      <c r="D386" s="6" t="s">
        <v>68</v>
      </c>
      <c r="E386" s="7"/>
      <c r="F386" s="7"/>
      <c r="G386" s="17" t="s">
        <v>182</v>
      </c>
      <c r="H386" s="17">
        <v>2</v>
      </c>
      <c r="I386" s="1">
        <f t="shared" si="16"/>
        <v>1</v>
      </c>
      <c r="J386" s="1">
        <f t="shared" si="15"/>
        <v>0.4851360612040736</v>
      </c>
      <c r="K386" s="1">
        <f t="shared" si="17"/>
        <v>0.26508487547245546</v>
      </c>
    </row>
    <row r="387" spans="4:11" ht="15.75" thickBot="1">
      <c r="D387" s="8"/>
      <c r="E387" s="9" t="s">
        <v>19</v>
      </c>
      <c r="F387" s="9" t="s">
        <v>21</v>
      </c>
      <c r="G387" s="17" t="s">
        <v>178</v>
      </c>
      <c r="H387" s="17"/>
      <c r="I387" s="1" t="str">
        <f t="shared" si="16"/>
        <v/>
      </c>
      <c r="J387" s="1" t="str">
        <f t="shared" ref="J387:J450" si="18">IF(F388="","",VLOOKUP(F388,$A$2:$B$31,2)+$B$33-VLOOKUP(E388,$A$2:$B$31,2))</f>
        <v/>
      </c>
      <c r="K387" s="1">
        <f t="shared" si="17"/>
        <v>0</v>
      </c>
    </row>
    <row r="388" spans="4:11" ht="15" customHeight="1">
      <c r="D388" s="6" t="s">
        <v>68</v>
      </c>
      <c r="E388" s="7"/>
      <c r="F388" s="7"/>
      <c r="G388" s="17" t="s">
        <v>182</v>
      </c>
      <c r="H388" s="17">
        <v>4</v>
      </c>
      <c r="I388" s="1">
        <f t="shared" ref="I388:I451" si="19">IF(G388="","",G388-H388)</f>
        <v>-1</v>
      </c>
      <c r="J388" s="1">
        <f t="shared" si="18"/>
        <v>-0.51626065416058964</v>
      </c>
      <c r="K388" s="1">
        <f t="shared" ref="K388:K451" si="20">IF(J388="",0,(I388-J388)^2)</f>
        <v>0.23400375471314067</v>
      </c>
    </row>
    <row r="389" spans="4:11" ht="15.75" thickBot="1">
      <c r="D389" s="8"/>
      <c r="E389" s="9" t="s">
        <v>0</v>
      </c>
      <c r="F389" s="9" t="s">
        <v>22</v>
      </c>
      <c r="G389" s="17" t="s">
        <v>178</v>
      </c>
      <c r="H389" s="17"/>
      <c r="I389" s="1" t="str">
        <f t="shared" si="19"/>
        <v/>
      </c>
      <c r="J389" s="1" t="str">
        <f t="shared" si="18"/>
        <v/>
      </c>
      <c r="K389" s="1">
        <f t="shared" si="20"/>
        <v>0</v>
      </c>
    </row>
    <row r="390" spans="4:11" ht="15" customHeight="1">
      <c r="D390" s="6" t="s">
        <v>68</v>
      </c>
      <c r="E390" s="7"/>
      <c r="F390" s="7"/>
      <c r="G390" s="17" t="s">
        <v>180</v>
      </c>
      <c r="H390" s="17">
        <v>1</v>
      </c>
      <c r="I390" s="1">
        <f t="shared" si="19"/>
        <v>1</v>
      </c>
      <c r="J390" s="1">
        <f t="shared" si="18"/>
        <v>0.44034027434740608</v>
      </c>
      <c r="K390" s="1">
        <f t="shared" si="20"/>
        <v>0.3132190085175367</v>
      </c>
    </row>
    <row r="391" spans="4:11" ht="15.75" thickBot="1">
      <c r="D391" s="8"/>
      <c r="E391" s="9" t="s">
        <v>41</v>
      </c>
      <c r="F391" s="9" t="s">
        <v>34</v>
      </c>
      <c r="G391" s="17" t="s">
        <v>178</v>
      </c>
      <c r="H391" s="17"/>
      <c r="I391" s="1" t="str">
        <f t="shared" si="19"/>
        <v/>
      </c>
      <c r="J391" s="1" t="str">
        <f t="shared" si="18"/>
        <v/>
      </c>
      <c r="K391" s="1">
        <f t="shared" si="20"/>
        <v>0</v>
      </c>
    </row>
    <row r="392" spans="4:11" ht="15" customHeight="1">
      <c r="D392" s="6" t="s">
        <v>68</v>
      </c>
      <c r="E392" s="7"/>
      <c r="F392" s="7"/>
      <c r="G392" s="17" t="s">
        <v>182</v>
      </c>
      <c r="H392" s="17">
        <v>2</v>
      </c>
      <c r="I392" s="1">
        <f t="shared" si="19"/>
        <v>1</v>
      </c>
      <c r="J392" s="1">
        <f t="shared" si="18"/>
        <v>0.21140118979968747</v>
      </c>
      <c r="K392" s="1">
        <f t="shared" si="20"/>
        <v>0.62188808344934854</v>
      </c>
    </row>
    <row r="393" spans="4:11" ht="15.75" thickBot="1">
      <c r="D393" s="8"/>
      <c r="E393" s="9" t="s">
        <v>3</v>
      </c>
      <c r="F393" s="9" t="s">
        <v>33</v>
      </c>
      <c r="G393" s="17" t="s">
        <v>178</v>
      </c>
      <c r="H393" s="17"/>
      <c r="I393" s="1" t="str">
        <f t="shared" si="19"/>
        <v/>
      </c>
      <c r="J393" s="1" t="str">
        <f t="shared" si="18"/>
        <v/>
      </c>
      <c r="K393" s="1">
        <f t="shared" si="20"/>
        <v>0</v>
      </c>
    </row>
    <row r="394" spans="4:11" ht="15" customHeight="1">
      <c r="D394" s="6" t="s">
        <v>69</v>
      </c>
      <c r="E394" s="7"/>
      <c r="F394" s="7"/>
      <c r="G394" s="17" t="s">
        <v>182</v>
      </c>
      <c r="H394" s="17">
        <v>2</v>
      </c>
      <c r="I394" s="1">
        <f t="shared" si="19"/>
        <v>1</v>
      </c>
      <c r="J394" s="1">
        <f t="shared" si="18"/>
        <v>0.46633435012900293</v>
      </c>
      <c r="K394" s="1">
        <f t="shared" si="20"/>
        <v>0.28479902585223366</v>
      </c>
    </row>
    <row r="395" spans="4:11" ht="15.75" thickBot="1">
      <c r="D395" s="8"/>
      <c r="E395" s="9" t="s">
        <v>24</v>
      </c>
      <c r="F395" s="9" t="s">
        <v>8</v>
      </c>
      <c r="G395" s="17" t="s">
        <v>178</v>
      </c>
      <c r="H395" s="17"/>
      <c r="I395" s="1" t="str">
        <f t="shared" si="19"/>
        <v/>
      </c>
      <c r="J395" s="1" t="str">
        <f t="shared" si="18"/>
        <v/>
      </c>
      <c r="K395" s="1">
        <f t="shared" si="20"/>
        <v>0</v>
      </c>
    </row>
    <row r="396" spans="4:11" ht="15" customHeight="1">
      <c r="D396" s="6" t="s">
        <v>69</v>
      </c>
      <c r="E396" s="7"/>
      <c r="F396" s="7"/>
      <c r="G396" s="17" t="s">
        <v>180</v>
      </c>
      <c r="H396" s="17">
        <v>3</v>
      </c>
      <c r="I396" s="1">
        <f t="shared" si="19"/>
        <v>-1</v>
      </c>
      <c r="J396" s="1">
        <f t="shared" si="18"/>
        <v>7.4977837838929418E-2</v>
      </c>
      <c r="K396" s="1">
        <f t="shared" si="20"/>
        <v>1.1555773518448595</v>
      </c>
    </row>
    <row r="397" spans="4:11" ht="15.75" thickBot="1">
      <c r="D397" s="8"/>
      <c r="E397" s="9" t="s">
        <v>7</v>
      </c>
      <c r="F397" s="9" t="s">
        <v>28</v>
      </c>
      <c r="G397" s="17" t="s">
        <v>178</v>
      </c>
      <c r="H397" s="17"/>
      <c r="I397" s="1" t="str">
        <f t="shared" si="19"/>
        <v/>
      </c>
      <c r="J397" s="1" t="str">
        <f t="shared" si="18"/>
        <v/>
      </c>
      <c r="K397" s="1">
        <f t="shared" si="20"/>
        <v>0</v>
      </c>
    </row>
    <row r="398" spans="4:11" ht="15" customHeight="1">
      <c r="D398" s="6" t="s">
        <v>69</v>
      </c>
      <c r="E398" s="7"/>
      <c r="F398" s="7"/>
      <c r="G398" s="17" t="s">
        <v>180</v>
      </c>
      <c r="H398" s="17">
        <v>4</v>
      </c>
      <c r="I398" s="1">
        <f t="shared" si="19"/>
        <v>-2</v>
      </c>
      <c r="J398" s="1">
        <f t="shared" si="18"/>
        <v>-0.47719288361058432</v>
      </c>
      <c r="K398" s="1">
        <f t="shared" si="20"/>
        <v>2.3189415137262475</v>
      </c>
    </row>
    <row r="399" spans="4:11" ht="15.75" thickBot="1">
      <c r="D399" s="8"/>
      <c r="E399" s="9" t="s">
        <v>36</v>
      </c>
      <c r="F399" s="9" t="s">
        <v>13</v>
      </c>
      <c r="G399" s="17" t="s">
        <v>178</v>
      </c>
      <c r="H399" s="17"/>
      <c r="I399" s="1" t="str">
        <f t="shared" si="19"/>
        <v/>
      </c>
      <c r="J399" s="1" t="str">
        <f t="shared" si="18"/>
        <v/>
      </c>
      <c r="K399" s="1">
        <f t="shared" si="20"/>
        <v>0</v>
      </c>
    </row>
    <row r="400" spans="4:11" ht="15" customHeight="1">
      <c r="D400" s="6" t="s">
        <v>69</v>
      </c>
      <c r="E400" s="7"/>
      <c r="F400" s="7"/>
      <c r="G400" s="17" t="s">
        <v>182</v>
      </c>
      <c r="H400" s="17">
        <v>2</v>
      </c>
      <c r="I400" s="1">
        <f t="shared" si="19"/>
        <v>1</v>
      </c>
      <c r="J400" s="1">
        <f t="shared" si="18"/>
        <v>-0.10811253366662754</v>
      </c>
      <c r="K400" s="1">
        <f t="shared" si="20"/>
        <v>1.2279133872690728</v>
      </c>
    </row>
    <row r="401" spans="4:11" ht="15.75" thickBot="1">
      <c r="D401" s="8"/>
      <c r="E401" s="9" t="s">
        <v>12</v>
      </c>
      <c r="F401" s="9" t="s">
        <v>20</v>
      </c>
      <c r="G401" s="17" t="s">
        <v>178</v>
      </c>
      <c r="H401" s="17"/>
      <c r="I401" s="1" t="str">
        <f t="shared" si="19"/>
        <v/>
      </c>
      <c r="J401" s="1" t="str">
        <f t="shared" si="18"/>
        <v/>
      </c>
      <c r="K401" s="1">
        <f t="shared" si="20"/>
        <v>0</v>
      </c>
    </row>
    <row r="402" spans="4:11" ht="18" customHeight="1">
      <c r="D402" s="6" t="s">
        <v>69</v>
      </c>
      <c r="E402" s="7"/>
      <c r="F402" s="7"/>
      <c r="G402" s="17" t="s">
        <v>182</v>
      </c>
      <c r="H402" s="17">
        <v>2</v>
      </c>
      <c r="I402" s="1">
        <f t="shared" si="19"/>
        <v>1</v>
      </c>
      <c r="J402" s="1">
        <f t="shared" si="18"/>
        <v>0</v>
      </c>
      <c r="K402" s="1">
        <f t="shared" si="20"/>
        <v>1</v>
      </c>
    </row>
    <row r="403" spans="4:11" ht="15.75" thickBot="1">
      <c r="D403" s="8"/>
      <c r="E403" s="9" t="s">
        <v>26</v>
      </c>
      <c r="F403" s="9" t="s">
        <v>10</v>
      </c>
      <c r="G403" s="17" t="s">
        <v>178</v>
      </c>
      <c r="H403" s="17"/>
      <c r="I403" s="1" t="str">
        <f t="shared" si="19"/>
        <v/>
      </c>
      <c r="J403" s="1" t="str">
        <f t="shared" si="18"/>
        <v/>
      </c>
      <c r="K403" s="1">
        <f t="shared" si="20"/>
        <v>0</v>
      </c>
    </row>
    <row r="404" spans="4:11" ht="18" customHeight="1">
      <c r="D404" s="6" t="s">
        <v>70</v>
      </c>
      <c r="E404" s="7"/>
      <c r="F404" s="7"/>
      <c r="G404" s="17" t="s">
        <v>183</v>
      </c>
      <c r="H404" s="17">
        <v>4</v>
      </c>
      <c r="I404" s="1">
        <f t="shared" si="19"/>
        <v>2</v>
      </c>
      <c r="J404" s="1">
        <f t="shared" si="18"/>
        <v>0.54844620032972102</v>
      </c>
      <c r="K404" s="1">
        <f t="shared" si="20"/>
        <v>2.1070084333372243</v>
      </c>
    </row>
    <row r="405" spans="4:11" ht="15.75" thickBot="1">
      <c r="D405" s="8"/>
      <c r="E405" s="9" t="s">
        <v>4</v>
      </c>
      <c r="F405" s="9" t="s">
        <v>14</v>
      </c>
      <c r="G405" s="17" t="s">
        <v>178</v>
      </c>
      <c r="H405" s="17"/>
      <c r="I405" s="1" t="str">
        <f t="shared" si="19"/>
        <v/>
      </c>
      <c r="J405" s="1" t="str">
        <f t="shared" si="18"/>
        <v/>
      </c>
      <c r="K405" s="1">
        <f t="shared" si="20"/>
        <v>0</v>
      </c>
    </row>
    <row r="406" spans="4:11" ht="15" customHeight="1">
      <c r="D406" s="6" t="s">
        <v>70</v>
      </c>
      <c r="E406" s="7"/>
      <c r="F406" s="7"/>
      <c r="G406" s="17" t="s">
        <v>183</v>
      </c>
      <c r="H406" s="17">
        <v>1</v>
      </c>
      <c r="I406" s="1">
        <f t="shared" si="19"/>
        <v>5</v>
      </c>
      <c r="J406" s="1">
        <f t="shared" si="18"/>
        <v>1.624885257726234</v>
      </c>
      <c r="K406" s="1">
        <f t="shared" si="20"/>
        <v>11.39139952351371</v>
      </c>
    </row>
    <row r="407" spans="4:11" ht="15.75" thickBot="1">
      <c r="D407" s="8"/>
      <c r="E407" s="9" t="s">
        <v>11</v>
      </c>
      <c r="F407" s="9" t="s">
        <v>8</v>
      </c>
      <c r="G407" s="17" t="s">
        <v>178</v>
      </c>
      <c r="H407" s="17"/>
      <c r="I407" s="1" t="str">
        <f t="shared" si="19"/>
        <v/>
      </c>
      <c r="J407" s="1" t="str">
        <f t="shared" si="18"/>
        <v/>
      </c>
      <c r="K407" s="1">
        <f t="shared" si="20"/>
        <v>0</v>
      </c>
    </row>
    <row r="408" spans="4:11" ht="15" customHeight="1">
      <c r="D408" s="6" t="s">
        <v>70</v>
      </c>
      <c r="E408" s="7"/>
      <c r="F408" s="7"/>
      <c r="G408" s="17" t="s">
        <v>184</v>
      </c>
      <c r="H408" s="17">
        <v>5</v>
      </c>
      <c r="I408" s="1">
        <f t="shared" si="19"/>
        <v>-1</v>
      </c>
      <c r="J408" s="1">
        <f t="shared" si="18"/>
        <v>1.0905407614010301</v>
      </c>
      <c r="K408" s="1">
        <f t="shared" si="20"/>
        <v>4.3703606750791986</v>
      </c>
    </row>
    <row r="409" spans="4:11" ht="15.75" thickBot="1">
      <c r="D409" s="8"/>
      <c r="E409" s="9" t="s">
        <v>38</v>
      </c>
      <c r="F409" s="9" t="s">
        <v>0</v>
      </c>
      <c r="G409" s="17" t="s">
        <v>178</v>
      </c>
      <c r="H409" s="17"/>
      <c r="I409" s="1" t="str">
        <f t="shared" si="19"/>
        <v/>
      </c>
      <c r="J409" s="1" t="str">
        <f t="shared" si="18"/>
        <v/>
      </c>
      <c r="K409" s="1">
        <f t="shared" si="20"/>
        <v>0</v>
      </c>
    </row>
    <row r="410" spans="4:11" ht="15" customHeight="1">
      <c r="D410" s="6" t="s">
        <v>70</v>
      </c>
      <c r="E410" s="7"/>
      <c r="F410" s="7"/>
      <c r="G410" s="17" t="s">
        <v>181</v>
      </c>
      <c r="H410" s="17">
        <v>4</v>
      </c>
      <c r="I410" s="1">
        <f t="shared" si="19"/>
        <v>-3</v>
      </c>
      <c r="J410" s="1">
        <f t="shared" si="18"/>
        <v>7.6279442839222611E-2</v>
      </c>
      <c r="K410" s="1">
        <f t="shared" si="20"/>
        <v>9.4634952104351981</v>
      </c>
    </row>
    <row r="411" spans="4:11" ht="15.75" thickBot="1">
      <c r="D411" s="8"/>
      <c r="E411" s="9" t="s">
        <v>23</v>
      </c>
      <c r="F411" s="9" t="s">
        <v>443</v>
      </c>
      <c r="G411" s="17" t="s">
        <v>178</v>
      </c>
      <c r="H411" s="17"/>
      <c r="I411" s="1" t="str">
        <f t="shared" si="19"/>
        <v/>
      </c>
      <c r="J411" s="1" t="str">
        <f t="shared" si="18"/>
        <v/>
      </c>
      <c r="K411" s="1">
        <f t="shared" si="20"/>
        <v>0</v>
      </c>
    </row>
    <row r="412" spans="4:11" ht="18" customHeight="1">
      <c r="D412" s="6" t="s">
        <v>70</v>
      </c>
      <c r="E412" s="7"/>
      <c r="F412" s="7"/>
      <c r="G412" s="17" t="s">
        <v>180</v>
      </c>
      <c r="H412" s="17">
        <v>1</v>
      </c>
      <c r="I412" s="1">
        <f t="shared" si="19"/>
        <v>1</v>
      </c>
      <c r="J412" s="1">
        <f t="shared" si="18"/>
        <v>4.5165266331878229E-2</v>
      </c>
      <c r="K412" s="1">
        <f t="shared" si="20"/>
        <v>0.91170936861907304</v>
      </c>
    </row>
    <row r="413" spans="4:11" ht="15.75" thickBot="1">
      <c r="D413" s="8"/>
      <c r="E413" s="9" t="s">
        <v>25</v>
      </c>
      <c r="F413" s="9" t="s">
        <v>18</v>
      </c>
      <c r="G413" s="17" t="s">
        <v>178</v>
      </c>
      <c r="H413" s="17"/>
      <c r="I413" s="1" t="str">
        <f t="shared" si="19"/>
        <v/>
      </c>
      <c r="J413" s="1" t="str">
        <f t="shared" si="18"/>
        <v/>
      </c>
      <c r="K413" s="1">
        <f t="shared" si="20"/>
        <v>0</v>
      </c>
    </row>
    <row r="414" spans="4:11" ht="15" customHeight="1">
      <c r="D414" s="6" t="s">
        <v>70</v>
      </c>
      <c r="E414" s="7"/>
      <c r="F414" s="7"/>
      <c r="G414" s="17" t="s">
        <v>182</v>
      </c>
      <c r="H414" s="17">
        <v>4</v>
      </c>
      <c r="I414" s="1">
        <f t="shared" si="19"/>
        <v>-1</v>
      </c>
      <c r="J414" s="1">
        <f t="shared" si="18"/>
        <v>0.23764174612047384</v>
      </c>
      <c r="K414" s="1">
        <f t="shared" si="20"/>
        <v>1.5317570917401355</v>
      </c>
    </row>
    <row r="415" spans="4:11" ht="30.75" thickBot="1">
      <c r="D415" s="8"/>
      <c r="E415" s="9" t="s">
        <v>22</v>
      </c>
      <c r="F415" s="9" t="s">
        <v>1</v>
      </c>
      <c r="G415" s="17" t="s">
        <v>178</v>
      </c>
      <c r="H415" s="17"/>
      <c r="I415" s="1" t="str">
        <f t="shared" si="19"/>
        <v/>
      </c>
      <c r="J415" s="1" t="str">
        <f t="shared" si="18"/>
        <v/>
      </c>
      <c r="K415" s="1">
        <f t="shared" si="20"/>
        <v>0</v>
      </c>
    </row>
    <row r="416" spans="4:11" ht="15" customHeight="1">
      <c r="D416" s="6" t="s">
        <v>70</v>
      </c>
      <c r="E416" s="7"/>
      <c r="F416" s="7"/>
      <c r="G416" s="17" t="s">
        <v>186</v>
      </c>
      <c r="H416" s="17">
        <v>4</v>
      </c>
      <c r="I416" s="1">
        <f t="shared" si="19"/>
        <v>3</v>
      </c>
      <c r="J416" s="1">
        <f t="shared" si="18"/>
        <v>0.83371146194974699</v>
      </c>
      <c r="K416" s="1">
        <f t="shared" si="20"/>
        <v>4.6928060300879029</v>
      </c>
    </row>
    <row r="417" spans="4:11" ht="15.75" thickBot="1">
      <c r="D417" s="8"/>
      <c r="E417" s="9" t="s">
        <v>37</v>
      </c>
      <c r="F417" s="9" t="s">
        <v>7</v>
      </c>
      <c r="G417" s="17" t="s">
        <v>178</v>
      </c>
      <c r="H417" s="17"/>
      <c r="I417" s="1" t="str">
        <f t="shared" si="19"/>
        <v/>
      </c>
      <c r="J417" s="1" t="str">
        <f t="shared" si="18"/>
        <v/>
      </c>
      <c r="K417" s="1">
        <f t="shared" si="20"/>
        <v>0</v>
      </c>
    </row>
    <row r="418" spans="4:11" ht="15" customHeight="1">
      <c r="D418" s="6" t="s">
        <v>70</v>
      </c>
      <c r="E418" s="7"/>
      <c r="F418" s="7"/>
      <c r="G418" s="17" t="s">
        <v>182</v>
      </c>
      <c r="H418" s="17">
        <v>4</v>
      </c>
      <c r="I418" s="1">
        <f t="shared" si="19"/>
        <v>-1</v>
      </c>
      <c r="J418" s="1">
        <f t="shared" si="18"/>
        <v>-0.80645457212938254</v>
      </c>
      <c r="K418" s="1">
        <f t="shared" si="20"/>
        <v>3.7459832649620384E-2</v>
      </c>
    </row>
    <row r="419" spans="4:11" ht="30.75" thickBot="1">
      <c r="D419" s="8"/>
      <c r="E419" s="9" t="s">
        <v>28</v>
      </c>
      <c r="F419" s="9" t="s">
        <v>12</v>
      </c>
      <c r="G419" s="17" t="s">
        <v>178</v>
      </c>
      <c r="H419" s="17"/>
      <c r="I419" s="1" t="str">
        <f t="shared" si="19"/>
        <v/>
      </c>
      <c r="J419" s="1" t="str">
        <f t="shared" si="18"/>
        <v/>
      </c>
      <c r="K419" s="1">
        <f t="shared" si="20"/>
        <v>0</v>
      </c>
    </row>
    <row r="420" spans="4:11" ht="18" customHeight="1">
      <c r="D420" s="6" t="s">
        <v>70</v>
      </c>
      <c r="E420" s="7"/>
      <c r="F420" s="7"/>
      <c r="G420" s="17" t="s">
        <v>180</v>
      </c>
      <c r="H420" s="17">
        <v>1</v>
      </c>
      <c r="I420" s="1">
        <f t="shared" si="19"/>
        <v>1</v>
      </c>
      <c r="J420" s="1">
        <f t="shared" si="18"/>
        <v>-0.10112937968297331</v>
      </c>
      <c r="K420" s="1">
        <f t="shared" si="20"/>
        <v>1.2124859108010095</v>
      </c>
    </row>
    <row r="421" spans="4:11" ht="15.75" thickBot="1">
      <c r="D421" s="8"/>
      <c r="E421" s="9" t="s">
        <v>19</v>
      </c>
      <c r="F421" s="9" t="s">
        <v>39</v>
      </c>
      <c r="G421" s="17" t="s">
        <v>178</v>
      </c>
      <c r="H421" s="17"/>
      <c r="I421" s="1" t="str">
        <f t="shared" si="19"/>
        <v/>
      </c>
      <c r="J421" s="1" t="str">
        <f t="shared" si="18"/>
        <v/>
      </c>
      <c r="K421" s="1">
        <f t="shared" si="20"/>
        <v>0</v>
      </c>
    </row>
    <row r="422" spans="4:11" ht="18" customHeight="1">
      <c r="D422" s="6" t="s">
        <v>70</v>
      </c>
      <c r="E422" s="7"/>
      <c r="F422" s="7"/>
      <c r="G422" s="17" t="s">
        <v>185</v>
      </c>
      <c r="H422" s="17">
        <v>3</v>
      </c>
      <c r="I422" s="1">
        <f t="shared" si="19"/>
        <v>2</v>
      </c>
      <c r="J422" s="1">
        <f t="shared" si="18"/>
        <v>3.7419867009887753E-2</v>
      </c>
      <c r="K422" s="1">
        <f t="shared" si="20"/>
        <v>3.8517207784074867</v>
      </c>
    </row>
    <row r="423" spans="4:11" ht="15.75" thickBot="1">
      <c r="D423" s="8"/>
      <c r="E423" s="9" t="s">
        <v>33</v>
      </c>
      <c r="F423" s="9" t="s">
        <v>21</v>
      </c>
      <c r="G423" s="17" t="s">
        <v>178</v>
      </c>
      <c r="H423" s="17"/>
      <c r="I423" s="1" t="str">
        <f t="shared" si="19"/>
        <v/>
      </c>
      <c r="J423" s="1" t="str">
        <f t="shared" si="18"/>
        <v/>
      </c>
      <c r="K423" s="1">
        <f t="shared" si="20"/>
        <v>0</v>
      </c>
    </row>
    <row r="424" spans="4:11" ht="15" customHeight="1">
      <c r="D424" s="6" t="s">
        <v>70</v>
      </c>
      <c r="E424" s="7"/>
      <c r="F424" s="7"/>
      <c r="G424" s="17" t="s">
        <v>181</v>
      </c>
      <c r="H424" s="17">
        <v>0</v>
      </c>
      <c r="I424" s="1">
        <f t="shared" si="19"/>
        <v>1</v>
      </c>
      <c r="J424" s="1">
        <f t="shared" si="18"/>
        <v>1.0629365846646408</v>
      </c>
      <c r="K424" s="1">
        <f t="shared" si="20"/>
        <v>3.9610136892494997E-3</v>
      </c>
    </row>
    <row r="425" spans="4:11" ht="15.75" thickBot="1">
      <c r="D425" s="8"/>
      <c r="E425" s="9" t="s">
        <v>41</v>
      </c>
      <c r="F425" s="9" t="s">
        <v>26</v>
      </c>
      <c r="G425" s="17" t="s">
        <v>178</v>
      </c>
      <c r="H425" s="17"/>
      <c r="I425" s="1" t="str">
        <f t="shared" si="19"/>
        <v/>
      </c>
      <c r="J425" s="1" t="str">
        <f t="shared" si="18"/>
        <v/>
      </c>
      <c r="K425" s="1">
        <f t="shared" si="20"/>
        <v>0</v>
      </c>
    </row>
    <row r="426" spans="4:11" ht="15" customHeight="1">
      <c r="D426" s="6" t="s">
        <v>70</v>
      </c>
      <c r="E426" s="7"/>
      <c r="F426" s="7"/>
      <c r="G426" s="17" t="s">
        <v>181</v>
      </c>
      <c r="H426" s="17">
        <v>5</v>
      </c>
      <c r="I426" s="1">
        <f t="shared" si="19"/>
        <v>-4</v>
      </c>
      <c r="J426" s="1">
        <f t="shared" si="18"/>
        <v>7.5699655236775243E-2</v>
      </c>
      <c r="K426" s="1">
        <f t="shared" si="20"/>
        <v>16.611327679697169</v>
      </c>
    </row>
    <row r="427" spans="4:11" ht="15.75" thickBot="1">
      <c r="D427" s="8"/>
      <c r="E427" s="9" t="s">
        <v>3</v>
      </c>
      <c r="F427" s="9" t="s">
        <v>34</v>
      </c>
      <c r="G427" s="17" t="s">
        <v>178</v>
      </c>
      <c r="H427" s="17"/>
      <c r="I427" s="1" t="str">
        <f t="shared" si="19"/>
        <v/>
      </c>
      <c r="J427" s="1" t="str">
        <f t="shared" si="18"/>
        <v/>
      </c>
      <c r="K427" s="1">
        <f t="shared" si="20"/>
        <v>0</v>
      </c>
    </row>
    <row r="428" spans="4:11" ht="18" customHeight="1">
      <c r="D428" s="6" t="s">
        <v>71</v>
      </c>
      <c r="E428" s="7"/>
      <c r="F428" s="7"/>
      <c r="G428" s="17" t="s">
        <v>185</v>
      </c>
      <c r="H428" s="17">
        <v>3</v>
      </c>
      <c r="I428" s="1">
        <f t="shared" si="19"/>
        <v>2</v>
      </c>
      <c r="J428" s="1">
        <f t="shared" si="18"/>
        <v>-0.70782460310684314</v>
      </c>
      <c r="K428" s="1">
        <f t="shared" si="20"/>
        <v>7.3323140811907326</v>
      </c>
    </row>
    <row r="429" spans="4:11" ht="15.75" thickBot="1">
      <c r="D429" s="8"/>
      <c r="E429" s="9" t="s">
        <v>0</v>
      </c>
      <c r="F429" s="9" t="s">
        <v>18</v>
      </c>
      <c r="G429" s="17" t="s">
        <v>178</v>
      </c>
      <c r="H429" s="17"/>
      <c r="I429" s="1" t="str">
        <f t="shared" si="19"/>
        <v/>
      </c>
      <c r="J429" s="1" t="str">
        <f t="shared" si="18"/>
        <v/>
      </c>
      <c r="K429" s="1">
        <f t="shared" si="20"/>
        <v>0</v>
      </c>
    </row>
    <row r="430" spans="4:11" ht="15" customHeight="1">
      <c r="D430" s="6" t="s">
        <v>71</v>
      </c>
      <c r="E430" s="7"/>
      <c r="F430" s="7"/>
      <c r="G430" s="17" t="s">
        <v>184</v>
      </c>
      <c r="H430" s="17">
        <v>3</v>
      </c>
      <c r="I430" s="1">
        <f t="shared" si="19"/>
        <v>1</v>
      </c>
      <c r="J430" s="1">
        <f t="shared" si="18"/>
        <v>0.4157761266975939</v>
      </c>
      <c r="K430" s="1">
        <f t="shared" si="20"/>
        <v>0.34131753413646587</v>
      </c>
    </row>
    <row r="431" spans="4:11" ht="15.75" thickBot="1">
      <c r="D431" s="8"/>
      <c r="E431" s="9" t="s">
        <v>37</v>
      </c>
      <c r="F431" s="9" t="s">
        <v>13</v>
      </c>
      <c r="G431" s="17" t="s">
        <v>178</v>
      </c>
      <c r="H431" s="17"/>
      <c r="I431" s="1" t="str">
        <f t="shared" si="19"/>
        <v/>
      </c>
      <c r="J431" s="1" t="str">
        <f t="shared" si="18"/>
        <v/>
      </c>
      <c r="K431" s="1">
        <f t="shared" si="20"/>
        <v>0</v>
      </c>
    </row>
    <row r="432" spans="4:11" ht="15" customHeight="1">
      <c r="D432" s="6" t="s">
        <v>71</v>
      </c>
      <c r="E432" s="7"/>
      <c r="F432" s="7"/>
      <c r="G432" s="17" t="s">
        <v>182</v>
      </c>
      <c r="H432" s="17">
        <v>1</v>
      </c>
      <c r="I432" s="1">
        <f t="shared" si="19"/>
        <v>2</v>
      </c>
      <c r="J432" s="1">
        <f t="shared" si="18"/>
        <v>-1.4223391289310854</v>
      </c>
      <c r="K432" s="1">
        <f t="shared" si="20"/>
        <v>11.71240511341278</v>
      </c>
    </row>
    <row r="433" spans="4:11" ht="15.75" thickBot="1">
      <c r="D433" s="8"/>
      <c r="E433" s="9" t="s">
        <v>24</v>
      </c>
      <c r="F433" s="9" t="s">
        <v>38</v>
      </c>
      <c r="G433" s="17" t="s">
        <v>178</v>
      </c>
      <c r="H433" s="17"/>
      <c r="I433" s="1" t="str">
        <f t="shared" si="19"/>
        <v/>
      </c>
      <c r="J433" s="1" t="str">
        <f t="shared" si="18"/>
        <v/>
      </c>
      <c r="K433" s="1">
        <f t="shared" si="20"/>
        <v>0</v>
      </c>
    </row>
    <row r="434" spans="4:11" ht="15" customHeight="1">
      <c r="D434" s="6" t="s">
        <v>71</v>
      </c>
      <c r="E434" s="7"/>
      <c r="F434" s="7"/>
      <c r="G434" s="17" t="s">
        <v>180</v>
      </c>
      <c r="H434" s="17">
        <v>5</v>
      </c>
      <c r="I434" s="1">
        <f t="shared" si="19"/>
        <v>-3</v>
      </c>
      <c r="J434" s="1">
        <f t="shared" si="18"/>
        <v>-0.58301610023556805</v>
      </c>
      <c r="K434" s="1">
        <f t="shared" si="20"/>
        <v>5.8418111717204813</v>
      </c>
    </row>
    <row r="435" spans="4:11" ht="15.75" thickBot="1">
      <c r="D435" s="8"/>
      <c r="E435" s="9" t="s">
        <v>33</v>
      </c>
      <c r="F435" s="9" t="s">
        <v>20</v>
      </c>
      <c r="G435" s="17" t="s">
        <v>178</v>
      </c>
      <c r="H435" s="17"/>
      <c r="I435" s="1" t="str">
        <f t="shared" si="19"/>
        <v/>
      </c>
      <c r="J435" s="1" t="str">
        <f t="shared" si="18"/>
        <v/>
      </c>
      <c r="K435" s="1">
        <f t="shared" si="20"/>
        <v>0</v>
      </c>
    </row>
    <row r="436" spans="4:11" ht="15" customHeight="1">
      <c r="D436" s="6" t="s">
        <v>71</v>
      </c>
      <c r="E436" s="7"/>
      <c r="F436" s="7"/>
      <c r="G436" s="17" t="s">
        <v>180</v>
      </c>
      <c r="H436" s="17">
        <v>1</v>
      </c>
      <c r="I436" s="1">
        <f t="shared" si="19"/>
        <v>1</v>
      </c>
      <c r="J436" s="1">
        <f t="shared" si="18"/>
        <v>0.69829596555400997</v>
      </c>
      <c r="K436" s="1">
        <f t="shared" si="20"/>
        <v>9.1025324400987137E-2</v>
      </c>
    </row>
    <row r="437" spans="4:11" ht="15.75" thickBot="1">
      <c r="D437" s="8"/>
      <c r="E437" s="9" t="s">
        <v>3</v>
      </c>
      <c r="F437" s="9" t="s">
        <v>10</v>
      </c>
      <c r="G437" s="17" t="s">
        <v>178</v>
      </c>
      <c r="H437" s="17"/>
      <c r="I437" s="1" t="str">
        <f t="shared" si="19"/>
        <v/>
      </c>
      <c r="J437" s="1" t="str">
        <f t="shared" si="18"/>
        <v/>
      </c>
      <c r="K437" s="1">
        <f t="shared" si="20"/>
        <v>0</v>
      </c>
    </row>
    <row r="438" spans="4:11" ht="15" customHeight="1">
      <c r="D438" s="6" t="s">
        <v>72</v>
      </c>
      <c r="E438" s="7"/>
      <c r="F438" s="7"/>
      <c r="G438" s="17" t="s">
        <v>180</v>
      </c>
      <c r="H438" s="17">
        <v>4</v>
      </c>
      <c r="I438" s="1">
        <f t="shared" si="19"/>
        <v>-2</v>
      </c>
      <c r="J438" s="1">
        <f t="shared" si="18"/>
        <v>-0.41321178023483185</v>
      </c>
      <c r="K438" s="1">
        <f t="shared" si="20"/>
        <v>2.5178968543855116</v>
      </c>
    </row>
    <row r="439" spans="4:11" ht="15.75" thickBot="1">
      <c r="D439" s="8"/>
      <c r="E439" s="9" t="s">
        <v>36</v>
      </c>
      <c r="F439" s="9" t="s">
        <v>2</v>
      </c>
      <c r="G439" s="17" t="s">
        <v>178</v>
      </c>
      <c r="H439" s="17"/>
      <c r="I439" s="1" t="str">
        <f t="shared" si="19"/>
        <v/>
      </c>
      <c r="J439" s="1" t="str">
        <f t="shared" si="18"/>
        <v/>
      </c>
      <c r="K439" s="1">
        <f t="shared" si="20"/>
        <v>0</v>
      </c>
    </row>
    <row r="440" spans="4:11" ht="15" customHeight="1">
      <c r="D440" s="6" t="s">
        <v>72</v>
      </c>
      <c r="E440" s="7"/>
      <c r="F440" s="7"/>
      <c r="G440" s="17" t="s">
        <v>181</v>
      </c>
      <c r="H440" s="17">
        <v>4</v>
      </c>
      <c r="I440" s="1">
        <f t="shared" si="19"/>
        <v>-3</v>
      </c>
      <c r="J440" s="1">
        <f t="shared" si="18"/>
        <v>0.65448514329509067</v>
      </c>
      <c r="K440" s="1">
        <f t="shared" si="20"/>
        <v>13.355261662564539</v>
      </c>
    </row>
    <row r="441" spans="4:11" ht="15.75" thickBot="1">
      <c r="D441" s="8"/>
      <c r="E441" s="9" t="s">
        <v>4</v>
      </c>
      <c r="F441" s="9" t="s">
        <v>28</v>
      </c>
      <c r="G441" s="17" t="s">
        <v>178</v>
      </c>
      <c r="H441" s="17"/>
      <c r="I441" s="1" t="str">
        <f t="shared" si="19"/>
        <v/>
      </c>
      <c r="J441" s="1" t="str">
        <f t="shared" si="18"/>
        <v/>
      </c>
      <c r="K441" s="1">
        <f t="shared" si="20"/>
        <v>0</v>
      </c>
    </row>
    <row r="442" spans="4:11" ht="15" customHeight="1">
      <c r="D442" s="6" t="s">
        <v>73</v>
      </c>
      <c r="E442" s="7"/>
      <c r="F442" s="7"/>
      <c r="G442" s="17" t="s">
        <v>181</v>
      </c>
      <c r="H442" s="17">
        <v>3</v>
      </c>
      <c r="I442" s="1">
        <f t="shared" si="19"/>
        <v>-2</v>
      </c>
      <c r="J442" s="1">
        <f t="shared" si="18"/>
        <v>0.77290480853018551</v>
      </c>
      <c r="K442" s="1">
        <f t="shared" si="20"/>
        <v>7.6890010771698245</v>
      </c>
    </row>
    <row r="443" spans="4:11" ht="15.75" thickBot="1">
      <c r="D443" s="8"/>
      <c r="E443" s="9" t="s">
        <v>23</v>
      </c>
      <c r="F443" s="9" t="s">
        <v>36</v>
      </c>
      <c r="G443" s="17" t="s">
        <v>178</v>
      </c>
      <c r="H443" s="17"/>
      <c r="I443" s="1" t="str">
        <f t="shared" si="19"/>
        <v/>
      </c>
      <c r="J443" s="1" t="str">
        <f t="shared" si="18"/>
        <v/>
      </c>
      <c r="K443" s="1">
        <f t="shared" si="20"/>
        <v>0</v>
      </c>
    </row>
    <row r="444" spans="4:11" ht="15" customHeight="1">
      <c r="D444" s="6" t="s">
        <v>73</v>
      </c>
      <c r="E444" s="7"/>
      <c r="F444" s="7"/>
      <c r="G444" s="17" t="s">
        <v>179</v>
      </c>
      <c r="H444" s="17">
        <v>6</v>
      </c>
      <c r="I444" s="1">
        <f t="shared" si="19"/>
        <v>-6</v>
      </c>
      <c r="J444" s="1">
        <f t="shared" si="18"/>
        <v>-0.57428010724044043</v>
      </c>
      <c r="K444" s="1">
        <f t="shared" si="20"/>
        <v>29.438436354686807</v>
      </c>
    </row>
    <row r="445" spans="4:11" ht="15.75" thickBot="1">
      <c r="D445" s="8"/>
      <c r="E445" s="9" t="s">
        <v>22</v>
      </c>
      <c r="F445" s="9" t="s">
        <v>41</v>
      </c>
      <c r="G445" s="17" t="s">
        <v>178</v>
      </c>
      <c r="H445" s="17"/>
      <c r="I445" s="1" t="str">
        <f t="shared" si="19"/>
        <v/>
      </c>
      <c r="J445" s="1" t="str">
        <f t="shared" si="18"/>
        <v/>
      </c>
      <c r="K445" s="1">
        <f t="shared" si="20"/>
        <v>0</v>
      </c>
    </row>
    <row r="446" spans="4:11" ht="15" customHeight="1">
      <c r="D446" s="6" t="s">
        <v>73</v>
      </c>
      <c r="E446" s="7"/>
      <c r="F446" s="7"/>
      <c r="G446" s="17" t="s">
        <v>179</v>
      </c>
      <c r="H446" s="17">
        <v>5</v>
      </c>
      <c r="I446" s="1">
        <f t="shared" si="19"/>
        <v>-5</v>
      </c>
      <c r="J446" s="1">
        <f t="shared" si="18"/>
        <v>-0.26378822133385427</v>
      </c>
      <c r="K446" s="1">
        <f t="shared" si="20"/>
        <v>22.431702012375936</v>
      </c>
    </row>
    <row r="447" spans="4:11" ht="15.75" thickBot="1">
      <c r="D447" s="8"/>
      <c r="E447" s="9" t="s">
        <v>11</v>
      </c>
      <c r="F447" s="9" t="s">
        <v>38</v>
      </c>
      <c r="G447" s="17" t="s">
        <v>178</v>
      </c>
      <c r="H447" s="17"/>
      <c r="I447" s="1" t="str">
        <f t="shared" si="19"/>
        <v/>
      </c>
      <c r="J447" s="1" t="str">
        <f t="shared" si="18"/>
        <v/>
      </c>
      <c r="K447" s="1">
        <f t="shared" si="20"/>
        <v>0</v>
      </c>
    </row>
    <row r="448" spans="4:11" ht="15" customHeight="1">
      <c r="D448" s="6" t="s">
        <v>73</v>
      </c>
      <c r="E448" s="7"/>
      <c r="F448" s="7"/>
      <c r="G448" s="17" t="s">
        <v>180</v>
      </c>
      <c r="H448" s="17">
        <v>4</v>
      </c>
      <c r="I448" s="1">
        <f t="shared" si="19"/>
        <v>-2</v>
      </c>
      <c r="J448" s="1">
        <f t="shared" si="18"/>
        <v>-0.73147673429045312</v>
      </c>
      <c r="K448" s="1">
        <f t="shared" si="20"/>
        <v>1.6091512756464137</v>
      </c>
    </row>
    <row r="449" spans="4:11" ht="30.75" thickBot="1">
      <c r="D449" s="8"/>
      <c r="E449" s="9" t="s">
        <v>7</v>
      </c>
      <c r="F449" s="9" t="s">
        <v>12</v>
      </c>
      <c r="G449" s="17" t="s">
        <v>178</v>
      </c>
      <c r="H449" s="17"/>
      <c r="I449" s="1" t="str">
        <f t="shared" si="19"/>
        <v/>
      </c>
      <c r="J449" s="1" t="str">
        <f t="shared" si="18"/>
        <v/>
      </c>
      <c r="K449" s="1">
        <f t="shared" si="20"/>
        <v>0</v>
      </c>
    </row>
    <row r="450" spans="4:11" ht="15" customHeight="1">
      <c r="D450" s="6" t="s">
        <v>73</v>
      </c>
      <c r="E450" s="7"/>
      <c r="F450" s="7"/>
      <c r="G450" s="17" t="s">
        <v>179</v>
      </c>
      <c r="H450" s="17">
        <v>3</v>
      </c>
      <c r="I450" s="1">
        <f t="shared" si="19"/>
        <v>-3</v>
      </c>
      <c r="J450" s="1">
        <f t="shared" si="18"/>
        <v>-0.14230373266300944</v>
      </c>
      <c r="K450" s="1">
        <f t="shared" si="20"/>
        <v>8.1664279563517681</v>
      </c>
    </row>
    <row r="451" spans="4:11" ht="15.75" thickBot="1">
      <c r="D451" s="8"/>
      <c r="E451" s="9" t="s">
        <v>25</v>
      </c>
      <c r="F451" s="9" t="s">
        <v>443</v>
      </c>
      <c r="G451" s="17" t="s">
        <v>178</v>
      </c>
      <c r="H451" s="17"/>
      <c r="I451" s="1" t="str">
        <f t="shared" si="19"/>
        <v/>
      </c>
      <c r="J451" s="1" t="str">
        <f t="shared" ref="J451:J514" si="21">IF(F452="","",VLOOKUP(F452,$A$2:$B$31,2)+$B$33-VLOOKUP(E452,$A$2:$B$31,2))</f>
        <v/>
      </c>
      <c r="K451" s="1">
        <f t="shared" si="20"/>
        <v>0</v>
      </c>
    </row>
    <row r="452" spans="4:11" ht="18" customHeight="1">
      <c r="D452" s="6" t="s">
        <v>73</v>
      </c>
      <c r="E452" s="7"/>
      <c r="F452" s="7"/>
      <c r="G452" s="17" t="s">
        <v>181</v>
      </c>
      <c r="H452" s="17">
        <v>4</v>
      </c>
      <c r="I452" s="1">
        <f t="shared" ref="I452:I515" si="22">IF(G452="","",G452-H452)</f>
        <v>-3</v>
      </c>
      <c r="J452" s="1">
        <f t="shared" si="21"/>
        <v>0.22551206259507239</v>
      </c>
      <c r="K452" s="1">
        <f t="shared" ref="K452:K515" si="23">IF(J452="",0,(I452-J452)^2)</f>
        <v>10.403928065946317</v>
      </c>
    </row>
    <row r="453" spans="4:11" ht="15.75" thickBot="1">
      <c r="D453" s="8"/>
      <c r="E453" s="9" t="s">
        <v>33</v>
      </c>
      <c r="F453" s="9" t="s">
        <v>14</v>
      </c>
      <c r="G453" s="17" t="s">
        <v>178</v>
      </c>
      <c r="H453" s="17"/>
      <c r="I453" s="1" t="str">
        <f t="shared" si="22"/>
        <v/>
      </c>
      <c r="J453" s="1" t="str">
        <f t="shared" si="21"/>
        <v/>
      </c>
      <c r="K453" s="1">
        <f t="shared" si="23"/>
        <v>0</v>
      </c>
    </row>
    <row r="454" spans="4:11" ht="18" customHeight="1">
      <c r="D454" s="6" t="s">
        <v>73</v>
      </c>
      <c r="E454" s="7"/>
      <c r="F454" s="7"/>
      <c r="G454" s="17" t="s">
        <v>181</v>
      </c>
      <c r="H454" s="17">
        <v>6</v>
      </c>
      <c r="I454" s="1">
        <f t="shared" si="22"/>
        <v>-5</v>
      </c>
      <c r="J454" s="1">
        <f t="shared" si="21"/>
        <v>-1.8614772440269292</v>
      </c>
      <c r="K454" s="1">
        <f t="shared" si="23"/>
        <v>9.8503250897607995</v>
      </c>
    </row>
    <row r="455" spans="4:11" ht="15.75" thickBot="1">
      <c r="D455" s="8"/>
      <c r="E455" s="9" t="s">
        <v>8</v>
      </c>
      <c r="F455" s="9" t="s">
        <v>39</v>
      </c>
      <c r="G455" s="17" t="s">
        <v>178</v>
      </c>
      <c r="H455" s="17"/>
      <c r="I455" s="1" t="str">
        <f t="shared" si="22"/>
        <v/>
      </c>
      <c r="J455" s="1" t="str">
        <f t="shared" si="21"/>
        <v/>
      </c>
      <c r="K455" s="1">
        <f t="shared" si="23"/>
        <v>0</v>
      </c>
    </row>
    <row r="456" spans="4:11" ht="15" customHeight="1">
      <c r="D456" s="6" t="s">
        <v>73</v>
      </c>
      <c r="E456" s="7"/>
      <c r="F456" s="7"/>
      <c r="G456" s="17" t="s">
        <v>180</v>
      </c>
      <c r="H456" s="17">
        <v>3</v>
      </c>
      <c r="I456" s="1">
        <f t="shared" si="22"/>
        <v>-1</v>
      </c>
      <c r="J456" s="1">
        <f t="shared" si="21"/>
        <v>-1.2940135142149529</v>
      </c>
      <c r="K456" s="1">
        <f t="shared" si="23"/>
        <v>8.6443946541026329E-2</v>
      </c>
    </row>
    <row r="457" spans="4:11" ht="15.75" thickBot="1">
      <c r="D457" s="8"/>
      <c r="E457" s="9" t="s">
        <v>24</v>
      </c>
      <c r="F457" s="9" t="s">
        <v>19</v>
      </c>
      <c r="G457" s="17" t="s">
        <v>178</v>
      </c>
      <c r="H457" s="17"/>
      <c r="I457" s="1" t="str">
        <f t="shared" si="22"/>
        <v/>
      </c>
      <c r="J457" s="1" t="str">
        <f t="shared" si="21"/>
        <v/>
      </c>
      <c r="K457" s="1">
        <f t="shared" si="23"/>
        <v>0</v>
      </c>
    </row>
    <row r="458" spans="4:11" ht="15" customHeight="1">
      <c r="D458" s="6" t="s">
        <v>73</v>
      </c>
      <c r="E458" s="7"/>
      <c r="F458" s="7"/>
      <c r="G458" s="17" t="s">
        <v>180</v>
      </c>
      <c r="H458" s="17">
        <v>3</v>
      </c>
      <c r="I458" s="1">
        <f t="shared" si="22"/>
        <v>-1</v>
      </c>
      <c r="J458" s="1">
        <f t="shared" si="21"/>
        <v>-5.8778060073336746E-3</v>
      </c>
      <c r="K458" s="1">
        <f t="shared" si="23"/>
        <v>0.98827893658879251</v>
      </c>
    </row>
    <row r="459" spans="4:11" ht="15.75" thickBot="1">
      <c r="D459" s="8"/>
      <c r="E459" s="9" t="s">
        <v>37</v>
      </c>
      <c r="F459" s="9" t="s">
        <v>20</v>
      </c>
      <c r="G459" s="17" t="s">
        <v>178</v>
      </c>
      <c r="H459" s="17"/>
      <c r="I459" s="1" t="str">
        <f t="shared" si="22"/>
        <v/>
      </c>
      <c r="J459" s="1" t="str">
        <f t="shared" si="21"/>
        <v/>
      </c>
      <c r="K459" s="1">
        <f t="shared" si="23"/>
        <v>0</v>
      </c>
    </row>
    <row r="460" spans="4:11" ht="15" customHeight="1">
      <c r="D460" s="6" t="s">
        <v>73</v>
      </c>
      <c r="E460" s="7"/>
      <c r="F460" s="7"/>
      <c r="G460" s="17" t="s">
        <v>184</v>
      </c>
      <c r="H460" s="17">
        <v>3</v>
      </c>
      <c r="I460" s="1">
        <f t="shared" si="22"/>
        <v>1</v>
      </c>
      <c r="J460" s="1">
        <f t="shared" si="21"/>
        <v>0.44947490874443474</v>
      </c>
      <c r="K460" s="1">
        <f t="shared" si="23"/>
        <v>0.30307787610194847</v>
      </c>
    </row>
    <row r="461" spans="4:11" ht="15.75" thickBot="1">
      <c r="D461" s="8"/>
      <c r="E461" s="9" t="s">
        <v>21</v>
      </c>
      <c r="F461" s="9" t="s">
        <v>26</v>
      </c>
      <c r="G461" s="17" t="s">
        <v>178</v>
      </c>
      <c r="H461" s="17"/>
      <c r="I461" s="1" t="str">
        <f t="shared" si="22"/>
        <v/>
      </c>
      <c r="J461" s="1" t="str">
        <f t="shared" si="21"/>
        <v/>
      </c>
      <c r="K461" s="1">
        <f t="shared" si="23"/>
        <v>0</v>
      </c>
    </row>
    <row r="462" spans="4:11" ht="15" customHeight="1">
      <c r="D462" s="6" t="s">
        <v>73</v>
      </c>
      <c r="E462" s="7"/>
      <c r="F462" s="7"/>
      <c r="G462" s="17" t="s">
        <v>182</v>
      </c>
      <c r="H462" s="17">
        <v>4</v>
      </c>
      <c r="I462" s="1">
        <f t="shared" si="22"/>
        <v>-1</v>
      </c>
      <c r="J462" s="1">
        <f t="shared" si="21"/>
        <v>-1.8075539183556089E-2</v>
      </c>
      <c r="K462" s="1">
        <f t="shared" si="23"/>
        <v>0.96417564674966405</v>
      </c>
    </row>
    <row r="463" spans="4:11" ht="15.75" thickBot="1">
      <c r="D463" s="8"/>
      <c r="E463" s="9" t="s">
        <v>18</v>
      </c>
      <c r="F463" s="9" t="s">
        <v>3</v>
      </c>
      <c r="G463" s="17" t="s">
        <v>178</v>
      </c>
      <c r="H463" s="17"/>
      <c r="I463" s="1" t="str">
        <f t="shared" si="22"/>
        <v/>
      </c>
      <c r="J463" s="1" t="str">
        <f t="shared" si="21"/>
        <v/>
      </c>
      <c r="K463" s="1">
        <f t="shared" si="23"/>
        <v>0</v>
      </c>
    </row>
    <row r="464" spans="4:11" ht="18" customHeight="1">
      <c r="D464" s="6" t="s">
        <v>74</v>
      </c>
      <c r="E464" s="7"/>
      <c r="F464" s="7"/>
      <c r="G464" s="17" t="s">
        <v>181</v>
      </c>
      <c r="H464" s="17">
        <v>6</v>
      </c>
      <c r="I464" s="1">
        <f t="shared" si="22"/>
        <v>-5</v>
      </c>
      <c r="J464" s="1">
        <f t="shared" si="21"/>
        <v>0.61188001664559977</v>
      </c>
      <c r="K464" s="1">
        <f t="shared" si="23"/>
        <v>31.493197321226216</v>
      </c>
    </row>
    <row r="465" spans="4:11" ht="15.75" thickBot="1">
      <c r="D465" s="8"/>
      <c r="E465" s="9" t="s">
        <v>2</v>
      </c>
      <c r="F465" s="9" t="s">
        <v>0</v>
      </c>
      <c r="G465" s="17" t="s">
        <v>178</v>
      </c>
      <c r="H465" s="17"/>
      <c r="I465" s="1" t="str">
        <f t="shared" si="22"/>
        <v/>
      </c>
      <c r="J465" s="1" t="str">
        <f t="shared" si="21"/>
        <v/>
      </c>
      <c r="K465" s="1">
        <f t="shared" si="23"/>
        <v>0</v>
      </c>
    </row>
    <row r="466" spans="4:11" ht="15" customHeight="1">
      <c r="D466" s="6" t="s">
        <v>74</v>
      </c>
      <c r="E466" s="7"/>
      <c r="F466" s="7"/>
      <c r="G466" s="17" t="s">
        <v>185</v>
      </c>
      <c r="H466" s="17">
        <v>6</v>
      </c>
      <c r="I466" s="1">
        <f t="shared" si="22"/>
        <v>-1</v>
      </c>
      <c r="J466" s="1">
        <f t="shared" si="21"/>
        <v>0.62259631031723472</v>
      </c>
      <c r="K466" s="1">
        <f t="shared" si="23"/>
        <v>2.632818786255104</v>
      </c>
    </row>
    <row r="467" spans="4:11" ht="15.75" thickBot="1">
      <c r="D467" s="8"/>
      <c r="E467" s="9" t="s">
        <v>34</v>
      </c>
      <c r="F467" s="9" t="s">
        <v>10</v>
      </c>
      <c r="G467" s="17" t="s">
        <v>178</v>
      </c>
      <c r="H467" s="17"/>
      <c r="I467" s="1" t="str">
        <f t="shared" si="22"/>
        <v/>
      </c>
      <c r="J467" s="1" t="str">
        <f t="shared" si="21"/>
        <v/>
      </c>
      <c r="K467" s="1">
        <f t="shared" si="23"/>
        <v>0</v>
      </c>
    </row>
    <row r="468" spans="4:11" ht="15" customHeight="1">
      <c r="D468" s="6" t="s">
        <v>75</v>
      </c>
      <c r="E468" s="7"/>
      <c r="F468" s="7"/>
      <c r="G468" s="17" t="s">
        <v>184</v>
      </c>
      <c r="H468" s="17">
        <v>3</v>
      </c>
      <c r="I468" s="1">
        <f t="shared" si="22"/>
        <v>1</v>
      </c>
      <c r="J468" s="1">
        <f t="shared" si="21"/>
        <v>-0.57428010724044043</v>
      </c>
      <c r="K468" s="1">
        <f t="shared" si="23"/>
        <v>2.4783578560529724</v>
      </c>
    </row>
    <row r="469" spans="4:11" ht="15.75" thickBot="1">
      <c r="D469" s="8"/>
      <c r="E469" s="9" t="s">
        <v>22</v>
      </c>
      <c r="F469" s="9" t="s">
        <v>38</v>
      </c>
      <c r="G469" s="17" t="s">
        <v>178</v>
      </c>
      <c r="H469" s="17"/>
      <c r="I469" s="1" t="str">
        <f t="shared" si="22"/>
        <v/>
      </c>
      <c r="J469" s="1" t="str">
        <f t="shared" si="21"/>
        <v/>
      </c>
      <c r="K469" s="1">
        <f t="shared" si="23"/>
        <v>0</v>
      </c>
    </row>
    <row r="470" spans="4:11" ht="15" customHeight="1">
      <c r="D470" s="6" t="s">
        <v>75</v>
      </c>
      <c r="E470" s="7"/>
      <c r="F470" s="7"/>
      <c r="G470" s="17" t="s">
        <v>182</v>
      </c>
      <c r="H470" s="17">
        <v>1</v>
      </c>
      <c r="I470" s="1">
        <f t="shared" si="22"/>
        <v>2</v>
      </c>
      <c r="J470" s="1">
        <f t="shared" si="21"/>
        <v>0.57004192250845165</v>
      </c>
      <c r="K470" s="1">
        <f t="shared" si="23"/>
        <v>2.0447801033833248</v>
      </c>
    </row>
    <row r="471" spans="4:11" ht="15.75" thickBot="1">
      <c r="D471" s="8"/>
      <c r="E471" s="9" t="s">
        <v>25</v>
      </c>
      <c r="F471" s="9" t="s">
        <v>28</v>
      </c>
      <c r="G471" s="17" t="s">
        <v>178</v>
      </c>
      <c r="H471" s="17"/>
      <c r="I471" s="1" t="str">
        <f t="shared" si="22"/>
        <v/>
      </c>
      <c r="J471" s="1" t="str">
        <f t="shared" si="21"/>
        <v/>
      </c>
      <c r="K471" s="1">
        <f t="shared" si="23"/>
        <v>0</v>
      </c>
    </row>
    <row r="472" spans="4:11" ht="15" customHeight="1">
      <c r="D472" s="6" t="s">
        <v>75</v>
      </c>
      <c r="E472" s="7"/>
      <c r="F472" s="7"/>
      <c r="G472" s="17" t="s">
        <v>181</v>
      </c>
      <c r="H472" s="17">
        <v>5</v>
      </c>
      <c r="I472" s="1">
        <f t="shared" si="22"/>
        <v>-4</v>
      </c>
      <c r="J472" s="1">
        <f t="shared" si="21"/>
        <v>-0.28341358545613105</v>
      </c>
      <c r="K472" s="1">
        <f t="shared" si="23"/>
        <v>13.813014576772051</v>
      </c>
    </row>
    <row r="473" spans="4:11" ht="15.75" thickBot="1">
      <c r="D473" s="8"/>
      <c r="E473" s="9" t="s">
        <v>2</v>
      </c>
      <c r="F473" s="9" t="s">
        <v>443</v>
      </c>
      <c r="G473" s="17" t="s">
        <v>178</v>
      </c>
      <c r="H473" s="17"/>
      <c r="I473" s="1" t="str">
        <f t="shared" si="22"/>
        <v/>
      </c>
      <c r="J473" s="1" t="str">
        <f t="shared" si="21"/>
        <v/>
      </c>
      <c r="K473" s="1">
        <f t="shared" si="23"/>
        <v>0</v>
      </c>
    </row>
    <row r="474" spans="4:11" ht="15" customHeight="1">
      <c r="D474" s="6" t="s">
        <v>75</v>
      </c>
      <c r="E474" s="7"/>
      <c r="F474" s="7"/>
      <c r="G474" s="17" t="s">
        <v>180</v>
      </c>
      <c r="H474" s="17">
        <v>1</v>
      </c>
      <c r="I474" s="1">
        <f t="shared" si="22"/>
        <v>1</v>
      </c>
      <c r="J474" s="1">
        <f t="shared" si="21"/>
        <v>-0.57713829422823437</v>
      </c>
      <c r="K474" s="1">
        <f t="shared" si="23"/>
        <v>2.487365199121145</v>
      </c>
    </row>
    <row r="475" spans="4:11" ht="15.75" thickBot="1">
      <c r="D475" s="8"/>
      <c r="E475" s="9" t="s">
        <v>33</v>
      </c>
      <c r="F475" s="9" t="s">
        <v>37</v>
      </c>
      <c r="G475" s="17" t="s">
        <v>178</v>
      </c>
      <c r="H475" s="17"/>
      <c r="I475" s="1" t="str">
        <f t="shared" si="22"/>
        <v/>
      </c>
      <c r="J475" s="1" t="str">
        <f t="shared" si="21"/>
        <v/>
      </c>
      <c r="K475" s="1">
        <f t="shared" si="23"/>
        <v>0</v>
      </c>
    </row>
    <row r="476" spans="4:11" ht="18" customHeight="1">
      <c r="D476" s="6" t="s">
        <v>75</v>
      </c>
      <c r="E476" s="7"/>
      <c r="F476" s="7"/>
      <c r="G476" s="17" t="s">
        <v>182</v>
      </c>
      <c r="H476" s="17">
        <v>4</v>
      </c>
      <c r="I476" s="1">
        <f t="shared" si="22"/>
        <v>-1</v>
      </c>
      <c r="J476" s="1">
        <f t="shared" si="21"/>
        <v>-0.10112937968297331</v>
      </c>
      <c r="K476" s="1">
        <f t="shared" si="23"/>
        <v>0.8079683920691163</v>
      </c>
    </row>
    <row r="477" spans="4:11" ht="15.75" thickBot="1">
      <c r="D477" s="8"/>
      <c r="E477" s="9" t="s">
        <v>19</v>
      </c>
      <c r="F477" s="9" t="s">
        <v>39</v>
      </c>
      <c r="G477" s="17" t="s">
        <v>178</v>
      </c>
      <c r="H477" s="17"/>
      <c r="I477" s="1" t="str">
        <f t="shared" si="22"/>
        <v/>
      </c>
      <c r="J477" s="1" t="str">
        <f t="shared" si="21"/>
        <v/>
      </c>
      <c r="K477" s="1">
        <f t="shared" si="23"/>
        <v>0</v>
      </c>
    </row>
    <row r="478" spans="4:11" ht="15" customHeight="1">
      <c r="D478" s="6" t="s">
        <v>75</v>
      </c>
      <c r="E478" s="7"/>
      <c r="F478" s="7"/>
      <c r="G478" s="17" t="s">
        <v>182</v>
      </c>
      <c r="H478" s="17">
        <v>6</v>
      </c>
      <c r="I478" s="1">
        <f t="shared" si="22"/>
        <v>-3</v>
      </c>
      <c r="J478" s="1">
        <f t="shared" si="21"/>
        <v>-1.7697057626000117</v>
      </c>
      <c r="K478" s="1">
        <f t="shared" si="23"/>
        <v>1.5136239105796188</v>
      </c>
    </row>
    <row r="479" spans="4:11" ht="15.75" thickBot="1">
      <c r="D479" s="8"/>
      <c r="E479" s="9" t="s">
        <v>8</v>
      </c>
      <c r="F479" s="9" t="s">
        <v>23</v>
      </c>
      <c r="G479" s="17" t="s">
        <v>178</v>
      </c>
      <c r="H479" s="17"/>
      <c r="I479" s="1" t="str">
        <f t="shared" si="22"/>
        <v/>
      </c>
      <c r="J479" s="1" t="str">
        <f t="shared" si="21"/>
        <v/>
      </c>
      <c r="K479" s="1">
        <f t="shared" si="23"/>
        <v>0</v>
      </c>
    </row>
    <row r="480" spans="4:11" ht="18" customHeight="1">
      <c r="D480" s="6" t="s">
        <v>75</v>
      </c>
      <c r="E480" s="7"/>
      <c r="F480" s="7"/>
      <c r="G480" s="17" t="s">
        <v>182</v>
      </c>
      <c r="H480" s="17">
        <v>5</v>
      </c>
      <c r="I480" s="1">
        <f t="shared" si="22"/>
        <v>-2</v>
      </c>
      <c r="J480" s="1">
        <f t="shared" si="21"/>
        <v>-0.80982891348897112</v>
      </c>
      <c r="K480" s="1">
        <f t="shared" si="23"/>
        <v>1.416507215166843</v>
      </c>
    </row>
    <row r="481" spans="4:11" ht="15.75" thickBot="1">
      <c r="D481" s="8"/>
      <c r="E481" s="9" t="s">
        <v>26</v>
      </c>
      <c r="F481" s="9" t="s">
        <v>4</v>
      </c>
      <c r="G481" s="17" t="s">
        <v>178</v>
      </c>
      <c r="H481" s="17"/>
      <c r="I481" s="1" t="str">
        <f t="shared" si="22"/>
        <v/>
      </c>
      <c r="J481" s="1" t="str">
        <f t="shared" si="21"/>
        <v/>
      </c>
      <c r="K481" s="1">
        <f t="shared" si="23"/>
        <v>0</v>
      </c>
    </row>
    <row r="482" spans="4:11" ht="15" customHeight="1">
      <c r="D482" s="6" t="s">
        <v>75</v>
      </c>
      <c r="E482" s="7"/>
      <c r="F482" s="7"/>
      <c r="G482" s="17" t="s">
        <v>184</v>
      </c>
      <c r="H482" s="17">
        <v>3</v>
      </c>
      <c r="I482" s="1">
        <f t="shared" si="22"/>
        <v>1</v>
      </c>
      <c r="J482" s="1">
        <f t="shared" si="21"/>
        <v>1.0396229706368985</v>
      </c>
      <c r="K482" s="1">
        <f t="shared" si="23"/>
        <v>1.5699798020925174E-3</v>
      </c>
    </row>
    <row r="483" spans="4:11" ht="15.75" thickBot="1">
      <c r="D483" s="8"/>
      <c r="E483" s="9" t="s">
        <v>18</v>
      </c>
      <c r="F483" s="9" t="s">
        <v>24</v>
      </c>
      <c r="G483" s="17" t="s">
        <v>178</v>
      </c>
      <c r="H483" s="17"/>
      <c r="I483" s="1" t="str">
        <f t="shared" si="22"/>
        <v/>
      </c>
      <c r="J483" s="1" t="str">
        <f t="shared" si="21"/>
        <v/>
      </c>
      <c r="K483" s="1">
        <f t="shared" si="23"/>
        <v>0</v>
      </c>
    </row>
    <row r="484" spans="4:11" ht="15" customHeight="1">
      <c r="D484" s="6" t="s">
        <v>75</v>
      </c>
      <c r="E484" s="7"/>
      <c r="F484" s="7"/>
      <c r="G484" s="17" t="s">
        <v>180</v>
      </c>
      <c r="H484" s="17">
        <v>0</v>
      </c>
      <c r="I484" s="1">
        <f t="shared" si="22"/>
        <v>2</v>
      </c>
      <c r="J484" s="1">
        <f t="shared" si="21"/>
        <v>-0.17312140157279998</v>
      </c>
      <c r="K484" s="1">
        <f t="shared" si="23"/>
        <v>4.7224566259737308</v>
      </c>
    </row>
    <row r="485" spans="4:11" ht="15.75" thickBot="1">
      <c r="D485" s="8"/>
      <c r="E485" s="9" t="s">
        <v>21</v>
      </c>
      <c r="F485" s="9" t="s">
        <v>34</v>
      </c>
      <c r="G485" s="17" t="s">
        <v>178</v>
      </c>
      <c r="H485" s="17"/>
      <c r="I485" s="1" t="str">
        <f t="shared" si="22"/>
        <v/>
      </c>
      <c r="J485" s="1" t="str">
        <f t="shared" si="21"/>
        <v/>
      </c>
      <c r="K485" s="1">
        <f t="shared" si="23"/>
        <v>0</v>
      </c>
    </row>
    <row r="486" spans="4:11" ht="15" customHeight="1">
      <c r="D486" s="6" t="s">
        <v>76</v>
      </c>
      <c r="E486" s="7"/>
      <c r="F486" s="7"/>
      <c r="G486" s="17" t="s">
        <v>184</v>
      </c>
      <c r="H486" s="17">
        <v>3</v>
      </c>
      <c r="I486" s="1">
        <f t="shared" si="22"/>
        <v>1</v>
      </c>
      <c r="J486" s="1">
        <f t="shared" si="21"/>
        <v>-2.0693123270916658E-2</v>
      </c>
      <c r="K486" s="1">
        <f t="shared" si="23"/>
        <v>1.0418144518925387</v>
      </c>
    </row>
    <row r="487" spans="4:11" ht="30.75" thickBot="1">
      <c r="D487" s="8"/>
      <c r="E487" s="9" t="s">
        <v>7</v>
      </c>
      <c r="F487" s="9" t="s">
        <v>1</v>
      </c>
      <c r="G487" s="17" t="s">
        <v>178</v>
      </c>
      <c r="H487" s="17"/>
      <c r="I487" s="1" t="str">
        <f t="shared" si="22"/>
        <v/>
      </c>
      <c r="J487" s="1" t="str">
        <f t="shared" si="21"/>
        <v/>
      </c>
      <c r="K487" s="1">
        <f t="shared" si="23"/>
        <v>0</v>
      </c>
    </row>
    <row r="488" spans="4:11" ht="15" customHeight="1">
      <c r="D488" s="6" t="s">
        <v>76</v>
      </c>
      <c r="E488" s="7"/>
      <c r="F488" s="7"/>
      <c r="G488" s="17" t="s">
        <v>181</v>
      </c>
      <c r="H488" s="17">
        <v>0</v>
      </c>
      <c r="I488" s="1">
        <f t="shared" si="22"/>
        <v>1</v>
      </c>
      <c r="J488" s="1">
        <f t="shared" si="21"/>
        <v>-0.79073428264888435</v>
      </c>
      <c r="K488" s="1">
        <f t="shared" si="23"/>
        <v>3.2067292710540145</v>
      </c>
    </row>
    <row r="489" spans="4:11" ht="30.75" thickBot="1">
      <c r="D489" s="8"/>
      <c r="E489" s="9" t="s">
        <v>36</v>
      </c>
      <c r="F489" s="9" t="s">
        <v>12</v>
      </c>
      <c r="G489" s="17" t="s">
        <v>178</v>
      </c>
      <c r="H489" s="17"/>
      <c r="I489" s="1" t="str">
        <f t="shared" si="22"/>
        <v/>
      </c>
      <c r="J489" s="1" t="str">
        <f t="shared" si="21"/>
        <v/>
      </c>
      <c r="K489" s="1">
        <f t="shared" si="23"/>
        <v>0</v>
      </c>
    </row>
    <row r="490" spans="4:11" ht="15" customHeight="1">
      <c r="D490" s="6" t="s">
        <v>76</v>
      </c>
      <c r="E490" s="7"/>
      <c r="F490" s="7"/>
      <c r="G490" s="17" t="s">
        <v>180</v>
      </c>
      <c r="H490" s="17">
        <v>1</v>
      </c>
      <c r="I490" s="1">
        <f t="shared" si="22"/>
        <v>1</v>
      </c>
      <c r="J490" s="1">
        <f t="shared" si="21"/>
        <v>0.8267525400671758</v>
      </c>
      <c r="K490" s="1">
        <f t="shared" si="23"/>
        <v>3.0014682373175526E-2</v>
      </c>
    </row>
    <row r="491" spans="4:11" ht="15.75" thickBot="1">
      <c r="D491" s="8"/>
      <c r="E491" s="9" t="s">
        <v>11</v>
      </c>
      <c r="F491" s="9" t="s">
        <v>0</v>
      </c>
      <c r="G491" s="17" t="s">
        <v>178</v>
      </c>
      <c r="H491" s="17"/>
      <c r="I491" s="1" t="str">
        <f t="shared" si="22"/>
        <v/>
      </c>
      <c r="J491" s="1" t="str">
        <f t="shared" si="21"/>
        <v/>
      </c>
      <c r="K491" s="1">
        <f t="shared" si="23"/>
        <v>0</v>
      </c>
    </row>
    <row r="492" spans="4:11" ht="18" customHeight="1">
      <c r="D492" s="6" t="s">
        <v>76</v>
      </c>
      <c r="E492" s="7"/>
      <c r="F492" s="7"/>
      <c r="G492" s="17" t="s">
        <v>181</v>
      </c>
      <c r="H492" s="17">
        <v>4</v>
      </c>
      <c r="I492" s="1">
        <f t="shared" si="22"/>
        <v>-3</v>
      </c>
      <c r="J492" s="1">
        <f t="shared" si="21"/>
        <v>0.42165393270492757</v>
      </c>
      <c r="K492" s="1">
        <f t="shared" si="23"/>
        <v>11.707715635195097</v>
      </c>
    </row>
    <row r="493" spans="4:11" ht="15.75" thickBot="1">
      <c r="D493" s="8"/>
      <c r="E493" s="9" t="s">
        <v>20</v>
      </c>
      <c r="F493" s="9" t="s">
        <v>13</v>
      </c>
      <c r="G493" s="17" t="s">
        <v>178</v>
      </c>
      <c r="H493" s="17"/>
      <c r="I493" s="1" t="str">
        <f t="shared" si="22"/>
        <v/>
      </c>
      <c r="J493" s="1" t="str">
        <f t="shared" si="21"/>
        <v/>
      </c>
      <c r="K493" s="1">
        <f t="shared" si="23"/>
        <v>0</v>
      </c>
    </row>
    <row r="494" spans="4:11" ht="15" customHeight="1">
      <c r="D494" s="6" t="s">
        <v>76</v>
      </c>
      <c r="E494" s="7"/>
      <c r="F494" s="7"/>
      <c r="G494" s="17" t="s">
        <v>184</v>
      </c>
      <c r="H494" s="17">
        <v>3</v>
      </c>
      <c r="I494" s="1">
        <f t="shared" si="22"/>
        <v>1</v>
      </c>
      <c r="J494" s="1">
        <f t="shared" si="21"/>
        <v>0.8015538715053907</v>
      </c>
      <c r="K494" s="1">
        <f t="shared" si="23"/>
        <v>3.9380865914498984E-2</v>
      </c>
    </row>
    <row r="495" spans="4:11" ht="15.75" thickBot="1">
      <c r="D495" s="8"/>
      <c r="E495" s="9" t="s">
        <v>41</v>
      </c>
      <c r="F495" s="9" t="s">
        <v>14</v>
      </c>
      <c r="G495" s="17" t="s">
        <v>178</v>
      </c>
      <c r="H495" s="17"/>
      <c r="I495" s="1" t="str">
        <f t="shared" si="22"/>
        <v/>
      </c>
      <c r="J495" s="1" t="str">
        <f t="shared" si="21"/>
        <v/>
      </c>
      <c r="K495" s="1">
        <f t="shared" si="23"/>
        <v>0</v>
      </c>
    </row>
    <row r="496" spans="4:11" ht="15" customHeight="1">
      <c r="D496" s="6" t="s">
        <v>76</v>
      </c>
      <c r="E496" s="7"/>
      <c r="F496" s="7"/>
      <c r="G496" s="17" t="s">
        <v>185</v>
      </c>
      <c r="H496" s="17">
        <v>0</v>
      </c>
      <c r="I496" s="1">
        <f t="shared" si="22"/>
        <v>5</v>
      </c>
      <c r="J496" s="1">
        <f t="shared" si="21"/>
        <v>-0.69829596555400997</v>
      </c>
      <c r="K496" s="1">
        <f t="shared" si="23"/>
        <v>32.470576911049108</v>
      </c>
    </row>
    <row r="497" spans="4:11" ht="15.75" thickBot="1">
      <c r="D497" s="8"/>
      <c r="E497" s="9" t="s">
        <v>26</v>
      </c>
      <c r="F497" s="9" t="s">
        <v>3</v>
      </c>
      <c r="G497" s="17" t="s">
        <v>178</v>
      </c>
      <c r="H497" s="17"/>
      <c r="I497" s="1" t="str">
        <f t="shared" si="22"/>
        <v/>
      </c>
      <c r="J497" s="1" t="str">
        <f t="shared" si="21"/>
        <v/>
      </c>
      <c r="K497" s="1">
        <f t="shared" si="23"/>
        <v>0</v>
      </c>
    </row>
    <row r="498" spans="4:11" ht="18" customHeight="1">
      <c r="D498" s="6" t="s">
        <v>77</v>
      </c>
      <c r="E498" s="7"/>
      <c r="F498" s="7"/>
      <c r="G498" s="17" t="s">
        <v>181</v>
      </c>
      <c r="H498" s="17">
        <v>2</v>
      </c>
      <c r="I498" s="1">
        <f t="shared" si="22"/>
        <v>-1</v>
      </c>
      <c r="J498" s="1">
        <f t="shared" si="21"/>
        <v>-0.42893206971533004</v>
      </c>
      <c r="K498" s="1">
        <f t="shared" si="23"/>
        <v>0.32611858099961666</v>
      </c>
    </row>
    <row r="499" spans="4:11" ht="15.75" thickBot="1">
      <c r="D499" s="8"/>
      <c r="E499" s="9" t="s">
        <v>28</v>
      </c>
      <c r="F499" s="9" t="s">
        <v>2</v>
      </c>
      <c r="G499" s="17" t="s">
        <v>178</v>
      </c>
      <c r="H499" s="17"/>
      <c r="I499" s="1" t="str">
        <f t="shared" si="22"/>
        <v/>
      </c>
      <c r="J499" s="1" t="str">
        <f t="shared" si="21"/>
        <v/>
      </c>
      <c r="K499" s="1">
        <f t="shared" si="23"/>
        <v>0</v>
      </c>
    </row>
    <row r="500" spans="4:11" ht="15" customHeight="1">
      <c r="D500" s="6" t="s">
        <v>77</v>
      </c>
      <c r="E500" s="7"/>
      <c r="F500" s="7"/>
      <c r="G500" s="17" t="s">
        <v>180</v>
      </c>
      <c r="H500" s="17">
        <v>1</v>
      </c>
      <c r="I500" s="1">
        <f t="shared" si="22"/>
        <v>1</v>
      </c>
      <c r="J500" s="1">
        <f t="shared" si="21"/>
        <v>0.49449395946012942</v>
      </c>
      <c r="K500" s="1">
        <f t="shared" si="23"/>
        <v>0.25553635702229727</v>
      </c>
    </row>
    <row r="501" spans="4:11" ht="15.75" thickBot="1">
      <c r="D501" s="8"/>
      <c r="E501" s="9" t="s">
        <v>23</v>
      </c>
      <c r="F501" s="9" t="s">
        <v>21</v>
      </c>
      <c r="G501" s="17" t="s">
        <v>178</v>
      </c>
      <c r="H501" s="17"/>
      <c r="I501" s="1" t="str">
        <f t="shared" si="22"/>
        <v/>
      </c>
      <c r="J501" s="1" t="str">
        <f t="shared" si="21"/>
        <v/>
      </c>
      <c r="K501" s="1">
        <f t="shared" si="23"/>
        <v>0</v>
      </c>
    </row>
    <row r="502" spans="4:11" ht="15" customHeight="1">
      <c r="D502" s="6" t="s">
        <v>77</v>
      </c>
      <c r="E502" s="7"/>
      <c r="F502" s="7"/>
      <c r="G502" s="17" t="s">
        <v>180</v>
      </c>
      <c r="H502" s="17">
        <v>3</v>
      </c>
      <c r="I502" s="1">
        <f t="shared" si="22"/>
        <v>-1</v>
      </c>
      <c r="J502" s="1">
        <f t="shared" si="21"/>
        <v>-0.62259631031723472</v>
      </c>
      <c r="K502" s="1">
        <f t="shared" si="23"/>
        <v>0.14243354498616498</v>
      </c>
    </row>
    <row r="503" spans="4:11" ht="15.75" thickBot="1">
      <c r="D503" s="8"/>
      <c r="E503" s="9" t="s">
        <v>10</v>
      </c>
      <c r="F503" s="9" t="s">
        <v>34</v>
      </c>
      <c r="G503" s="17" t="s">
        <v>178</v>
      </c>
      <c r="H503" s="17"/>
      <c r="I503" s="1" t="str">
        <f t="shared" si="22"/>
        <v/>
      </c>
      <c r="J503" s="1" t="str">
        <f t="shared" si="21"/>
        <v/>
      </c>
      <c r="K503" s="1">
        <f t="shared" si="23"/>
        <v>0</v>
      </c>
    </row>
    <row r="504" spans="4:11" ht="18" customHeight="1">
      <c r="D504" s="6" t="s">
        <v>77</v>
      </c>
      <c r="E504" s="7"/>
      <c r="F504" s="7"/>
      <c r="G504" s="17" t="s">
        <v>180</v>
      </c>
      <c r="H504" s="17">
        <v>6</v>
      </c>
      <c r="I504" s="1">
        <f t="shared" si="22"/>
        <v>-4</v>
      </c>
      <c r="J504" s="1">
        <f t="shared" si="21"/>
        <v>0.79813271765905824</v>
      </c>
      <c r="K504" s="1">
        <f t="shared" si="23"/>
        <v>23.022077576270298</v>
      </c>
    </row>
    <row r="505" spans="4:11" ht="15.75" thickBot="1">
      <c r="D505" s="8"/>
      <c r="E505" s="9" t="s">
        <v>0</v>
      </c>
      <c r="F505" s="9" t="s">
        <v>8</v>
      </c>
      <c r="G505" s="17" t="s">
        <v>178</v>
      </c>
      <c r="H505" s="17"/>
      <c r="I505" s="1" t="str">
        <f t="shared" si="22"/>
        <v/>
      </c>
      <c r="J505" s="1" t="str">
        <f t="shared" si="21"/>
        <v/>
      </c>
      <c r="K505" s="1">
        <f t="shared" si="23"/>
        <v>0</v>
      </c>
    </row>
    <row r="506" spans="4:11" ht="15" customHeight="1">
      <c r="D506" s="6" t="s">
        <v>77</v>
      </c>
      <c r="E506" s="7"/>
      <c r="F506" s="7"/>
      <c r="G506" s="17" t="s">
        <v>182</v>
      </c>
      <c r="H506" s="17">
        <v>6</v>
      </c>
      <c r="I506" s="1">
        <f t="shared" si="22"/>
        <v>-3</v>
      </c>
      <c r="J506" s="1">
        <f t="shared" si="21"/>
        <v>-0.61667469406161501</v>
      </c>
      <c r="K506" s="1">
        <f t="shared" si="23"/>
        <v>5.6802395139262964</v>
      </c>
    </row>
    <row r="507" spans="4:11" ht="15.75" thickBot="1">
      <c r="D507" s="8"/>
      <c r="E507" s="9" t="s">
        <v>1</v>
      </c>
      <c r="F507" s="9" t="s">
        <v>443</v>
      </c>
      <c r="G507" s="17" t="s">
        <v>178</v>
      </c>
      <c r="H507" s="17"/>
      <c r="I507" s="1" t="str">
        <f t="shared" si="22"/>
        <v/>
      </c>
      <c r="J507" s="1" t="str">
        <f t="shared" si="21"/>
        <v/>
      </c>
      <c r="K507" s="1">
        <f t="shared" si="23"/>
        <v>0</v>
      </c>
    </row>
    <row r="508" spans="4:11" ht="15" customHeight="1">
      <c r="D508" s="6" t="s">
        <v>77</v>
      </c>
      <c r="E508" s="7"/>
      <c r="F508" s="7"/>
      <c r="G508" s="17" t="s">
        <v>180</v>
      </c>
      <c r="H508" s="17">
        <v>5</v>
      </c>
      <c r="I508" s="1">
        <f t="shared" si="22"/>
        <v>-3</v>
      </c>
      <c r="J508" s="1">
        <f t="shared" si="21"/>
        <v>-1.0964853179160627E-3</v>
      </c>
      <c r="K508" s="1">
        <f t="shared" si="23"/>
        <v>8.9934222903725569</v>
      </c>
    </row>
    <row r="509" spans="4:11" ht="15.75" thickBot="1">
      <c r="D509" s="8"/>
      <c r="E509" s="9" t="s">
        <v>41</v>
      </c>
      <c r="F509" s="9" t="s">
        <v>37</v>
      </c>
      <c r="G509" s="17" t="s">
        <v>178</v>
      </c>
      <c r="H509" s="17"/>
      <c r="I509" s="1" t="str">
        <f t="shared" si="22"/>
        <v/>
      </c>
      <c r="J509" s="1" t="str">
        <f t="shared" si="21"/>
        <v/>
      </c>
      <c r="K509" s="1">
        <f t="shared" si="23"/>
        <v>0</v>
      </c>
    </row>
    <row r="510" spans="4:11" ht="15" customHeight="1">
      <c r="D510" s="6" t="s">
        <v>77</v>
      </c>
      <c r="E510" s="7"/>
      <c r="F510" s="7"/>
      <c r="G510" s="17" t="s">
        <v>182</v>
      </c>
      <c r="H510" s="17">
        <v>2</v>
      </c>
      <c r="I510" s="1">
        <f t="shared" si="22"/>
        <v>1</v>
      </c>
      <c r="J510" s="1">
        <f t="shared" si="21"/>
        <v>0.31759241774982172</v>
      </c>
      <c r="K510" s="1">
        <f t="shared" si="23"/>
        <v>0.46568010831253381</v>
      </c>
    </row>
    <row r="511" spans="4:11" ht="15.75" thickBot="1">
      <c r="D511" s="8"/>
      <c r="E511" s="9" t="s">
        <v>22</v>
      </c>
      <c r="F511" s="9" t="s">
        <v>36</v>
      </c>
      <c r="G511" s="17" t="s">
        <v>178</v>
      </c>
      <c r="H511" s="17"/>
      <c r="I511" s="1" t="str">
        <f t="shared" si="22"/>
        <v/>
      </c>
      <c r="J511" s="1" t="str">
        <f t="shared" si="21"/>
        <v/>
      </c>
      <c r="K511" s="1">
        <f t="shared" si="23"/>
        <v>0</v>
      </c>
    </row>
    <row r="512" spans="4:11" ht="15" customHeight="1">
      <c r="D512" s="6" t="s">
        <v>77</v>
      </c>
      <c r="E512" s="7"/>
      <c r="F512" s="7"/>
      <c r="G512" s="17" t="s">
        <v>180</v>
      </c>
      <c r="H512" s="17">
        <v>3</v>
      </c>
      <c r="I512" s="1">
        <f t="shared" si="22"/>
        <v>-1</v>
      </c>
      <c r="J512" s="1">
        <f t="shared" si="21"/>
        <v>0.26378822133385427</v>
      </c>
      <c r="K512" s="1">
        <f t="shared" si="23"/>
        <v>1.5971606683821871</v>
      </c>
    </row>
    <row r="513" spans="4:11" ht="15.75" thickBot="1">
      <c r="D513" s="8"/>
      <c r="E513" s="9" t="s">
        <v>38</v>
      </c>
      <c r="F513" s="9" t="s">
        <v>11</v>
      </c>
      <c r="G513" s="17" t="s">
        <v>178</v>
      </c>
      <c r="H513" s="17"/>
      <c r="I513" s="1" t="str">
        <f t="shared" si="22"/>
        <v/>
      </c>
      <c r="J513" s="1" t="str">
        <f t="shared" si="21"/>
        <v/>
      </c>
      <c r="K513" s="1">
        <f t="shared" si="23"/>
        <v>0</v>
      </c>
    </row>
    <row r="514" spans="4:11" ht="15" customHeight="1">
      <c r="D514" s="6" t="s">
        <v>77</v>
      </c>
      <c r="E514" s="7"/>
      <c r="F514" s="7"/>
      <c r="G514" s="17" t="s">
        <v>181</v>
      </c>
      <c r="H514" s="17">
        <v>2</v>
      </c>
      <c r="I514" s="1">
        <f t="shared" si="22"/>
        <v>-1</v>
      </c>
      <c r="J514" s="1">
        <f t="shared" si="21"/>
        <v>0.25657316772151262</v>
      </c>
      <c r="K514" s="1">
        <f t="shared" si="23"/>
        <v>1.5789761258376767</v>
      </c>
    </row>
    <row r="515" spans="4:11" ht="15.75" thickBot="1">
      <c r="D515" s="8"/>
      <c r="E515" s="9" t="s">
        <v>33</v>
      </c>
      <c r="F515" s="9" t="s">
        <v>7</v>
      </c>
      <c r="G515" s="17" t="s">
        <v>178</v>
      </c>
      <c r="H515" s="17"/>
      <c r="I515" s="1" t="str">
        <f t="shared" si="22"/>
        <v/>
      </c>
      <c r="J515" s="1" t="str">
        <f t="shared" ref="J515:J578" si="24">IF(F516="","",VLOOKUP(F516,$A$2:$B$31,2)+$B$33-VLOOKUP(E516,$A$2:$B$31,2))</f>
        <v/>
      </c>
      <c r="K515" s="1">
        <f t="shared" si="23"/>
        <v>0</v>
      </c>
    </row>
    <row r="516" spans="4:11" ht="15" customHeight="1">
      <c r="D516" s="6" t="s">
        <v>77</v>
      </c>
      <c r="E516" s="7"/>
      <c r="F516" s="7"/>
      <c r="G516" s="17" t="s">
        <v>181</v>
      </c>
      <c r="H516" s="17">
        <v>2</v>
      </c>
      <c r="I516" s="1">
        <f t="shared" ref="I516:I579" si="25">IF(G516="","",G516-H516)</f>
        <v>-1</v>
      </c>
      <c r="J516" s="1">
        <f t="shared" si="24"/>
        <v>-0.20922527724617623</v>
      </c>
      <c r="K516" s="1">
        <f t="shared" ref="K516:K579" si="26">IF(J516="",0,(I516-J516)^2)</f>
        <v>0.62532466214638682</v>
      </c>
    </row>
    <row r="517" spans="4:11" ht="15.75" thickBot="1">
      <c r="D517" s="8"/>
      <c r="E517" s="9" t="s">
        <v>25</v>
      </c>
      <c r="F517" s="9" t="s">
        <v>19</v>
      </c>
      <c r="G517" s="17" t="s">
        <v>178</v>
      </c>
      <c r="H517" s="17"/>
      <c r="I517" s="1" t="str">
        <f t="shared" si="25"/>
        <v/>
      </c>
      <c r="J517" s="1" t="str">
        <f t="shared" si="24"/>
        <v/>
      </c>
      <c r="K517" s="1">
        <f t="shared" si="26"/>
        <v>0</v>
      </c>
    </row>
    <row r="518" spans="4:11" ht="15" customHeight="1">
      <c r="D518" s="6" t="s">
        <v>77</v>
      </c>
      <c r="E518" s="7"/>
      <c r="F518" s="7"/>
      <c r="G518" s="17" t="s">
        <v>181</v>
      </c>
      <c r="H518" s="17">
        <v>4</v>
      </c>
      <c r="I518" s="1">
        <f t="shared" si="25"/>
        <v>-3</v>
      </c>
      <c r="J518" s="1">
        <f t="shared" si="24"/>
        <v>-7.3942007308218649E-2</v>
      </c>
      <c r="K518" s="1">
        <f t="shared" si="26"/>
        <v>8.5618153765954563</v>
      </c>
    </row>
    <row r="519" spans="4:11" ht="15.75" thickBot="1">
      <c r="D519" s="8"/>
      <c r="E519" s="9" t="s">
        <v>12</v>
      </c>
      <c r="F519" s="9" t="s">
        <v>39</v>
      </c>
      <c r="G519" s="17" t="s">
        <v>178</v>
      </c>
      <c r="H519" s="17"/>
      <c r="I519" s="1" t="str">
        <f t="shared" si="25"/>
        <v/>
      </c>
      <c r="J519" s="1" t="str">
        <f t="shared" si="24"/>
        <v/>
      </c>
      <c r="K519" s="1">
        <f t="shared" si="26"/>
        <v>0</v>
      </c>
    </row>
    <row r="520" spans="4:11" ht="18" customHeight="1">
      <c r="D520" s="6" t="s">
        <v>77</v>
      </c>
      <c r="E520" s="7"/>
      <c r="F520" s="7"/>
      <c r="G520" s="17" t="s">
        <v>180</v>
      </c>
      <c r="H520" s="17">
        <v>4</v>
      </c>
      <c r="I520" s="1">
        <f t="shared" si="25"/>
        <v>-2</v>
      </c>
      <c r="J520" s="1">
        <f t="shared" si="24"/>
        <v>-0.12960848711851725</v>
      </c>
      <c r="K520" s="1">
        <f t="shared" si="26"/>
        <v>3.4983644114590819</v>
      </c>
    </row>
    <row r="521" spans="4:11" ht="15.75" thickBot="1">
      <c r="D521" s="8"/>
      <c r="E521" s="9" t="s">
        <v>18</v>
      </c>
      <c r="F521" s="9" t="s">
        <v>4</v>
      </c>
      <c r="G521" s="17" t="s">
        <v>178</v>
      </c>
      <c r="H521" s="17"/>
      <c r="I521" s="1" t="str">
        <f t="shared" si="25"/>
        <v/>
      </c>
      <c r="J521" s="1" t="str">
        <f t="shared" si="24"/>
        <v/>
      </c>
      <c r="K521" s="1">
        <f t="shared" si="26"/>
        <v>0</v>
      </c>
    </row>
    <row r="522" spans="4:11" ht="15" customHeight="1">
      <c r="D522" s="6" t="s">
        <v>78</v>
      </c>
      <c r="E522" s="7"/>
      <c r="F522" s="7"/>
      <c r="G522" s="17" t="s">
        <v>180</v>
      </c>
      <c r="H522" s="17">
        <v>0</v>
      </c>
      <c r="I522" s="1">
        <f t="shared" si="25"/>
        <v>2</v>
      </c>
      <c r="J522" s="1">
        <f t="shared" si="24"/>
        <v>0.33155100556044204</v>
      </c>
      <c r="K522" s="1">
        <f t="shared" si="26"/>
        <v>2.7837220470463722</v>
      </c>
    </row>
    <row r="523" spans="4:11" ht="15.75" thickBot="1">
      <c r="D523" s="8"/>
      <c r="E523" s="9" t="s">
        <v>33</v>
      </c>
      <c r="F523" s="9" t="s">
        <v>28</v>
      </c>
      <c r="G523" s="17" t="s">
        <v>178</v>
      </c>
      <c r="H523" s="17"/>
      <c r="I523" s="1" t="str">
        <f t="shared" si="25"/>
        <v/>
      </c>
      <c r="J523" s="1" t="str">
        <f t="shared" si="24"/>
        <v/>
      </c>
      <c r="K523" s="1">
        <f t="shared" si="26"/>
        <v>0</v>
      </c>
    </row>
    <row r="524" spans="4:11" ht="15" customHeight="1">
      <c r="D524" s="6" t="s">
        <v>78</v>
      </c>
      <c r="E524" s="7"/>
      <c r="F524" s="7"/>
      <c r="G524" s="17" t="s">
        <v>182</v>
      </c>
      <c r="H524" s="17">
        <v>4</v>
      </c>
      <c r="I524" s="1">
        <f t="shared" si="25"/>
        <v>-1</v>
      </c>
      <c r="J524" s="1">
        <f t="shared" si="24"/>
        <v>-0.21858317550223205</v>
      </c>
      <c r="K524" s="1">
        <f t="shared" si="26"/>
        <v>0.6106122536081755</v>
      </c>
    </row>
    <row r="525" spans="4:11" ht="15.75" thickBot="1">
      <c r="D525" s="8"/>
      <c r="E525" s="9" t="s">
        <v>25</v>
      </c>
      <c r="F525" s="9" t="s">
        <v>23</v>
      </c>
      <c r="G525" s="17" t="s">
        <v>178</v>
      </c>
      <c r="H525" s="17"/>
      <c r="I525" s="1" t="str">
        <f t="shared" si="25"/>
        <v/>
      </c>
      <c r="J525" s="1" t="str">
        <f t="shared" si="24"/>
        <v/>
      </c>
      <c r="K525" s="1">
        <f t="shared" si="26"/>
        <v>0</v>
      </c>
    </row>
    <row r="526" spans="4:11" ht="18" customHeight="1">
      <c r="D526" s="6" t="s">
        <v>78</v>
      </c>
      <c r="E526" s="7"/>
      <c r="F526" s="7"/>
      <c r="G526" s="17" t="s">
        <v>184</v>
      </c>
      <c r="H526" s="17">
        <v>1</v>
      </c>
      <c r="I526" s="1">
        <f t="shared" si="25"/>
        <v>3</v>
      </c>
      <c r="J526" s="1">
        <f t="shared" si="24"/>
        <v>0.21943248208037858</v>
      </c>
      <c r="K526" s="1">
        <f t="shared" si="26"/>
        <v>7.7315557217096842</v>
      </c>
    </row>
    <row r="527" spans="4:11" ht="15.75" thickBot="1">
      <c r="D527" s="8"/>
      <c r="E527" s="9" t="s">
        <v>443</v>
      </c>
      <c r="F527" s="9" t="s">
        <v>13</v>
      </c>
      <c r="G527" s="17" t="s">
        <v>178</v>
      </c>
      <c r="H527" s="17"/>
      <c r="I527" s="1" t="str">
        <f t="shared" si="25"/>
        <v/>
      </c>
      <c r="J527" s="1" t="str">
        <f t="shared" si="24"/>
        <v/>
      </c>
      <c r="K527" s="1">
        <f t="shared" si="26"/>
        <v>0</v>
      </c>
    </row>
    <row r="528" spans="4:11" ht="15" customHeight="1">
      <c r="D528" s="6" t="s">
        <v>78</v>
      </c>
      <c r="E528" s="7"/>
      <c r="F528" s="7"/>
      <c r="G528" s="17" t="s">
        <v>180</v>
      </c>
      <c r="H528" s="17">
        <v>6</v>
      </c>
      <c r="I528" s="1">
        <f t="shared" si="25"/>
        <v>-4</v>
      </c>
      <c r="J528" s="1">
        <f t="shared" si="24"/>
        <v>-0.6204359672454558</v>
      </c>
      <c r="K528" s="1">
        <f t="shared" si="26"/>
        <v>11.421453051488157</v>
      </c>
    </row>
    <row r="529" spans="4:11" ht="15.75" thickBot="1">
      <c r="D529" s="8"/>
      <c r="E529" s="9" t="s">
        <v>21</v>
      </c>
      <c r="F529" s="9" t="s">
        <v>20</v>
      </c>
      <c r="G529" s="17" t="s">
        <v>178</v>
      </c>
      <c r="H529" s="17"/>
      <c r="I529" s="1" t="str">
        <f t="shared" si="25"/>
        <v/>
      </c>
      <c r="J529" s="1" t="str">
        <f t="shared" si="24"/>
        <v/>
      </c>
      <c r="K529" s="1">
        <f t="shared" si="26"/>
        <v>0</v>
      </c>
    </row>
    <row r="530" spans="4:11" ht="18" customHeight="1">
      <c r="D530" s="6" t="s">
        <v>78</v>
      </c>
      <c r="E530" s="7"/>
      <c r="F530" s="7"/>
      <c r="G530" s="17" t="s">
        <v>183</v>
      </c>
      <c r="H530" s="17">
        <v>2</v>
      </c>
      <c r="I530" s="1">
        <f t="shared" si="25"/>
        <v>4</v>
      </c>
      <c r="J530" s="1">
        <f t="shared" si="24"/>
        <v>0.2613827131592501</v>
      </c>
      <c r="K530" s="1">
        <f t="shared" si="26"/>
        <v>13.977259217464489</v>
      </c>
    </row>
    <row r="531" spans="4:11" ht="15.75" thickBot="1">
      <c r="D531" s="8"/>
      <c r="E531" s="9" t="s">
        <v>14</v>
      </c>
      <c r="F531" s="9" t="s">
        <v>10</v>
      </c>
      <c r="G531" s="17" t="s">
        <v>178</v>
      </c>
      <c r="H531" s="17"/>
      <c r="I531" s="1" t="str">
        <f t="shared" si="25"/>
        <v/>
      </c>
      <c r="J531" s="1" t="str">
        <f t="shared" si="24"/>
        <v/>
      </c>
      <c r="K531" s="1">
        <f t="shared" si="26"/>
        <v>0</v>
      </c>
    </row>
    <row r="532" spans="4:11" ht="15" customHeight="1">
      <c r="D532" s="6" t="s">
        <v>78</v>
      </c>
      <c r="E532" s="7"/>
      <c r="F532" s="7"/>
      <c r="G532" s="17" t="s">
        <v>180</v>
      </c>
      <c r="H532" s="17">
        <v>1</v>
      </c>
      <c r="I532" s="1">
        <f t="shared" si="25"/>
        <v>1</v>
      </c>
      <c r="J532" s="1">
        <f t="shared" si="24"/>
        <v>0.35940254426644458</v>
      </c>
      <c r="K532" s="1">
        <f t="shared" si="26"/>
        <v>0.4103651002923045</v>
      </c>
    </row>
    <row r="533" spans="4:11" ht="15.75" thickBot="1">
      <c r="D533" s="8"/>
      <c r="E533" s="9" t="s">
        <v>26</v>
      </c>
      <c r="F533" s="9" t="s">
        <v>24</v>
      </c>
      <c r="G533" s="17" t="s">
        <v>178</v>
      </c>
      <c r="H533" s="17"/>
      <c r="I533" s="1" t="str">
        <f t="shared" si="25"/>
        <v/>
      </c>
      <c r="J533" s="1" t="str">
        <f t="shared" si="24"/>
        <v/>
      </c>
      <c r="K533" s="1">
        <f t="shared" si="26"/>
        <v>0</v>
      </c>
    </row>
    <row r="534" spans="4:11" ht="15" customHeight="1">
      <c r="D534" s="6" t="s">
        <v>79</v>
      </c>
      <c r="E534" s="7"/>
      <c r="F534" s="7"/>
      <c r="G534" s="17" t="s">
        <v>185</v>
      </c>
      <c r="H534" s="17">
        <v>1</v>
      </c>
      <c r="I534" s="1">
        <f t="shared" si="25"/>
        <v>4</v>
      </c>
      <c r="J534" s="1">
        <f t="shared" si="24"/>
        <v>1.0964853179160627E-3</v>
      </c>
      <c r="K534" s="1">
        <f t="shared" si="26"/>
        <v>15.991229319736725</v>
      </c>
    </row>
    <row r="535" spans="4:11" ht="15.75" thickBot="1">
      <c r="D535" s="8"/>
      <c r="E535" s="9" t="s">
        <v>37</v>
      </c>
      <c r="F535" s="9" t="s">
        <v>38</v>
      </c>
      <c r="G535" s="17" t="s">
        <v>178</v>
      </c>
      <c r="H535" s="17"/>
      <c r="I535" s="1" t="str">
        <f t="shared" si="25"/>
        <v/>
      </c>
      <c r="J535" s="1" t="str">
        <f t="shared" si="24"/>
        <v/>
      </c>
      <c r="K535" s="1">
        <f t="shared" si="26"/>
        <v>0</v>
      </c>
    </row>
    <row r="536" spans="4:11" ht="18" customHeight="1">
      <c r="D536" s="6" t="s">
        <v>80</v>
      </c>
      <c r="E536" s="7"/>
      <c r="F536" s="7"/>
      <c r="G536" s="17" t="s">
        <v>179</v>
      </c>
      <c r="H536" s="17">
        <v>2</v>
      </c>
      <c r="I536" s="1">
        <f t="shared" si="25"/>
        <v>-2</v>
      </c>
      <c r="J536" s="1">
        <f t="shared" si="24"/>
        <v>0.45146450972227115</v>
      </c>
      <c r="K536" s="1">
        <f t="shared" si="26"/>
        <v>6.0096782424278556</v>
      </c>
    </row>
    <row r="537" spans="4:11" ht="15.75" thickBot="1">
      <c r="D537" s="8"/>
      <c r="E537" s="9" t="s">
        <v>39</v>
      </c>
      <c r="F537" s="9" t="s">
        <v>2</v>
      </c>
      <c r="G537" s="17" t="s">
        <v>178</v>
      </c>
      <c r="H537" s="17"/>
      <c r="I537" s="1" t="str">
        <f t="shared" si="25"/>
        <v/>
      </c>
      <c r="J537" s="1" t="str">
        <f t="shared" si="24"/>
        <v/>
      </c>
      <c r="K537" s="1">
        <f t="shared" si="26"/>
        <v>0</v>
      </c>
    </row>
    <row r="538" spans="4:11" ht="15" customHeight="1">
      <c r="D538" s="6" t="s">
        <v>80</v>
      </c>
      <c r="E538" s="7"/>
      <c r="F538" s="7"/>
      <c r="G538" s="17" t="s">
        <v>180</v>
      </c>
      <c r="H538" s="17">
        <v>5</v>
      </c>
      <c r="I538" s="1">
        <f t="shared" si="25"/>
        <v>-3</v>
      </c>
      <c r="J538" s="1">
        <f t="shared" si="24"/>
        <v>1.0964853179160627E-3</v>
      </c>
      <c r="K538" s="1">
        <f t="shared" si="26"/>
        <v>9.0065801141875497</v>
      </c>
    </row>
    <row r="539" spans="4:11" ht="15.75" thickBot="1">
      <c r="D539" s="8"/>
      <c r="E539" s="9" t="s">
        <v>37</v>
      </c>
      <c r="F539" s="9" t="s">
        <v>41</v>
      </c>
      <c r="G539" s="17" t="s">
        <v>178</v>
      </c>
      <c r="H539" s="17"/>
      <c r="I539" s="1" t="str">
        <f t="shared" si="25"/>
        <v/>
      </c>
      <c r="J539" s="1" t="str">
        <f t="shared" si="24"/>
        <v/>
      </c>
      <c r="K539" s="1">
        <f t="shared" si="26"/>
        <v>0</v>
      </c>
    </row>
    <row r="540" spans="4:11" ht="15" customHeight="1">
      <c r="D540" s="6" t="s">
        <v>80</v>
      </c>
      <c r="E540" s="7"/>
      <c r="F540" s="7"/>
      <c r="G540" s="17" t="s">
        <v>185</v>
      </c>
      <c r="H540" s="17">
        <v>0</v>
      </c>
      <c r="I540" s="1">
        <f t="shared" si="25"/>
        <v>5</v>
      </c>
      <c r="J540" s="1">
        <f t="shared" si="24"/>
        <v>0.4179353352521531</v>
      </c>
      <c r="K540" s="1">
        <f t="shared" si="26"/>
        <v>20.995316591930798</v>
      </c>
    </row>
    <row r="541" spans="4:11" ht="15.75" thickBot="1">
      <c r="D541" s="8"/>
      <c r="E541" s="9" t="s">
        <v>13</v>
      </c>
      <c r="F541" s="9" t="s">
        <v>7</v>
      </c>
      <c r="G541" s="17" t="s">
        <v>178</v>
      </c>
      <c r="H541" s="17"/>
      <c r="I541" s="1" t="str">
        <f t="shared" si="25"/>
        <v/>
      </c>
      <c r="J541" s="1" t="str">
        <f t="shared" si="24"/>
        <v/>
      </c>
      <c r="K541" s="1">
        <f t="shared" si="26"/>
        <v>0</v>
      </c>
    </row>
    <row r="542" spans="4:11" ht="18" customHeight="1">
      <c r="D542" s="6" t="s">
        <v>80</v>
      </c>
      <c r="E542" s="7"/>
      <c r="F542" s="7"/>
      <c r="G542" s="17" t="s">
        <v>181</v>
      </c>
      <c r="H542" s="17">
        <v>4</v>
      </c>
      <c r="I542" s="1">
        <f t="shared" si="25"/>
        <v>-3</v>
      </c>
      <c r="J542" s="1">
        <f t="shared" si="24"/>
        <v>1.31263167014977</v>
      </c>
      <c r="K542" s="1">
        <f t="shared" si="26"/>
        <v>18.598791922378794</v>
      </c>
    </row>
    <row r="543" spans="4:11" ht="15.75" thickBot="1">
      <c r="D543" s="8"/>
      <c r="E543" s="9" t="s">
        <v>33</v>
      </c>
      <c r="F543" s="9" t="s">
        <v>8</v>
      </c>
      <c r="G543" s="17" t="s">
        <v>178</v>
      </c>
      <c r="H543" s="17"/>
      <c r="I543" s="1" t="str">
        <f t="shared" si="25"/>
        <v/>
      </c>
      <c r="J543" s="1" t="str">
        <f t="shared" si="24"/>
        <v/>
      </c>
      <c r="K543" s="1">
        <f t="shared" si="26"/>
        <v>0</v>
      </c>
    </row>
    <row r="544" spans="4:11" ht="18" customHeight="1">
      <c r="D544" s="6" t="s">
        <v>80</v>
      </c>
      <c r="E544" s="7"/>
      <c r="F544" s="7"/>
      <c r="G544" s="17" t="s">
        <v>187</v>
      </c>
      <c r="H544" s="17">
        <v>2</v>
      </c>
      <c r="I544" s="1">
        <f t="shared" si="25"/>
        <v>7</v>
      </c>
      <c r="J544" s="1">
        <f t="shared" si="24"/>
        <v>0.9622151466848976</v>
      </c>
      <c r="K544" s="1">
        <f t="shared" si="26"/>
        <v>36.454845934921273</v>
      </c>
    </row>
    <row r="545" spans="4:11" ht="15.75" thickBot="1">
      <c r="D545" s="8"/>
      <c r="E545" s="9" t="s">
        <v>19</v>
      </c>
      <c r="F545" s="9" t="s">
        <v>0</v>
      </c>
      <c r="G545" s="17" t="s">
        <v>178</v>
      </c>
      <c r="H545" s="17"/>
      <c r="I545" s="1" t="str">
        <f t="shared" si="25"/>
        <v/>
      </c>
      <c r="J545" s="1" t="str">
        <f t="shared" si="24"/>
        <v/>
      </c>
      <c r="K545" s="1">
        <f t="shared" si="26"/>
        <v>0</v>
      </c>
    </row>
    <row r="546" spans="4:11" ht="15" customHeight="1">
      <c r="D546" s="6" t="s">
        <v>80</v>
      </c>
      <c r="E546" s="7"/>
      <c r="F546" s="7"/>
      <c r="G546" s="17" t="s">
        <v>184</v>
      </c>
      <c r="H546" s="17">
        <v>0</v>
      </c>
      <c r="I546" s="1">
        <f t="shared" si="25"/>
        <v>4</v>
      </c>
      <c r="J546" s="1">
        <f t="shared" si="24"/>
        <v>-6.8541062034555011E-2</v>
      </c>
      <c r="K546" s="1">
        <f t="shared" si="26"/>
        <v>16.553026373461265</v>
      </c>
    </row>
    <row r="547" spans="4:11" ht="15.75" thickBot="1">
      <c r="D547" s="8"/>
      <c r="E547" s="9" t="s">
        <v>11</v>
      </c>
      <c r="F547" s="9" t="s">
        <v>443</v>
      </c>
      <c r="G547" s="17" t="s">
        <v>178</v>
      </c>
      <c r="H547" s="17"/>
      <c r="I547" s="1" t="str">
        <f t="shared" si="25"/>
        <v/>
      </c>
      <c r="J547" s="1" t="str">
        <f t="shared" si="24"/>
        <v/>
      </c>
      <c r="K547" s="1">
        <f t="shared" si="26"/>
        <v>0</v>
      </c>
    </row>
    <row r="548" spans="4:11" ht="15" customHeight="1">
      <c r="D548" s="6" t="s">
        <v>80</v>
      </c>
      <c r="E548" s="7"/>
      <c r="F548" s="7"/>
      <c r="G548" s="17" t="s">
        <v>181</v>
      </c>
      <c r="H548" s="17">
        <v>3</v>
      </c>
      <c r="I548" s="1">
        <f t="shared" si="25"/>
        <v>-2</v>
      </c>
      <c r="J548" s="1">
        <f t="shared" si="24"/>
        <v>-0.55432163302795345</v>
      </c>
      <c r="K548" s="1">
        <f t="shared" si="26"/>
        <v>2.0899859407309633</v>
      </c>
    </row>
    <row r="549" spans="4:11" ht="15.75" thickBot="1">
      <c r="D549" s="8"/>
      <c r="E549" s="9" t="s">
        <v>36</v>
      </c>
      <c r="F549" s="9" t="s">
        <v>25</v>
      </c>
      <c r="G549" s="17" t="s">
        <v>178</v>
      </c>
      <c r="H549" s="17"/>
      <c r="I549" s="1" t="str">
        <f t="shared" si="25"/>
        <v/>
      </c>
      <c r="J549" s="1" t="str">
        <f t="shared" si="24"/>
        <v/>
      </c>
      <c r="K549" s="1">
        <f t="shared" si="26"/>
        <v>0</v>
      </c>
    </row>
    <row r="550" spans="4:11" ht="18" customHeight="1">
      <c r="D550" s="6" t="s">
        <v>80</v>
      </c>
      <c r="E550" s="7"/>
      <c r="F550" s="7"/>
      <c r="G550" s="17" t="s">
        <v>183</v>
      </c>
      <c r="H550" s="17">
        <v>4</v>
      </c>
      <c r="I550" s="1">
        <f t="shared" si="25"/>
        <v>2</v>
      </c>
      <c r="J550" s="1">
        <f t="shared" si="24"/>
        <v>-0.29413113855055428</v>
      </c>
      <c r="K550" s="1">
        <f t="shared" si="26"/>
        <v>5.2630376808672628</v>
      </c>
    </row>
    <row r="551" spans="4:11" ht="15.75" thickBot="1">
      <c r="D551" s="8"/>
      <c r="E551" s="9" t="s">
        <v>28</v>
      </c>
      <c r="F551" s="9" t="s">
        <v>21</v>
      </c>
      <c r="G551" s="17" t="s">
        <v>178</v>
      </c>
      <c r="H551" s="17"/>
      <c r="I551" s="1" t="str">
        <f t="shared" si="25"/>
        <v/>
      </c>
      <c r="J551" s="1" t="str">
        <f t="shared" si="24"/>
        <v/>
      </c>
      <c r="K551" s="1">
        <f t="shared" si="26"/>
        <v>0</v>
      </c>
    </row>
    <row r="552" spans="4:11" ht="18" customHeight="1">
      <c r="D552" s="6" t="s">
        <v>80</v>
      </c>
      <c r="E552" s="7"/>
      <c r="F552" s="7"/>
      <c r="G552" s="17" t="s">
        <v>182</v>
      </c>
      <c r="H552" s="17">
        <v>4</v>
      </c>
      <c r="I552" s="1">
        <f t="shared" si="25"/>
        <v>-1</v>
      </c>
      <c r="J552" s="1">
        <f t="shared" si="24"/>
        <v>-0.80982891348897112</v>
      </c>
      <c r="K552" s="1">
        <f t="shared" si="26"/>
        <v>3.6165042144785227E-2</v>
      </c>
    </row>
    <row r="553" spans="4:11" ht="15.75" thickBot="1">
      <c r="D553" s="8"/>
      <c r="E553" s="9" t="s">
        <v>10</v>
      </c>
      <c r="F553" s="9" t="s">
        <v>4</v>
      </c>
      <c r="G553" s="17" t="s">
        <v>178</v>
      </c>
      <c r="H553" s="17"/>
      <c r="I553" s="1" t="str">
        <f t="shared" si="25"/>
        <v/>
      </c>
      <c r="J553" s="1" t="str">
        <f t="shared" si="24"/>
        <v/>
      </c>
      <c r="K553" s="1">
        <f t="shared" si="26"/>
        <v>0</v>
      </c>
    </row>
    <row r="554" spans="4:11" ht="15" customHeight="1">
      <c r="D554" s="6" t="s">
        <v>80</v>
      </c>
      <c r="E554" s="7"/>
      <c r="F554" s="7"/>
      <c r="G554" s="17" t="s">
        <v>180</v>
      </c>
      <c r="H554" s="17">
        <v>1</v>
      </c>
      <c r="I554" s="1">
        <f t="shared" si="25"/>
        <v>1</v>
      </c>
      <c r="J554" s="1">
        <f t="shared" si="24"/>
        <v>0.961798342323263</v>
      </c>
      <c r="K554" s="1">
        <f t="shared" si="26"/>
        <v>1.4593666492505989E-3</v>
      </c>
    </row>
    <row r="555" spans="4:11" ht="15.75" thickBot="1">
      <c r="D555" s="8"/>
      <c r="E555" s="9" t="s">
        <v>12</v>
      </c>
      <c r="F555" s="9" t="s">
        <v>26</v>
      </c>
      <c r="G555" s="17" t="s">
        <v>178</v>
      </c>
      <c r="H555" s="17"/>
      <c r="I555" s="1" t="str">
        <f t="shared" si="25"/>
        <v/>
      </c>
      <c r="J555" s="1" t="str">
        <f t="shared" si="24"/>
        <v/>
      </c>
      <c r="K555" s="1">
        <f t="shared" si="26"/>
        <v>0</v>
      </c>
    </row>
    <row r="556" spans="4:11" ht="15" customHeight="1">
      <c r="D556" s="6" t="s">
        <v>80</v>
      </c>
      <c r="E556" s="7"/>
      <c r="F556" s="7"/>
      <c r="G556" s="17" t="s">
        <v>180</v>
      </c>
      <c r="H556" s="17">
        <v>5</v>
      </c>
      <c r="I556" s="1">
        <f t="shared" si="25"/>
        <v>-3</v>
      </c>
      <c r="J556" s="1">
        <f t="shared" si="24"/>
        <v>-0.36121359715798462</v>
      </c>
      <c r="K556" s="1">
        <f t="shared" si="26"/>
        <v>6.9631936798239034</v>
      </c>
    </row>
    <row r="557" spans="4:11" ht="15.75" thickBot="1">
      <c r="D557" s="8"/>
      <c r="E557" s="9" t="s">
        <v>14</v>
      </c>
      <c r="F557" s="9" t="s">
        <v>34</v>
      </c>
      <c r="G557" s="17" t="s">
        <v>178</v>
      </c>
      <c r="H557" s="17"/>
      <c r="I557" s="1" t="str">
        <f t="shared" si="25"/>
        <v/>
      </c>
      <c r="J557" s="1" t="str">
        <f t="shared" si="24"/>
        <v/>
      </c>
      <c r="K557" s="1">
        <f t="shared" si="26"/>
        <v>0</v>
      </c>
    </row>
    <row r="558" spans="4:11" ht="15" customHeight="1">
      <c r="D558" s="6" t="s">
        <v>81</v>
      </c>
      <c r="E558" s="7"/>
      <c r="F558" s="7"/>
      <c r="G558" s="17" t="s">
        <v>179</v>
      </c>
      <c r="H558" s="17">
        <v>2</v>
      </c>
      <c r="I558" s="1">
        <f t="shared" si="25"/>
        <v>-2</v>
      </c>
      <c r="J558" s="1">
        <f t="shared" si="24"/>
        <v>-0.81192185336091427</v>
      </c>
      <c r="K558" s="1">
        <f t="shared" si="26"/>
        <v>1.4115296825213648</v>
      </c>
    </row>
    <row r="559" spans="4:11" ht="15.75" thickBot="1">
      <c r="D559" s="8"/>
      <c r="E559" s="9" t="s">
        <v>1</v>
      </c>
      <c r="F559" s="9" t="s">
        <v>38</v>
      </c>
      <c r="G559" s="17" t="s">
        <v>178</v>
      </c>
      <c r="H559" s="17"/>
      <c r="I559" s="1" t="str">
        <f t="shared" si="25"/>
        <v/>
      </c>
      <c r="J559" s="1" t="str">
        <f t="shared" si="24"/>
        <v/>
      </c>
      <c r="K559" s="1">
        <f t="shared" si="26"/>
        <v>0</v>
      </c>
    </row>
    <row r="560" spans="4:11" ht="15" customHeight="1">
      <c r="D560" s="6" t="s">
        <v>81</v>
      </c>
      <c r="E560" s="7"/>
      <c r="F560" s="7"/>
      <c r="G560" s="17" t="s">
        <v>185</v>
      </c>
      <c r="H560" s="17">
        <v>4</v>
      </c>
      <c r="I560" s="1">
        <f t="shared" si="25"/>
        <v>1</v>
      </c>
      <c r="J560" s="1">
        <f t="shared" si="24"/>
        <v>1.0576985098204545</v>
      </c>
      <c r="K560" s="1">
        <f t="shared" si="26"/>
        <v>3.3291180355010897E-3</v>
      </c>
    </row>
    <row r="561" spans="4:11" ht="15.75" thickBot="1">
      <c r="D561" s="8"/>
      <c r="E561" s="9" t="s">
        <v>3</v>
      </c>
      <c r="F561" s="9" t="s">
        <v>24</v>
      </c>
      <c r="G561" s="17" t="s">
        <v>178</v>
      </c>
      <c r="H561" s="17"/>
      <c r="I561" s="1" t="str">
        <f t="shared" si="25"/>
        <v/>
      </c>
      <c r="J561" s="1" t="str">
        <f t="shared" si="24"/>
        <v/>
      </c>
      <c r="K561" s="1">
        <f t="shared" si="26"/>
        <v>0</v>
      </c>
    </row>
    <row r="562" spans="4:11" ht="15" customHeight="1">
      <c r="D562" s="6" t="s">
        <v>82</v>
      </c>
      <c r="E562" s="7"/>
      <c r="F562" s="7"/>
      <c r="G562" s="17" t="s">
        <v>182</v>
      </c>
      <c r="H562" s="17">
        <v>2</v>
      </c>
      <c r="I562" s="1">
        <f t="shared" si="25"/>
        <v>1</v>
      </c>
      <c r="J562" s="1">
        <f t="shared" si="24"/>
        <v>0.69295413690083763</v>
      </c>
      <c r="K562" s="1">
        <f t="shared" si="26"/>
        <v>9.4277162046309565E-2</v>
      </c>
    </row>
    <row r="563" spans="4:11" ht="30.75" thickBot="1">
      <c r="D563" s="8"/>
      <c r="E563" s="9" t="s">
        <v>23</v>
      </c>
      <c r="F563" s="9" t="s">
        <v>1</v>
      </c>
      <c r="G563" s="17" t="s">
        <v>178</v>
      </c>
      <c r="H563" s="17"/>
      <c r="I563" s="1" t="str">
        <f t="shared" si="25"/>
        <v/>
      </c>
      <c r="J563" s="1" t="str">
        <f t="shared" si="24"/>
        <v/>
      </c>
      <c r="K563" s="1">
        <f t="shared" si="26"/>
        <v>0</v>
      </c>
    </row>
    <row r="564" spans="4:11" ht="15" customHeight="1">
      <c r="D564" s="6" t="s">
        <v>82</v>
      </c>
      <c r="E564" s="7"/>
      <c r="F564" s="7"/>
      <c r="G564" s="17" t="s">
        <v>180</v>
      </c>
      <c r="H564" s="17">
        <v>5</v>
      </c>
      <c r="I564" s="1">
        <f t="shared" si="25"/>
        <v>-3</v>
      </c>
      <c r="J564" s="1">
        <f t="shared" si="24"/>
        <v>1.0916372467189461</v>
      </c>
      <c r="K564" s="1">
        <f t="shared" si="26"/>
        <v>16.741495358737797</v>
      </c>
    </row>
    <row r="565" spans="4:11" ht="15.75" thickBot="1">
      <c r="D565" s="8"/>
      <c r="E565" s="9" t="s">
        <v>37</v>
      </c>
      <c r="F565" s="9" t="s">
        <v>0</v>
      </c>
      <c r="G565" s="17" t="s">
        <v>178</v>
      </c>
      <c r="H565" s="17"/>
      <c r="I565" s="1" t="str">
        <f t="shared" si="25"/>
        <v/>
      </c>
      <c r="J565" s="1" t="str">
        <f t="shared" si="24"/>
        <v/>
      </c>
      <c r="K565" s="1">
        <f t="shared" si="26"/>
        <v>0</v>
      </c>
    </row>
    <row r="566" spans="4:11" ht="15" customHeight="1">
      <c r="D566" s="6" t="s">
        <v>82</v>
      </c>
      <c r="E566" s="7"/>
      <c r="F566" s="7"/>
      <c r="G566" s="17" t="s">
        <v>181</v>
      </c>
      <c r="H566" s="17">
        <v>4</v>
      </c>
      <c r="I566" s="1">
        <f t="shared" si="25"/>
        <v>-3</v>
      </c>
      <c r="J566" s="1">
        <f t="shared" si="24"/>
        <v>0.1680509242661401</v>
      </c>
      <c r="K566" s="1">
        <f t="shared" si="26"/>
        <v>10.036546658743545</v>
      </c>
    </row>
    <row r="567" spans="4:11" ht="15.75" thickBot="1">
      <c r="D567" s="8"/>
      <c r="E567" s="9" t="s">
        <v>39</v>
      </c>
      <c r="F567" s="9" t="s">
        <v>443</v>
      </c>
      <c r="G567" s="17" t="s">
        <v>178</v>
      </c>
      <c r="H567" s="17"/>
      <c r="I567" s="1" t="str">
        <f t="shared" si="25"/>
        <v/>
      </c>
      <c r="J567" s="1" t="str">
        <f t="shared" si="24"/>
        <v/>
      </c>
      <c r="K567" s="1">
        <f t="shared" si="26"/>
        <v>0</v>
      </c>
    </row>
    <row r="568" spans="4:11" ht="18" customHeight="1">
      <c r="D568" s="6" t="s">
        <v>82</v>
      </c>
      <c r="E568" s="7"/>
      <c r="F568" s="7"/>
      <c r="G568" s="17" t="s">
        <v>180</v>
      </c>
      <c r="H568" s="17">
        <v>3</v>
      </c>
      <c r="I568" s="1">
        <f t="shared" si="25"/>
        <v>-1</v>
      </c>
      <c r="J568" s="1">
        <f t="shared" si="24"/>
        <v>0.25439054357805446</v>
      </c>
      <c r="K568" s="1">
        <f t="shared" si="26"/>
        <v>1.573495635818047</v>
      </c>
    </row>
    <row r="569" spans="4:11" ht="15.75" thickBot="1">
      <c r="D569" s="8"/>
      <c r="E569" s="9" t="s">
        <v>19</v>
      </c>
      <c r="F569" s="9" t="s">
        <v>18</v>
      </c>
      <c r="G569" s="17" t="s">
        <v>178</v>
      </c>
      <c r="H569" s="17"/>
      <c r="I569" s="1" t="str">
        <f t="shared" si="25"/>
        <v/>
      </c>
      <c r="J569" s="1" t="str">
        <f t="shared" si="24"/>
        <v/>
      </c>
      <c r="K569" s="1">
        <f t="shared" si="26"/>
        <v>0</v>
      </c>
    </row>
    <row r="570" spans="4:11" ht="15" customHeight="1">
      <c r="D570" s="6" t="s">
        <v>82</v>
      </c>
      <c r="E570" s="7"/>
      <c r="F570" s="7"/>
      <c r="G570" s="17" t="s">
        <v>184</v>
      </c>
      <c r="H570" s="17">
        <v>3</v>
      </c>
      <c r="I570" s="1">
        <f t="shared" si="25"/>
        <v>1</v>
      </c>
      <c r="J570" s="1">
        <f t="shared" si="24"/>
        <v>-7.7128749417369136E-2</v>
      </c>
      <c r="K570" s="1">
        <f t="shared" si="26"/>
        <v>1.1602063428214255</v>
      </c>
    </row>
    <row r="571" spans="4:11" ht="15.75" thickBot="1">
      <c r="D571" s="8"/>
      <c r="E571" s="9" t="s">
        <v>13</v>
      </c>
      <c r="F571" s="9" t="s">
        <v>25</v>
      </c>
      <c r="G571" s="17" t="s">
        <v>178</v>
      </c>
      <c r="H571" s="17"/>
      <c r="I571" s="1" t="str">
        <f t="shared" si="25"/>
        <v/>
      </c>
      <c r="J571" s="1" t="str">
        <f t="shared" si="24"/>
        <v/>
      </c>
      <c r="K571" s="1">
        <f t="shared" si="26"/>
        <v>0</v>
      </c>
    </row>
    <row r="572" spans="4:11" ht="18" customHeight="1">
      <c r="D572" s="6" t="s">
        <v>82</v>
      </c>
      <c r="E572" s="7"/>
      <c r="F572" s="7"/>
      <c r="G572" s="17" t="s">
        <v>181</v>
      </c>
      <c r="H572" s="17">
        <v>3</v>
      </c>
      <c r="I572" s="1">
        <f t="shared" si="25"/>
        <v>-2</v>
      </c>
      <c r="J572" s="1">
        <f t="shared" si="24"/>
        <v>-0.44947490874443474</v>
      </c>
      <c r="K572" s="1">
        <f t="shared" si="26"/>
        <v>2.4041280586130789</v>
      </c>
    </row>
    <row r="573" spans="4:11" ht="15.75" thickBot="1">
      <c r="D573" s="8"/>
      <c r="E573" s="9" t="s">
        <v>26</v>
      </c>
      <c r="F573" s="9" t="s">
        <v>21</v>
      </c>
      <c r="G573" s="17" t="s">
        <v>178</v>
      </c>
      <c r="H573" s="17"/>
      <c r="I573" s="1" t="str">
        <f t="shared" si="25"/>
        <v/>
      </c>
      <c r="J573" s="1" t="str">
        <f t="shared" si="24"/>
        <v/>
      </c>
      <c r="K573" s="1">
        <f t="shared" si="26"/>
        <v>0</v>
      </c>
    </row>
    <row r="574" spans="4:11" ht="15" customHeight="1">
      <c r="D574" s="6" t="s">
        <v>82</v>
      </c>
      <c r="E574" s="7"/>
      <c r="F574" s="7"/>
      <c r="G574" s="17" t="s">
        <v>182</v>
      </c>
      <c r="H574" s="17">
        <v>2</v>
      </c>
      <c r="I574" s="1">
        <f t="shared" si="25"/>
        <v>1</v>
      </c>
      <c r="J574" s="1">
        <f t="shared" si="24"/>
        <v>0.47314186489906263</v>
      </c>
      <c r="K574" s="1">
        <f t="shared" si="26"/>
        <v>0.27757949452203756</v>
      </c>
    </row>
    <row r="575" spans="4:11" ht="15.75" thickBot="1">
      <c r="D575" s="8"/>
      <c r="E575" s="9" t="s">
        <v>12</v>
      </c>
      <c r="F575" s="9" t="s">
        <v>22</v>
      </c>
      <c r="G575" s="17" t="s">
        <v>178</v>
      </c>
      <c r="H575" s="17"/>
      <c r="I575" s="1" t="str">
        <f t="shared" si="25"/>
        <v/>
      </c>
      <c r="J575" s="1" t="str">
        <f t="shared" si="24"/>
        <v/>
      </c>
      <c r="K575" s="1">
        <f t="shared" si="26"/>
        <v>0</v>
      </c>
    </row>
    <row r="576" spans="4:11" ht="18" customHeight="1">
      <c r="D576" s="6" t="s">
        <v>82</v>
      </c>
      <c r="E576" s="7"/>
      <c r="F576" s="7"/>
      <c r="G576" s="17" t="s">
        <v>184</v>
      </c>
      <c r="H576" s="17">
        <v>3</v>
      </c>
      <c r="I576" s="1">
        <f t="shared" si="25"/>
        <v>1</v>
      </c>
      <c r="J576" s="1">
        <f t="shared" si="24"/>
        <v>0.26008196250091942</v>
      </c>
      <c r="K576" s="1">
        <f t="shared" si="26"/>
        <v>0.54747870221649086</v>
      </c>
    </row>
    <row r="577" spans="4:11" ht="15.75" thickBot="1">
      <c r="D577" s="8"/>
      <c r="E577" s="9" t="s">
        <v>20</v>
      </c>
      <c r="F577" s="9" t="s">
        <v>4</v>
      </c>
      <c r="G577" s="17" t="s">
        <v>178</v>
      </c>
      <c r="H577" s="17"/>
      <c r="I577" s="1" t="str">
        <f t="shared" si="25"/>
        <v/>
      </c>
      <c r="J577" s="1" t="str">
        <f t="shared" si="24"/>
        <v/>
      </c>
      <c r="K577" s="1">
        <f t="shared" si="26"/>
        <v>0</v>
      </c>
    </row>
    <row r="578" spans="4:11" ht="15" customHeight="1">
      <c r="D578" s="6" t="s">
        <v>82</v>
      </c>
      <c r="E578" s="7"/>
      <c r="F578" s="7"/>
      <c r="G578" s="17" t="s">
        <v>184</v>
      </c>
      <c r="H578" s="17">
        <v>3</v>
      </c>
      <c r="I578" s="1">
        <f t="shared" si="25"/>
        <v>1</v>
      </c>
      <c r="J578" s="1">
        <f t="shared" si="24"/>
        <v>-0.69829596555400997</v>
      </c>
      <c r="K578" s="1">
        <f t="shared" si="26"/>
        <v>2.884209186617027</v>
      </c>
    </row>
    <row r="579" spans="4:11" ht="15.75" thickBot="1">
      <c r="D579" s="8"/>
      <c r="E579" s="9" t="s">
        <v>10</v>
      </c>
      <c r="F579" s="9" t="s">
        <v>3</v>
      </c>
      <c r="G579" s="17" t="s">
        <v>178</v>
      </c>
      <c r="H579" s="17"/>
      <c r="I579" s="1" t="str">
        <f t="shared" si="25"/>
        <v/>
      </c>
      <c r="J579" s="1" t="str">
        <f t="shared" ref="J579:J642" si="27">IF(F580="","",VLOOKUP(F580,$A$2:$B$31,2)+$B$33-VLOOKUP(E580,$A$2:$B$31,2))</f>
        <v/>
      </c>
      <c r="K579" s="1">
        <f t="shared" si="26"/>
        <v>0</v>
      </c>
    </row>
    <row r="580" spans="4:11" ht="15" customHeight="1">
      <c r="D580" s="6" t="s">
        <v>82</v>
      </c>
      <c r="E580" s="7"/>
      <c r="F580" s="7"/>
      <c r="G580" s="17" t="s">
        <v>180</v>
      </c>
      <c r="H580" s="17">
        <v>3</v>
      </c>
      <c r="I580" s="1">
        <f t="shared" ref="I580:I643" si="28">IF(G580="","",G580-H580)</f>
        <v>-1</v>
      </c>
      <c r="J580" s="1">
        <f t="shared" si="27"/>
        <v>-0.46725254012335427</v>
      </c>
      <c r="K580" s="1">
        <f t="shared" ref="K580:K643" si="29">IF(J580="",0,(I580-J580)^2)</f>
        <v>0.28381985600501825</v>
      </c>
    </row>
    <row r="581" spans="4:11" ht="15.75" thickBot="1">
      <c r="D581" s="8"/>
      <c r="E581" s="9" t="s">
        <v>28</v>
      </c>
      <c r="F581" s="9" t="s">
        <v>34</v>
      </c>
      <c r="G581" s="17" t="s">
        <v>178</v>
      </c>
      <c r="H581" s="17"/>
      <c r="I581" s="1" t="str">
        <f t="shared" si="28"/>
        <v/>
      </c>
      <c r="J581" s="1" t="str">
        <f t="shared" si="27"/>
        <v/>
      </c>
      <c r="K581" s="1">
        <f t="shared" si="29"/>
        <v>0</v>
      </c>
    </row>
    <row r="582" spans="4:11" ht="18" customHeight="1">
      <c r="D582" s="6" t="s">
        <v>82</v>
      </c>
      <c r="E582" s="7"/>
      <c r="F582" s="7"/>
      <c r="G582" s="17" t="s">
        <v>182</v>
      </c>
      <c r="H582" s="17">
        <v>2</v>
      </c>
      <c r="I582" s="1">
        <f t="shared" si="28"/>
        <v>1</v>
      </c>
      <c r="J582" s="1">
        <f t="shared" si="27"/>
        <v>-0.22551206259507239</v>
      </c>
      <c r="K582" s="1">
        <f t="shared" si="29"/>
        <v>1.5018798155660287</v>
      </c>
    </row>
    <row r="583" spans="4:11" ht="15.75" thickBot="1">
      <c r="D583" s="8"/>
      <c r="E583" s="9" t="s">
        <v>14</v>
      </c>
      <c r="F583" s="9" t="s">
        <v>33</v>
      </c>
      <c r="G583" s="17" t="s">
        <v>178</v>
      </c>
      <c r="H583" s="17"/>
      <c r="I583" s="1" t="str">
        <f t="shared" si="28"/>
        <v/>
      </c>
      <c r="J583" s="1" t="str">
        <f t="shared" si="27"/>
        <v/>
      </c>
      <c r="K583" s="1">
        <f t="shared" si="29"/>
        <v>0</v>
      </c>
    </row>
    <row r="584" spans="4:11" ht="15" customHeight="1">
      <c r="D584" s="6" t="s">
        <v>83</v>
      </c>
      <c r="E584" s="7"/>
      <c r="F584" s="7"/>
      <c r="G584" s="17" t="s">
        <v>185</v>
      </c>
      <c r="H584" s="17">
        <v>4</v>
      </c>
      <c r="I584" s="1">
        <f t="shared" si="28"/>
        <v>1</v>
      </c>
      <c r="J584" s="1">
        <f t="shared" si="27"/>
        <v>0.26378822133385427</v>
      </c>
      <c r="K584" s="1">
        <f t="shared" si="29"/>
        <v>0.54200778304677</v>
      </c>
    </row>
    <row r="585" spans="4:11" ht="15.75" thickBot="1">
      <c r="D585" s="8"/>
      <c r="E585" s="9" t="s">
        <v>41</v>
      </c>
      <c r="F585" s="9" t="s">
        <v>11</v>
      </c>
      <c r="G585" s="17" t="s">
        <v>178</v>
      </c>
      <c r="H585" s="17"/>
      <c r="I585" s="1" t="str">
        <f t="shared" si="28"/>
        <v/>
      </c>
      <c r="J585" s="1" t="str">
        <f t="shared" si="27"/>
        <v/>
      </c>
      <c r="K585" s="1">
        <f t="shared" si="29"/>
        <v>0</v>
      </c>
    </row>
    <row r="586" spans="4:11" ht="15" customHeight="1">
      <c r="D586" s="6" t="s">
        <v>83</v>
      </c>
      <c r="E586" s="7"/>
      <c r="F586" s="7"/>
      <c r="G586" s="17" t="s">
        <v>184</v>
      </c>
      <c r="H586" s="17">
        <v>3</v>
      </c>
      <c r="I586" s="1">
        <f t="shared" si="28"/>
        <v>1</v>
      </c>
      <c r="J586" s="1">
        <f t="shared" si="27"/>
        <v>0.35395423187640063</v>
      </c>
      <c r="K586" s="1">
        <f t="shared" si="29"/>
        <v>0.41737513451041153</v>
      </c>
    </row>
    <row r="587" spans="4:11" ht="15.75" thickBot="1">
      <c r="D587" s="8"/>
      <c r="E587" s="9" t="s">
        <v>2</v>
      </c>
      <c r="F587" s="9" t="s">
        <v>7</v>
      </c>
      <c r="G587" s="17" t="s">
        <v>178</v>
      </c>
      <c r="H587" s="17"/>
      <c r="I587" s="1" t="str">
        <f t="shared" si="28"/>
        <v/>
      </c>
      <c r="J587" s="1" t="str">
        <f t="shared" si="27"/>
        <v/>
      </c>
      <c r="K587" s="1">
        <f t="shared" si="29"/>
        <v>0</v>
      </c>
    </row>
    <row r="588" spans="4:11" ht="15" customHeight="1">
      <c r="D588" s="6" t="s">
        <v>83</v>
      </c>
      <c r="E588" s="7"/>
      <c r="F588" s="7"/>
      <c r="G588" s="17" t="s">
        <v>180</v>
      </c>
      <c r="H588" s="17">
        <v>0</v>
      </c>
      <c r="I588" s="1">
        <f t="shared" si="28"/>
        <v>2</v>
      </c>
      <c r="J588" s="1">
        <f t="shared" si="27"/>
        <v>0.53046660394082323</v>
      </c>
      <c r="K588" s="1">
        <f t="shared" si="29"/>
        <v>2.1595284021332173</v>
      </c>
    </row>
    <row r="589" spans="4:11" ht="15.75" thickBot="1">
      <c r="D589" s="8"/>
      <c r="E589" s="9" t="s">
        <v>36</v>
      </c>
      <c r="F589" s="9" t="s">
        <v>24</v>
      </c>
      <c r="G589" s="17" t="s">
        <v>178</v>
      </c>
      <c r="H589" s="17"/>
      <c r="I589" s="1" t="str">
        <f t="shared" si="28"/>
        <v/>
      </c>
      <c r="J589" s="1" t="str">
        <f t="shared" si="27"/>
        <v/>
      </c>
      <c r="K589" s="1">
        <f t="shared" si="29"/>
        <v>0</v>
      </c>
    </row>
    <row r="590" spans="4:11" ht="18" customHeight="1">
      <c r="D590" s="6" t="s">
        <v>84</v>
      </c>
      <c r="E590" s="7"/>
      <c r="F590" s="7"/>
      <c r="G590" s="17" t="s">
        <v>182</v>
      </c>
      <c r="H590" s="17">
        <v>2</v>
      </c>
      <c r="I590" s="1">
        <f t="shared" si="28"/>
        <v>1</v>
      </c>
      <c r="J590" s="1">
        <f t="shared" si="27"/>
        <v>0.35551992326102777</v>
      </c>
      <c r="K590" s="1">
        <f t="shared" si="29"/>
        <v>0.41535456931347153</v>
      </c>
    </row>
    <row r="591" spans="4:11" ht="15.75" thickBot="1">
      <c r="D591" s="8"/>
      <c r="E591" s="9" t="s">
        <v>39</v>
      </c>
      <c r="F591" s="9" t="s">
        <v>18</v>
      </c>
      <c r="G591" s="17" t="s">
        <v>178</v>
      </c>
      <c r="H591" s="17"/>
      <c r="I591" s="1" t="str">
        <f t="shared" si="28"/>
        <v/>
      </c>
      <c r="J591" s="1" t="str">
        <f t="shared" si="27"/>
        <v/>
      </c>
      <c r="K591" s="1">
        <f t="shared" si="29"/>
        <v>0</v>
      </c>
    </row>
    <row r="592" spans="4:11" ht="18" customHeight="1">
      <c r="D592" s="6" t="s">
        <v>84</v>
      </c>
      <c r="E592" s="7"/>
      <c r="F592" s="7"/>
      <c r="G592" s="17" t="s">
        <v>180</v>
      </c>
      <c r="H592" s="17">
        <v>0</v>
      </c>
      <c r="I592" s="1">
        <f t="shared" si="28"/>
        <v>2</v>
      </c>
      <c r="J592" s="1">
        <f t="shared" si="27"/>
        <v>0.28341358545613105</v>
      </c>
      <c r="K592" s="1">
        <f t="shared" si="29"/>
        <v>2.9466689185965755</v>
      </c>
    </row>
    <row r="593" spans="4:11" ht="15.75" thickBot="1">
      <c r="D593" s="8"/>
      <c r="E593" s="9" t="s">
        <v>443</v>
      </c>
      <c r="F593" s="9" t="s">
        <v>2</v>
      </c>
      <c r="G593" s="17" t="s">
        <v>178</v>
      </c>
      <c r="H593" s="17"/>
      <c r="I593" s="1" t="str">
        <f t="shared" si="28"/>
        <v/>
      </c>
      <c r="J593" s="1" t="str">
        <f t="shared" si="27"/>
        <v/>
      </c>
      <c r="K593" s="1">
        <f t="shared" si="29"/>
        <v>0</v>
      </c>
    </row>
    <row r="594" spans="4:11" ht="18" customHeight="1">
      <c r="D594" s="6" t="s">
        <v>84</v>
      </c>
      <c r="E594" s="7"/>
      <c r="F594" s="7"/>
      <c r="G594" s="17" t="s">
        <v>181</v>
      </c>
      <c r="H594" s="17">
        <v>4</v>
      </c>
      <c r="I594" s="1">
        <f t="shared" si="28"/>
        <v>-3</v>
      </c>
      <c r="J594" s="1">
        <f t="shared" si="27"/>
        <v>0.67586112002135224</v>
      </c>
      <c r="K594" s="1">
        <f t="shared" si="29"/>
        <v>13.511954973684631</v>
      </c>
    </row>
    <row r="595" spans="4:11" ht="15.75" thickBot="1">
      <c r="D595" s="8"/>
      <c r="E595" s="9" t="s">
        <v>13</v>
      </c>
      <c r="F595" s="9" t="s">
        <v>0</v>
      </c>
      <c r="G595" s="17" t="s">
        <v>178</v>
      </c>
      <c r="H595" s="17"/>
      <c r="I595" s="1" t="str">
        <f t="shared" si="28"/>
        <v/>
      </c>
      <c r="J595" s="1" t="str">
        <f t="shared" si="27"/>
        <v/>
      </c>
      <c r="K595" s="1">
        <f t="shared" si="29"/>
        <v>0</v>
      </c>
    </row>
    <row r="596" spans="4:11" ht="15" customHeight="1">
      <c r="D596" s="6" t="s">
        <v>84</v>
      </c>
      <c r="E596" s="7"/>
      <c r="F596" s="7"/>
      <c r="G596" s="17" t="s">
        <v>181</v>
      </c>
      <c r="H596" s="17">
        <v>2</v>
      </c>
      <c r="I596" s="1">
        <f t="shared" si="28"/>
        <v>-1</v>
      </c>
      <c r="J596" s="1">
        <f t="shared" si="27"/>
        <v>-0.12006420177799271</v>
      </c>
      <c r="K596" s="1">
        <f t="shared" si="29"/>
        <v>0.77428700899260117</v>
      </c>
    </row>
    <row r="597" spans="4:11" ht="15.75" thickBot="1">
      <c r="D597" s="8"/>
      <c r="E597" s="9" t="s">
        <v>23</v>
      </c>
      <c r="F597" s="9" t="s">
        <v>37</v>
      </c>
      <c r="G597" s="17" t="s">
        <v>178</v>
      </c>
      <c r="H597" s="17"/>
      <c r="I597" s="1" t="str">
        <f t="shared" si="28"/>
        <v/>
      </c>
      <c r="J597" s="1" t="str">
        <f t="shared" si="27"/>
        <v/>
      </c>
      <c r="K597" s="1">
        <f t="shared" si="29"/>
        <v>0</v>
      </c>
    </row>
    <row r="598" spans="4:11" ht="15" customHeight="1">
      <c r="D598" s="6" t="s">
        <v>84</v>
      </c>
      <c r="E598" s="7"/>
      <c r="F598" s="7"/>
      <c r="G598" s="17" t="s">
        <v>181</v>
      </c>
      <c r="H598" s="17">
        <v>4</v>
      </c>
      <c r="I598" s="1">
        <f t="shared" si="28"/>
        <v>-3</v>
      </c>
      <c r="J598" s="1">
        <f t="shared" si="27"/>
        <v>-0.26378822133385427</v>
      </c>
      <c r="K598" s="1">
        <f t="shared" si="29"/>
        <v>7.4868548977113525</v>
      </c>
    </row>
    <row r="599" spans="4:11" ht="15.75" thickBot="1">
      <c r="D599" s="8"/>
      <c r="E599" s="9" t="s">
        <v>11</v>
      </c>
      <c r="F599" s="9" t="s">
        <v>41</v>
      </c>
      <c r="G599" s="17" t="s">
        <v>178</v>
      </c>
      <c r="H599" s="17"/>
      <c r="I599" s="1" t="str">
        <f t="shared" si="28"/>
        <v/>
      </c>
      <c r="J599" s="1" t="str">
        <f t="shared" si="27"/>
        <v/>
      </c>
      <c r="K599" s="1">
        <f t="shared" si="29"/>
        <v>0</v>
      </c>
    </row>
    <row r="600" spans="4:11" ht="15" customHeight="1">
      <c r="D600" s="6" t="s">
        <v>84</v>
      </c>
      <c r="E600" s="7"/>
      <c r="F600" s="7"/>
      <c r="G600" s="17" t="s">
        <v>180</v>
      </c>
      <c r="H600" s="17">
        <v>4</v>
      </c>
      <c r="I600" s="1">
        <f t="shared" si="28"/>
        <v>-2</v>
      </c>
      <c r="J600" s="1">
        <f t="shared" si="27"/>
        <v>-2.0693123270916658E-2</v>
      </c>
      <c r="K600" s="1">
        <f t="shared" si="29"/>
        <v>3.9176557122670386</v>
      </c>
    </row>
    <row r="601" spans="4:11" ht="30.75" thickBot="1">
      <c r="D601" s="8"/>
      <c r="E601" s="9" t="s">
        <v>7</v>
      </c>
      <c r="F601" s="9" t="s">
        <v>1</v>
      </c>
      <c r="G601" s="17" t="s">
        <v>178</v>
      </c>
      <c r="H601" s="17"/>
      <c r="I601" s="1" t="str">
        <f t="shared" si="28"/>
        <v/>
      </c>
      <c r="J601" s="1" t="str">
        <f t="shared" si="27"/>
        <v/>
      </c>
      <c r="K601" s="1">
        <f t="shared" si="29"/>
        <v>0</v>
      </c>
    </row>
    <row r="602" spans="4:11" ht="15" customHeight="1">
      <c r="D602" s="6" t="s">
        <v>84</v>
      </c>
      <c r="E602" s="7"/>
      <c r="F602" s="7"/>
      <c r="G602" s="17" t="s">
        <v>180</v>
      </c>
      <c r="H602" s="17">
        <v>1</v>
      </c>
      <c r="I602" s="1">
        <f t="shared" si="28"/>
        <v>1</v>
      </c>
      <c r="J602" s="1">
        <f t="shared" si="27"/>
        <v>-1.7875352367187105</v>
      </c>
      <c r="K602" s="1">
        <f t="shared" si="29"/>
        <v>7.7703526959484375</v>
      </c>
    </row>
    <row r="603" spans="4:11" ht="30.75" thickBot="1">
      <c r="D603" s="8"/>
      <c r="E603" s="9" t="s">
        <v>8</v>
      </c>
      <c r="F603" s="9" t="s">
        <v>12</v>
      </c>
      <c r="G603" s="17" t="s">
        <v>178</v>
      </c>
      <c r="H603" s="17"/>
      <c r="I603" s="1" t="str">
        <f t="shared" si="28"/>
        <v/>
      </c>
      <c r="J603" s="1" t="str">
        <f t="shared" si="27"/>
        <v/>
      </c>
      <c r="K603" s="1">
        <f t="shared" si="29"/>
        <v>0</v>
      </c>
    </row>
    <row r="604" spans="4:11" ht="15" customHeight="1">
      <c r="D604" s="6" t="s">
        <v>84</v>
      </c>
      <c r="E604" s="7"/>
      <c r="F604" s="7"/>
      <c r="G604" s="17" t="s">
        <v>180</v>
      </c>
      <c r="H604" s="17">
        <v>3</v>
      </c>
      <c r="I604" s="1">
        <f t="shared" si="28"/>
        <v>-1</v>
      </c>
      <c r="J604" s="1">
        <f t="shared" si="27"/>
        <v>-0.67322825678925824</v>
      </c>
      <c r="K604" s="1">
        <f t="shared" si="29"/>
        <v>0.10677977216098695</v>
      </c>
    </row>
    <row r="605" spans="4:11" ht="15.75" thickBot="1">
      <c r="D605" s="8"/>
      <c r="E605" s="9" t="s">
        <v>14</v>
      </c>
      <c r="F605" s="9" t="s">
        <v>19</v>
      </c>
      <c r="G605" s="17" t="s">
        <v>178</v>
      </c>
      <c r="H605" s="17"/>
      <c r="I605" s="1" t="str">
        <f t="shared" si="28"/>
        <v/>
      </c>
      <c r="J605" s="1" t="str">
        <f t="shared" si="27"/>
        <v/>
      </c>
      <c r="K605" s="1">
        <f t="shared" si="29"/>
        <v>0</v>
      </c>
    </row>
    <row r="606" spans="4:11" ht="15" customHeight="1">
      <c r="D606" s="6" t="s">
        <v>84</v>
      </c>
      <c r="E606" s="7"/>
      <c r="F606" s="7"/>
      <c r="G606" s="17" t="s">
        <v>184</v>
      </c>
      <c r="H606" s="17">
        <v>5</v>
      </c>
      <c r="I606" s="1">
        <f t="shared" si="28"/>
        <v>-1</v>
      </c>
      <c r="J606" s="1">
        <f t="shared" si="27"/>
        <v>0.17312140157279998</v>
      </c>
      <c r="K606" s="1">
        <f t="shared" si="29"/>
        <v>1.3762138228281307</v>
      </c>
    </row>
    <row r="607" spans="4:11" ht="15.75" thickBot="1">
      <c r="D607" s="8"/>
      <c r="E607" s="9" t="s">
        <v>34</v>
      </c>
      <c r="F607" s="9" t="s">
        <v>21</v>
      </c>
      <c r="G607" s="17" t="s">
        <v>178</v>
      </c>
      <c r="H607" s="17"/>
      <c r="I607" s="1" t="str">
        <f t="shared" si="28"/>
        <v/>
      </c>
      <c r="J607" s="1" t="str">
        <f t="shared" si="27"/>
        <v/>
      </c>
      <c r="K607" s="1">
        <f t="shared" si="29"/>
        <v>0</v>
      </c>
    </row>
    <row r="608" spans="4:11" ht="15" customHeight="1">
      <c r="D608" s="6" t="s">
        <v>84</v>
      </c>
      <c r="E608" s="7"/>
      <c r="F608" s="7"/>
      <c r="G608" s="17" t="s">
        <v>182</v>
      </c>
      <c r="H608" s="17">
        <v>4</v>
      </c>
      <c r="I608" s="1">
        <f t="shared" si="28"/>
        <v>-1</v>
      </c>
      <c r="J608" s="1">
        <f t="shared" si="27"/>
        <v>-0.33331270723031992</v>
      </c>
      <c r="K608" s="1">
        <f t="shared" si="29"/>
        <v>0.44447194634056514</v>
      </c>
    </row>
    <row r="609" spans="4:11" ht="15.75" thickBot="1">
      <c r="D609" s="8"/>
      <c r="E609" s="9" t="s">
        <v>28</v>
      </c>
      <c r="F609" s="9" t="s">
        <v>22</v>
      </c>
      <c r="G609" s="17" t="s">
        <v>178</v>
      </c>
      <c r="H609" s="17"/>
      <c r="I609" s="1" t="str">
        <f t="shared" si="28"/>
        <v/>
      </c>
      <c r="J609" s="1" t="str">
        <f t="shared" si="27"/>
        <v/>
      </c>
      <c r="K609" s="1">
        <f t="shared" si="29"/>
        <v>0</v>
      </c>
    </row>
    <row r="610" spans="4:11" ht="15" customHeight="1">
      <c r="D610" s="6" t="s">
        <v>84</v>
      </c>
      <c r="E610" s="7"/>
      <c r="F610" s="7"/>
      <c r="G610" s="17" t="s">
        <v>184</v>
      </c>
      <c r="H610" s="17">
        <v>5</v>
      </c>
      <c r="I610" s="1">
        <f t="shared" si="28"/>
        <v>-1</v>
      </c>
      <c r="J610" s="1">
        <f t="shared" si="27"/>
        <v>-0.63876485381459247</v>
      </c>
      <c r="K610" s="1">
        <f t="shared" si="29"/>
        <v>0.13049083083959276</v>
      </c>
    </row>
    <row r="611" spans="4:11" ht="15.75" thickBot="1">
      <c r="D611" s="8"/>
      <c r="E611" s="9" t="s">
        <v>36</v>
      </c>
      <c r="F611" s="9" t="s">
        <v>4</v>
      </c>
      <c r="G611" s="17" t="s">
        <v>178</v>
      </c>
      <c r="H611" s="17"/>
      <c r="I611" s="1" t="str">
        <f t="shared" si="28"/>
        <v/>
      </c>
      <c r="J611" s="1" t="str">
        <f t="shared" si="27"/>
        <v/>
      </c>
      <c r="K611" s="1">
        <f t="shared" si="29"/>
        <v>0</v>
      </c>
    </row>
    <row r="612" spans="4:11" ht="15" customHeight="1">
      <c r="D612" s="6" t="s">
        <v>84</v>
      </c>
      <c r="E612" s="7"/>
      <c r="F612" s="7"/>
      <c r="G612" s="17" t="s">
        <v>186</v>
      </c>
      <c r="H612" s="17">
        <v>1</v>
      </c>
      <c r="I612" s="1">
        <f t="shared" si="28"/>
        <v>6</v>
      </c>
      <c r="J612" s="1">
        <f t="shared" si="27"/>
        <v>1.4293134202563351</v>
      </c>
      <c r="K612" s="1">
        <f t="shared" si="29"/>
        <v>20.891175810248843</v>
      </c>
    </row>
    <row r="613" spans="4:11" ht="15.75" thickBot="1">
      <c r="D613" s="8"/>
      <c r="E613" s="9" t="s">
        <v>20</v>
      </c>
      <c r="F613" s="9" t="s">
        <v>24</v>
      </c>
      <c r="G613" s="17" t="s">
        <v>178</v>
      </c>
      <c r="H613" s="17"/>
      <c r="I613" s="1" t="str">
        <f t="shared" si="28"/>
        <v/>
      </c>
      <c r="J613" s="1" t="str">
        <f t="shared" si="27"/>
        <v/>
      </c>
      <c r="K613" s="1">
        <f t="shared" si="29"/>
        <v>0</v>
      </c>
    </row>
    <row r="614" spans="4:11" ht="18" customHeight="1">
      <c r="D614" s="6" t="s">
        <v>84</v>
      </c>
      <c r="E614" s="7"/>
      <c r="F614" s="7"/>
      <c r="G614" s="17" t="s">
        <v>184</v>
      </c>
      <c r="H614" s="17">
        <v>3</v>
      </c>
      <c r="I614" s="1">
        <f t="shared" si="28"/>
        <v>1</v>
      </c>
      <c r="J614" s="1">
        <f t="shared" si="27"/>
        <v>-0.4868947757543225</v>
      </c>
      <c r="K614" s="1">
        <f t="shared" si="29"/>
        <v>2.210856074165497</v>
      </c>
    </row>
    <row r="615" spans="4:11" ht="15.75" thickBot="1">
      <c r="D615" s="8"/>
      <c r="E615" s="9" t="s">
        <v>26</v>
      </c>
      <c r="F615" s="9" t="s">
        <v>33</v>
      </c>
      <c r="G615" s="17" t="s">
        <v>178</v>
      </c>
      <c r="H615" s="17"/>
      <c r="I615" s="1" t="str">
        <f t="shared" si="28"/>
        <v/>
      </c>
      <c r="J615" s="1" t="str">
        <f t="shared" si="27"/>
        <v/>
      </c>
      <c r="K615" s="1">
        <f t="shared" si="29"/>
        <v>0</v>
      </c>
    </row>
    <row r="616" spans="4:11" ht="15" customHeight="1">
      <c r="D616" s="6" t="s">
        <v>85</v>
      </c>
      <c r="E616" s="7"/>
      <c r="F616" s="7"/>
      <c r="G616" s="17" t="s">
        <v>184</v>
      </c>
      <c r="H616" s="17">
        <v>2</v>
      </c>
      <c r="I616" s="1">
        <f t="shared" si="28"/>
        <v>2</v>
      </c>
      <c r="J616" s="1">
        <f t="shared" si="27"/>
        <v>0.31035465692914954</v>
      </c>
      <c r="K616" s="1">
        <f t="shared" si="29"/>
        <v>2.8549013853610119</v>
      </c>
    </row>
    <row r="617" spans="4:11" ht="15.75" thickBot="1">
      <c r="D617" s="8"/>
      <c r="E617" s="9" t="s">
        <v>39</v>
      </c>
      <c r="F617" s="9" t="s">
        <v>25</v>
      </c>
      <c r="G617" s="17" t="s">
        <v>178</v>
      </c>
      <c r="H617" s="17"/>
      <c r="I617" s="1" t="str">
        <f t="shared" si="28"/>
        <v/>
      </c>
      <c r="J617" s="1" t="str">
        <f t="shared" si="27"/>
        <v/>
      </c>
      <c r="K617" s="1">
        <f t="shared" si="29"/>
        <v>0</v>
      </c>
    </row>
    <row r="618" spans="4:11" ht="15" customHeight="1">
      <c r="D618" s="6" t="s">
        <v>85</v>
      </c>
      <c r="E618" s="7"/>
      <c r="F618" s="7"/>
      <c r="G618" s="17" t="s">
        <v>179</v>
      </c>
      <c r="H618" s="17">
        <v>5</v>
      </c>
      <c r="I618" s="1">
        <f t="shared" si="28"/>
        <v>-5</v>
      </c>
      <c r="J618" s="1">
        <f t="shared" si="27"/>
        <v>-0.19524715929929926</v>
      </c>
      <c r="K618" s="1">
        <f t="shared" si="29"/>
        <v>23.085649860221455</v>
      </c>
    </row>
    <row r="619" spans="4:11" ht="15.75" thickBot="1">
      <c r="D619" s="8"/>
      <c r="E619" s="9" t="s">
        <v>443</v>
      </c>
      <c r="F619" s="9" t="s">
        <v>38</v>
      </c>
      <c r="G619" s="17" t="s">
        <v>178</v>
      </c>
      <c r="H619" s="17"/>
      <c r="I619" s="1" t="str">
        <f t="shared" si="28"/>
        <v/>
      </c>
      <c r="J619" s="1" t="str">
        <f t="shared" si="27"/>
        <v/>
      </c>
      <c r="K619" s="1">
        <f t="shared" si="29"/>
        <v>0</v>
      </c>
    </row>
    <row r="620" spans="4:11" ht="18" customHeight="1">
      <c r="D620" s="6" t="s">
        <v>85</v>
      </c>
      <c r="E620" s="7"/>
      <c r="F620" s="7"/>
      <c r="G620" s="17" t="s">
        <v>181</v>
      </c>
      <c r="H620" s="17">
        <v>2</v>
      </c>
      <c r="I620" s="1">
        <f t="shared" si="28"/>
        <v>-1</v>
      </c>
      <c r="J620" s="1">
        <f t="shared" si="27"/>
        <v>0</v>
      </c>
      <c r="K620" s="1">
        <f t="shared" si="29"/>
        <v>1</v>
      </c>
    </row>
    <row r="621" spans="4:11" ht="15.75" thickBot="1">
      <c r="D621" s="8"/>
      <c r="E621" s="9" t="s">
        <v>26</v>
      </c>
      <c r="F621" s="9" t="s">
        <v>10</v>
      </c>
      <c r="G621" s="17" t="s">
        <v>178</v>
      </c>
      <c r="H621" s="17"/>
      <c r="I621" s="1" t="str">
        <f t="shared" si="28"/>
        <v/>
      </c>
      <c r="J621" s="1" t="str">
        <f t="shared" si="27"/>
        <v/>
      </c>
      <c r="K621" s="1">
        <f t="shared" si="29"/>
        <v>0</v>
      </c>
    </row>
    <row r="622" spans="4:11" ht="15" customHeight="1">
      <c r="D622" s="6" t="s">
        <v>85</v>
      </c>
      <c r="E622" s="7"/>
      <c r="F622" s="7"/>
      <c r="G622" s="17" t="s">
        <v>181</v>
      </c>
      <c r="H622" s="17">
        <v>4</v>
      </c>
      <c r="I622" s="1">
        <f t="shared" si="28"/>
        <v>-3</v>
      </c>
      <c r="J622" s="1">
        <f t="shared" si="27"/>
        <v>0.37161491043588057</v>
      </c>
      <c r="K622" s="1">
        <f t="shared" si="29"/>
        <v>11.367787104273551</v>
      </c>
    </row>
    <row r="623" spans="4:11" ht="15.75" thickBot="1">
      <c r="D623" s="8"/>
      <c r="E623" s="9" t="s">
        <v>20</v>
      </c>
      <c r="F623" s="9" t="s">
        <v>3</v>
      </c>
      <c r="G623" s="17" t="s">
        <v>178</v>
      </c>
      <c r="H623" s="17"/>
      <c r="I623" s="1" t="str">
        <f t="shared" si="28"/>
        <v/>
      </c>
      <c r="J623" s="1" t="str">
        <f t="shared" si="27"/>
        <v/>
      </c>
      <c r="K623" s="1">
        <f t="shared" si="29"/>
        <v>0</v>
      </c>
    </row>
    <row r="624" spans="4:11" ht="15" customHeight="1">
      <c r="D624" s="6" t="s">
        <v>86</v>
      </c>
      <c r="E624" s="7"/>
      <c r="F624" s="7"/>
      <c r="G624" s="17" t="s">
        <v>182</v>
      </c>
      <c r="H624" s="17">
        <v>2</v>
      </c>
      <c r="I624" s="1">
        <f t="shared" si="28"/>
        <v>1</v>
      </c>
      <c r="J624" s="1">
        <f t="shared" si="27"/>
        <v>0.21487252342157603</v>
      </c>
      <c r="K624" s="1">
        <f t="shared" si="29"/>
        <v>0.61642515447840363</v>
      </c>
    </row>
    <row r="625" spans="4:11" ht="15.75" thickBot="1">
      <c r="D625" s="8"/>
      <c r="E625" s="9" t="s">
        <v>11</v>
      </c>
      <c r="F625" s="9" t="s">
        <v>2</v>
      </c>
      <c r="G625" s="17" t="s">
        <v>178</v>
      </c>
      <c r="H625" s="17"/>
      <c r="I625" s="1" t="str">
        <f t="shared" si="28"/>
        <v/>
      </c>
      <c r="J625" s="1" t="str">
        <f t="shared" si="27"/>
        <v/>
      </c>
      <c r="K625" s="1">
        <f t="shared" si="29"/>
        <v>0</v>
      </c>
    </row>
    <row r="626" spans="4:11" ht="15" customHeight="1">
      <c r="D626" s="6" t="s">
        <v>86</v>
      </c>
      <c r="E626" s="7"/>
      <c r="F626" s="7"/>
      <c r="G626" s="17" t="s">
        <v>179</v>
      </c>
      <c r="H626" s="17">
        <v>1</v>
      </c>
      <c r="I626" s="1">
        <f t="shared" si="28"/>
        <v>-1</v>
      </c>
      <c r="J626" s="1">
        <f t="shared" si="27"/>
        <v>-0.81192185336091427</v>
      </c>
      <c r="K626" s="1">
        <f t="shared" si="29"/>
        <v>3.5373389243193436E-2</v>
      </c>
    </row>
    <row r="627" spans="4:11" ht="15.75" thickBot="1">
      <c r="D627" s="8"/>
      <c r="E627" s="9" t="s">
        <v>1</v>
      </c>
      <c r="F627" s="9" t="s">
        <v>41</v>
      </c>
      <c r="G627" s="17" t="s">
        <v>178</v>
      </c>
      <c r="H627" s="17"/>
      <c r="I627" s="1" t="str">
        <f t="shared" si="28"/>
        <v/>
      </c>
      <c r="J627" s="1" t="str">
        <f t="shared" si="27"/>
        <v/>
      </c>
      <c r="K627" s="1">
        <f t="shared" si="29"/>
        <v>0</v>
      </c>
    </row>
    <row r="628" spans="4:11" ht="18" customHeight="1">
      <c r="D628" s="6" t="s">
        <v>86</v>
      </c>
      <c r="E628" s="7"/>
      <c r="F628" s="7"/>
      <c r="G628" s="17" t="s">
        <v>182</v>
      </c>
      <c r="H628" s="17">
        <v>4</v>
      </c>
      <c r="I628" s="1">
        <f t="shared" si="28"/>
        <v>-1</v>
      </c>
      <c r="J628" s="1">
        <f t="shared" si="27"/>
        <v>3.1963483085490907E-2</v>
      </c>
      <c r="K628" s="1">
        <f t="shared" si="29"/>
        <v>1.0649486304219382</v>
      </c>
    </row>
    <row r="629" spans="4:11" ht="15.75" thickBot="1">
      <c r="D629" s="8"/>
      <c r="E629" s="9" t="s">
        <v>18</v>
      </c>
      <c r="F629" s="9" t="s">
        <v>13</v>
      </c>
      <c r="G629" s="17" t="s">
        <v>178</v>
      </c>
      <c r="H629" s="17"/>
      <c r="I629" s="1" t="str">
        <f t="shared" si="28"/>
        <v/>
      </c>
      <c r="J629" s="1" t="str">
        <f t="shared" si="27"/>
        <v/>
      </c>
      <c r="K629" s="1">
        <f t="shared" si="29"/>
        <v>0</v>
      </c>
    </row>
    <row r="630" spans="4:11" ht="15" customHeight="1">
      <c r="D630" s="6" t="s">
        <v>86</v>
      </c>
      <c r="E630" s="7"/>
      <c r="F630" s="7"/>
      <c r="G630" s="17" t="s">
        <v>184</v>
      </c>
      <c r="H630" s="17">
        <v>1</v>
      </c>
      <c r="I630" s="1">
        <f t="shared" si="28"/>
        <v>3</v>
      </c>
      <c r="J630" s="1">
        <f t="shared" si="27"/>
        <v>0.68258615504531406</v>
      </c>
      <c r="K630" s="1">
        <f t="shared" si="29"/>
        <v>5.370406928787661</v>
      </c>
    </row>
    <row r="631" spans="4:11" ht="15.75" thickBot="1">
      <c r="D631" s="8"/>
      <c r="E631" s="9" t="s">
        <v>23</v>
      </c>
      <c r="F631" s="9" t="s">
        <v>14</v>
      </c>
      <c r="G631" s="17" t="s">
        <v>178</v>
      </c>
      <c r="H631" s="17"/>
      <c r="I631" s="1" t="str">
        <f t="shared" si="28"/>
        <v/>
      </c>
      <c r="J631" s="1" t="str">
        <f t="shared" si="27"/>
        <v/>
      </c>
      <c r="K631" s="1">
        <f t="shared" si="29"/>
        <v>0</v>
      </c>
    </row>
    <row r="632" spans="4:11" ht="15" customHeight="1">
      <c r="D632" s="6" t="s">
        <v>87</v>
      </c>
      <c r="E632" s="7"/>
      <c r="F632" s="7"/>
      <c r="G632" s="17" t="s">
        <v>184</v>
      </c>
      <c r="H632" s="17">
        <v>2</v>
      </c>
      <c r="I632" s="1">
        <f t="shared" si="28"/>
        <v>2</v>
      </c>
      <c r="J632" s="1">
        <f t="shared" si="27"/>
        <v>0.49506408466952223</v>
      </c>
      <c r="K632" s="1">
        <f t="shared" si="29"/>
        <v>2.2648321092515831</v>
      </c>
    </row>
    <row r="633" spans="4:11" ht="15.75" thickBot="1">
      <c r="D633" s="8"/>
      <c r="E633" s="9" t="s">
        <v>25</v>
      </c>
      <c r="F633" s="9" t="s">
        <v>7</v>
      </c>
      <c r="G633" s="17" t="s">
        <v>178</v>
      </c>
      <c r="H633" s="17"/>
      <c r="I633" s="1" t="str">
        <f t="shared" si="28"/>
        <v/>
      </c>
      <c r="J633" s="1" t="str">
        <f t="shared" si="27"/>
        <v/>
      </c>
      <c r="K633" s="1">
        <f t="shared" si="29"/>
        <v>0</v>
      </c>
    </row>
    <row r="634" spans="4:11" ht="18" customHeight="1">
      <c r="D634" s="6" t="s">
        <v>87</v>
      </c>
      <c r="E634" s="7"/>
      <c r="F634" s="7"/>
      <c r="G634" s="17" t="s">
        <v>182</v>
      </c>
      <c r="H634" s="17">
        <v>2</v>
      </c>
      <c r="I634" s="1">
        <f t="shared" si="28"/>
        <v>1</v>
      </c>
      <c r="J634" s="1">
        <f t="shared" si="27"/>
        <v>-0.35551992326102777</v>
      </c>
      <c r="K634" s="1">
        <f t="shared" si="29"/>
        <v>1.8374342623575826</v>
      </c>
    </row>
    <row r="635" spans="4:11" ht="15.75" thickBot="1">
      <c r="D635" s="8"/>
      <c r="E635" s="9" t="s">
        <v>18</v>
      </c>
      <c r="F635" s="9" t="s">
        <v>39</v>
      </c>
      <c r="G635" s="17" t="s">
        <v>178</v>
      </c>
      <c r="H635" s="17"/>
      <c r="I635" s="1" t="str">
        <f t="shared" si="28"/>
        <v/>
      </c>
      <c r="J635" s="1" t="str">
        <f t="shared" si="27"/>
        <v/>
      </c>
      <c r="K635" s="1">
        <f t="shared" si="29"/>
        <v>0</v>
      </c>
    </row>
    <row r="636" spans="4:11" ht="15" customHeight="1">
      <c r="D636" s="6" t="s">
        <v>87</v>
      </c>
      <c r="E636" s="7"/>
      <c r="F636" s="7"/>
      <c r="G636" s="17" t="s">
        <v>182</v>
      </c>
      <c r="H636" s="17">
        <v>4</v>
      </c>
      <c r="I636" s="1">
        <f t="shared" si="28"/>
        <v>-1</v>
      </c>
      <c r="J636" s="1">
        <f t="shared" si="27"/>
        <v>-0.31201465963127362</v>
      </c>
      <c r="K636" s="1">
        <f t="shared" si="29"/>
        <v>0.47332382856227229</v>
      </c>
    </row>
    <row r="637" spans="4:11" ht="15.75" thickBot="1">
      <c r="D637" s="8"/>
      <c r="E637" s="9" t="s">
        <v>34</v>
      </c>
      <c r="F637" s="9" t="s">
        <v>19</v>
      </c>
      <c r="G637" s="17" t="s">
        <v>178</v>
      </c>
      <c r="H637" s="17"/>
      <c r="I637" s="1" t="str">
        <f t="shared" si="28"/>
        <v/>
      </c>
      <c r="J637" s="1" t="str">
        <f t="shared" si="27"/>
        <v/>
      </c>
      <c r="K637" s="1">
        <f t="shared" si="29"/>
        <v>0</v>
      </c>
    </row>
    <row r="638" spans="4:11" ht="15" customHeight="1">
      <c r="D638" s="6" t="s">
        <v>87</v>
      </c>
      <c r="E638" s="7"/>
      <c r="F638" s="7"/>
      <c r="G638" s="17" t="s">
        <v>180</v>
      </c>
      <c r="H638" s="17">
        <v>3</v>
      </c>
      <c r="I638" s="1">
        <f t="shared" si="28"/>
        <v>-1</v>
      </c>
      <c r="J638" s="1">
        <f t="shared" si="27"/>
        <v>-0.80887745301087932</v>
      </c>
      <c r="K638" s="1">
        <f t="shared" si="29"/>
        <v>3.6527827967608645E-2</v>
      </c>
    </row>
    <row r="639" spans="4:11" ht="15.75" thickBot="1">
      <c r="D639" s="8"/>
      <c r="E639" s="9" t="s">
        <v>24</v>
      </c>
      <c r="F639" s="9" t="s">
        <v>21</v>
      </c>
      <c r="G639" s="17" t="s">
        <v>178</v>
      </c>
      <c r="H639" s="17"/>
      <c r="I639" s="1" t="str">
        <f t="shared" si="28"/>
        <v/>
      </c>
      <c r="J639" s="1" t="str">
        <f t="shared" si="27"/>
        <v/>
      </c>
      <c r="K639" s="1">
        <f t="shared" si="29"/>
        <v>0</v>
      </c>
    </row>
    <row r="640" spans="4:11" ht="15" customHeight="1">
      <c r="D640" s="6" t="s">
        <v>87</v>
      </c>
      <c r="E640" s="7"/>
      <c r="F640" s="7"/>
      <c r="G640" s="17" t="s">
        <v>184</v>
      </c>
      <c r="H640" s="17">
        <v>3</v>
      </c>
      <c r="I640" s="1">
        <f t="shared" si="28"/>
        <v>1</v>
      </c>
      <c r="J640" s="1">
        <f t="shared" si="27"/>
        <v>0.48865647742420038</v>
      </c>
      <c r="K640" s="1">
        <f t="shared" si="29"/>
        <v>0.26147219808022731</v>
      </c>
    </row>
    <row r="641" spans="4:11" ht="15.75" thickBot="1">
      <c r="D641" s="8"/>
      <c r="E641" s="9" t="s">
        <v>22</v>
      </c>
      <c r="F641" s="9" t="s">
        <v>26</v>
      </c>
      <c r="G641" s="17" t="s">
        <v>178</v>
      </c>
      <c r="H641" s="17"/>
      <c r="I641" s="1" t="str">
        <f t="shared" si="28"/>
        <v/>
      </c>
      <c r="J641" s="1" t="str">
        <f t="shared" si="27"/>
        <v/>
      </c>
      <c r="K641" s="1">
        <f t="shared" si="29"/>
        <v>0</v>
      </c>
    </row>
    <row r="642" spans="4:11" ht="15" customHeight="1">
      <c r="D642" s="6" t="s">
        <v>87</v>
      </c>
      <c r="E642" s="7"/>
      <c r="F642" s="7"/>
      <c r="G642" s="17" t="s">
        <v>179</v>
      </c>
      <c r="H642" s="17">
        <v>2</v>
      </c>
      <c r="I642" s="1">
        <f t="shared" si="28"/>
        <v>-2</v>
      </c>
      <c r="J642" s="1">
        <f t="shared" si="27"/>
        <v>-0.52723190587963131</v>
      </c>
      <c r="K642" s="1">
        <f t="shared" si="29"/>
        <v>2.1690458590589432</v>
      </c>
    </row>
    <row r="643" spans="4:11" ht="15.75" thickBot="1">
      <c r="D643" s="8"/>
      <c r="E643" s="9" t="s">
        <v>36</v>
      </c>
      <c r="F643" s="9" t="s">
        <v>3</v>
      </c>
      <c r="G643" s="17" t="s">
        <v>178</v>
      </c>
      <c r="H643" s="17"/>
      <c r="I643" s="1" t="str">
        <f t="shared" si="28"/>
        <v/>
      </c>
      <c r="J643" s="1" t="str">
        <f t="shared" ref="J643:J706" si="30">IF(F644="","",VLOOKUP(F644,$A$2:$B$31,2)+$B$33-VLOOKUP(E644,$A$2:$B$31,2))</f>
        <v/>
      </c>
      <c r="K643" s="1">
        <f t="shared" si="29"/>
        <v>0</v>
      </c>
    </row>
    <row r="644" spans="4:11" ht="18" customHeight="1">
      <c r="D644" s="6" t="s">
        <v>87</v>
      </c>
      <c r="E644" s="7"/>
      <c r="F644" s="7"/>
      <c r="G644" s="17" t="s">
        <v>180</v>
      </c>
      <c r="H644" s="17">
        <v>3</v>
      </c>
      <c r="I644" s="1">
        <f t="shared" ref="I644:I707" si="31">IF(G644="","",G644-H644)</f>
        <v>-1</v>
      </c>
      <c r="J644" s="1">
        <f t="shared" si="30"/>
        <v>0.80982891348897112</v>
      </c>
      <c r="K644" s="1">
        <f t="shared" ref="K644:K707" si="32">IF(J644="",0,(I644-J644)^2)</f>
        <v>3.2754806961006699</v>
      </c>
    </row>
    <row r="645" spans="4:11" ht="15.75" thickBot="1">
      <c r="D645" s="8"/>
      <c r="E645" s="9" t="s">
        <v>4</v>
      </c>
      <c r="F645" s="9" t="s">
        <v>10</v>
      </c>
      <c r="G645" s="17" t="s">
        <v>178</v>
      </c>
      <c r="H645" s="17"/>
      <c r="I645" s="1" t="str">
        <f t="shared" si="31"/>
        <v/>
      </c>
      <c r="J645" s="1" t="str">
        <f t="shared" si="30"/>
        <v/>
      </c>
      <c r="K645" s="1">
        <f t="shared" si="32"/>
        <v>0</v>
      </c>
    </row>
    <row r="646" spans="4:11" ht="18" customHeight="1">
      <c r="D646" s="6" t="s">
        <v>88</v>
      </c>
      <c r="E646" s="7"/>
      <c r="F646" s="7"/>
      <c r="G646" s="17" t="s">
        <v>180</v>
      </c>
      <c r="H646" s="17">
        <v>1</v>
      </c>
      <c r="I646" s="1">
        <f t="shared" si="31"/>
        <v>1</v>
      </c>
      <c r="J646" s="1">
        <f t="shared" si="30"/>
        <v>1.5511225870977796</v>
      </c>
      <c r="K646" s="1">
        <f t="shared" si="32"/>
        <v>0.30373610600934969</v>
      </c>
    </row>
    <row r="647" spans="4:11" ht="15.75" thickBot="1">
      <c r="D647" s="8"/>
      <c r="E647" s="9" t="s">
        <v>25</v>
      </c>
      <c r="F647" s="9" t="s">
        <v>8</v>
      </c>
      <c r="G647" s="17" t="s">
        <v>178</v>
      </c>
      <c r="H647" s="17"/>
      <c r="I647" s="1" t="str">
        <f t="shared" si="31"/>
        <v/>
      </c>
      <c r="J647" s="1" t="str">
        <f t="shared" si="30"/>
        <v/>
      </c>
      <c r="K647" s="1">
        <f t="shared" si="32"/>
        <v>0</v>
      </c>
    </row>
    <row r="648" spans="4:11" ht="15" customHeight="1">
      <c r="D648" s="6" t="s">
        <v>88</v>
      </c>
      <c r="E648" s="7"/>
      <c r="F648" s="7"/>
      <c r="G648" s="17" t="s">
        <v>180</v>
      </c>
      <c r="H648" s="17">
        <v>3</v>
      </c>
      <c r="I648" s="1">
        <f t="shared" si="31"/>
        <v>-1</v>
      </c>
      <c r="J648" s="1">
        <f t="shared" si="30"/>
        <v>-0.1011382423413778</v>
      </c>
      <c r="K648" s="1">
        <f t="shared" si="32"/>
        <v>0.80795245938114768</v>
      </c>
    </row>
    <row r="649" spans="4:11" ht="15.75" thickBot="1">
      <c r="D649" s="8"/>
      <c r="E649" s="9" t="s">
        <v>12</v>
      </c>
      <c r="F649" s="9" t="s">
        <v>41</v>
      </c>
      <c r="G649" s="17" t="s">
        <v>178</v>
      </c>
      <c r="H649" s="17"/>
      <c r="I649" s="1" t="str">
        <f t="shared" si="31"/>
        <v/>
      </c>
      <c r="J649" s="1" t="str">
        <f t="shared" si="30"/>
        <v/>
      </c>
      <c r="K649" s="1">
        <f t="shared" si="32"/>
        <v>0</v>
      </c>
    </row>
    <row r="650" spans="4:11" ht="15" customHeight="1">
      <c r="D650" s="6" t="s">
        <v>88</v>
      </c>
      <c r="E650" s="7"/>
      <c r="F650" s="7"/>
      <c r="G650" s="17" t="s">
        <v>180</v>
      </c>
      <c r="H650" s="17">
        <v>5</v>
      </c>
      <c r="I650" s="1">
        <f t="shared" si="31"/>
        <v>-3</v>
      </c>
      <c r="J650" s="1">
        <f t="shared" si="30"/>
        <v>-0.39724221198123644</v>
      </c>
      <c r="K650" s="1">
        <f t="shared" si="32"/>
        <v>6.7743481030923274</v>
      </c>
    </row>
    <row r="651" spans="4:11" ht="15.75" thickBot="1">
      <c r="D651" s="8"/>
      <c r="E651" s="9" t="s">
        <v>1</v>
      </c>
      <c r="F651" s="9" t="s">
        <v>13</v>
      </c>
      <c r="G651" s="17" t="s">
        <v>178</v>
      </c>
      <c r="H651" s="17"/>
      <c r="I651" s="1" t="str">
        <f t="shared" si="31"/>
        <v/>
      </c>
      <c r="J651" s="1" t="str">
        <f t="shared" si="30"/>
        <v/>
      </c>
      <c r="K651" s="1">
        <f t="shared" si="32"/>
        <v>0</v>
      </c>
    </row>
    <row r="652" spans="4:11" ht="15" customHeight="1">
      <c r="D652" s="6" t="s">
        <v>88</v>
      </c>
      <c r="E652" s="7"/>
      <c r="F652" s="7"/>
      <c r="G652" s="17" t="s">
        <v>182</v>
      </c>
      <c r="H652" s="17">
        <v>4</v>
      </c>
      <c r="I652" s="1">
        <f t="shared" si="31"/>
        <v>-1</v>
      </c>
      <c r="J652" s="1">
        <f t="shared" si="30"/>
        <v>-1.0964853179160627E-3</v>
      </c>
      <c r="K652" s="1">
        <f t="shared" si="32"/>
        <v>0.99780823164422028</v>
      </c>
    </row>
    <row r="653" spans="4:11" ht="15.75" thickBot="1">
      <c r="D653" s="8"/>
      <c r="E653" s="9" t="s">
        <v>38</v>
      </c>
      <c r="F653" s="9" t="s">
        <v>37</v>
      </c>
      <c r="G653" s="17" t="s">
        <v>178</v>
      </c>
      <c r="H653" s="17"/>
      <c r="I653" s="1" t="str">
        <f t="shared" si="31"/>
        <v/>
      </c>
      <c r="J653" s="1" t="str">
        <f t="shared" si="30"/>
        <v/>
      </c>
      <c r="K653" s="1">
        <f t="shared" si="32"/>
        <v>0</v>
      </c>
    </row>
    <row r="654" spans="4:11" ht="18" customHeight="1">
      <c r="D654" s="6" t="s">
        <v>88</v>
      </c>
      <c r="E654" s="7"/>
      <c r="F654" s="7"/>
      <c r="G654" s="17" t="s">
        <v>179</v>
      </c>
      <c r="H654" s="17">
        <v>1</v>
      </c>
      <c r="I654" s="1">
        <f t="shared" si="31"/>
        <v>-1</v>
      </c>
      <c r="J654" s="1">
        <f t="shared" si="30"/>
        <v>-0.10603894296536964</v>
      </c>
      <c r="K654" s="1">
        <f t="shared" si="32"/>
        <v>0.79916637149447367</v>
      </c>
    </row>
    <row r="655" spans="4:11" ht="15.75" thickBot="1">
      <c r="D655" s="8"/>
      <c r="E655" s="9" t="s">
        <v>28</v>
      </c>
      <c r="F655" s="9" t="s">
        <v>14</v>
      </c>
      <c r="G655" s="17" t="s">
        <v>178</v>
      </c>
      <c r="H655" s="17"/>
      <c r="I655" s="1" t="str">
        <f t="shared" si="31"/>
        <v/>
      </c>
      <c r="J655" s="1" t="str">
        <f t="shared" si="30"/>
        <v/>
      </c>
      <c r="K655" s="1">
        <f t="shared" si="32"/>
        <v>0</v>
      </c>
    </row>
    <row r="656" spans="4:11" ht="15" customHeight="1">
      <c r="D656" s="6" t="s">
        <v>88</v>
      </c>
      <c r="E656" s="7"/>
      <c r="F656" s="7"/>
      <c r="G656" s="17" t="s">
        <v>182</v>
      </c>
      <c r="H656" s="17">
        <v>4</v>
      </c>
      <c r="I656" s="1">
        <f t="shared" si="31"/>
        <v>-1</v>
      </c>
      <c r="J656" s="1">
        <f t="shared" si="30"/>
        <v>-0.8267525400671758</v>
      </c>
      <c r="K656" s="1">
        <f t="shared" si="32"/>
        <v>3.0014682373175526E-2</v>
      </c>
    </row>
    <row r="657" spans="4:11" ht="15.75" thickBot="1">
      <c r="D657" s="8"/>
      <c r="E657" s="9" t="s">
        <v>0</v>
      </c>
      <c r="F657" s="9" t="s">
        <v>11</v>
      </c>
      <c r="G657" s="17" t="s">
        <v>178</v>
      </c>
      <c r="H657" s="17"/>
      <c r="I657" s="1" t="str">
        <f t="shared" si="31"/>
        <v/>
      </c>
      <c r="J657" s="1" t="str">
        <f t="shared" si="30"/>
        <v/>
      </c>
      <c r="K657" s="1">
        <f t="shared" si="32"/>
        <v>0</v>
      </c>
    </row>
    <row r="658" spans="4:11" ht="15" customHeight="1">
      <c r="D658" s="6" t="s">
        <v>88</v>
      </c>
      <c r="E658" s="7"/>
      <c r="F658" s="7"/>
      <c r="G658" s="17" t="s">
        <v>184</v>
      </c>
      <c r="H658" s="17">
        <v>0</v>
      </c>
      <c r="I658" s="1">
        <f t="shared" si="31"/>
        <v>4</v>
      </c>
      <c r="J658" s="1">
        <f t="shared" si="30"/>
        <v>-0.32137255788732944</v>
      </c>
      <c r="K658" s="1">
        <f t="shared" si="32"/>
        <v>18.67426078406168</v>
      </c>
    </row>
    <row r="659" spans="4:11" ht="15.75" thickBot="1">
      <c r="D659" s="8"/>
      <c r="E659" s="9" t="s">
        <v>34</v>
      </c>
      <c r="F659" s="9" t="s">
        <v>23</v>
      </c>
      <c r="G659" s="17" t="s">
        <v>178</v>
      </c>
      <c r="H659" s="17"/>
      <c r="I659" s="1" t="str">
        <f t="shared" si="31"/>
        <v/>
      </c>
      <c r="J659" s="1" t="str">
        <f t="shared" si="30"/>
        <v/>
      </c>
      <c r="K659" s="1">
        <f t="shared" si="32"/>
        <v>0</v>
      </c>
    </row>
    <row r="660" spans="4:11" ht="15" customHeight="1">
      <c r="D660" s="6" t="s">
        <v>88</v>
      </c>
      <c r="E660" s="7"/>
      <c r="F660" s="7"/>
      <c r="G660" s="17" t="s">
        <v>182</v>
      </c>
      <c r="H660" s="17">
        <v>2</v>
      </c>
      <c r="I660" s="1">
        <f t="shared" si="31"/>
        <v>1</v>
      </c>
      <c r="J660" s="1">
        <f t="shared" si="30"/>
        <v>0.58125439856569017</v>
      </c>
      <c r="K660" s="1">
        <f t="shared" si="32"/>
        <v>0.17534787872058186</v>
      </c>
    </row>
    <row r="661" spans="4:11" ht="15.75" thickBot="1">
      <c r="D661" s="8"/>
      <c r="E661" s="9" t="s">
        <v>20</v>
      </c>
      <c r="F661" s="9" t="s">
        <v>22</v>
      </c>
      <c r="G661" s="17" t="s">
        <v>178</v>
      </c>
      <c r="H661" s="17"/>
      <c r="I661" s="1" t="str">
        <f t="shared" si="31"/>
        <v/>
      </c>
      <c r="J661" s="1" t="str">
        <f t="shared" si="30"/>
        <v/>
      </c>
      <c r="K661" s="1">
        <f t="shared" si="32"/>
        <v>0</v>
      </c>
    </row>
    <row r="662" spans="4:11" ht="18" customHeight="1">
      <c r="D662" s="6" t="s">
        <v>88</v>
      </c>
      <c r="E662" s="7"/>
      <c r="F662" s="7"/>
      <c r="G662" s="17" t="s">
        <v>180</v>
      </c>
      <c r="H662" s="17">
        <v>0</v>
      </c>
      <c r="I662" s="1">
        <f t="shared" si="31"/>
        <v>2</v>
      </c>
      <c r="J662" s="1">
        <f t="shared" si="30"/>
        <v>0.32293413773464863</v>
      </c>
      <c r="K662" s="1">
        <f t="shared" si="32"/>
        <v>2.8125499063758266</v>
      </c>
    </row>
    <row r="663" spans="4:11" ht="15.75" thickBot="1">
      <c r="D663" s="8"/>
      <c r="E663" s="9" t="s">
        <v>4</v>
      </c>
      <c r="F663" s="9" t="s">
        <v>33</v>
      </c>
      <c r="G663" s="17" t="s">
        <v>178</v>
      </c>
      <c r="H663" s="17"/>
      <c r="I663" s="1" t="str">
        <f t="shared" si="31"/>
        <v/>
      </c>
      <c r="J663" s="1" t="str">
        <f t="shared" si="30"/>
        <v/>
      </c>
      <c r="K663" s="1">
        <f t="shared" si="32"/>
        <v>0</v>
      </c>
    </row>
    <row r="664" spans="4:11" ht="15" customHeight="1">
      <c r="D664" s="6" t="s">
        <v>89</v>
      </c>
      <c r="E664" s="7"/>
      <c r="F664" s="7"/>
      <c r="G664" s="17" t="s">
        <v>179</v>
      </c>
      <c r="H664" s="17">
        <v>1</v>
      </c>
      <c r="I664" s="1">
        <f t="shared" si="31"/>
        <v>-1</v>
      </c>
      <c r="J664" s="1">
        <f t="shared" si="30"/>
        <v>-1.2940135142149529</v>
      </c>
      <c r="K664" s="1">
        <f t="shared" si="32"/>
        <v>8.6443946541026329E-2</v>
      </c>
    </row>
    <row r="665" spans="4:11" ht="15.75" thickBot="1">
      <c r="D665" s="8"/>
      <c r="E665" s="9" t="s">
        <v>24</v>
      </c>
      <c r="F665" s="9" t="s">
        <v>19</v>
      </c>
      <c r="G665" s="17" t="s">
        <v>178</v>
      </c>
      <c r="H665" s="17"/>
      <c r="I665" s="1" t="str">
        <f t="shared" si="31"/>
        <v/>
      </c>
      <c r="J665" s="1" t="str">
        <f t="shared" si="30"/>
        <v/>
      </c>
      <c r="K665" s="1">
        <f t="shared" si="32"/>
        <v>0</v>
      </c>
    </row>
    <row r="666" spans="4:11" ht="15" customHeight="1">
      <c r="D666" s="6" t="s">
        <v>90</v>
      </c>
      <c r="E666" s="7"/>
      <c r="F666" s="7"/>
      <c r="G666" s="17" t="s">
        <v>182</v>
      </c>
      <c r="H666" s="17">
        <v>0</v>
      </c>
      <c r="I666" s="1">
        <f t="shared" si="31"/>
        <v>3</v>
      </c>
      <c r="J666" s="1">
        <f t="shared" si="30"/>
        <v>0.81192185336091427</v>
      </c>
      <c r="K666" s="1">
        <f t="shared" si="32"/>
        <v>4.787685975799536</v>
      </c>
    </row>
    <row r="667" spans="4:11" ht="30.75" thickBot="1">
      <c r="D667" s="13"/>
      <c r="E667" s="9" t="s">
        <v>38</v>
      </c>
      <c r="F667" s="9" t="s">
        <v>1</v>
      </c>
      <c r="G667" s="17" t="s">
        <v>178</v>
      </c>
      <c r="H667" s="17"/>
      <c r="I667" s="1" t="str">
        <f t="shared" si="31"/>
        <v/>
      </c>
      <c r="J667" s="1" t="str">
        <f t="shared" si="30"/>
        <v/>
      </c>
      <c r="K667" s="1">
        <f t="shared" si="32"/>
        <v>0</v>
      </c>
    </row>
    <row r="668" spans="4:11" ht="18" customHeight="1">
      <c r="D668" s="14" t="s">
        <v>90</v>
      </c>
      <c r="E668" s="7"/>
      <c r="F668" s="7"/>
      <c r="G668" s="17" t="s">
        <v>184</v>
      </c>
      <c r="H668" s="17">
        <v>1</v>
      </c>
      <c r="I668" s="1">
        <f t="shared" si="31"/>
        <v>3</v>
      </c>
      <c r="J668" s="1">
        <f t="shared" si="30"/>
        <v>1.0699108759898905</v>
      </c>
      <c r="K668" s="1">
        <f t="shared" si="32"/>
        <v>3.7252440266221116</v>
      </c>
    </row>
    <row r="669" spans="4:11" ht="15.75" thickBot="1">
      <c r="D669" s="8"/>
      <c r="E669" s="9" t="s">
        <v>20</v>
      </c>
      <c r="F669" s="9" t="s">
        <v>10</v>
      </c>
      <c r="G669" s="17" t="s">
        <v>178</v>
      </c>
      <c r="H669" s="17"/>
      <c r="I669" s="1" t="str">
        <f t="shared" si="31"/>
        <v/>
      </c>
      <c r="J669" s="1" t="str">
        <f t="shared" si="30"/>
        <v/>
      </c>
      <c r="K669" s="1">
        <f t="shared" si="32"/>
        <v>0</v>
      </c>
    </row>
    <row r="670" spans="4:11" ht="15" customHeight="1">
      <c r="D670" s="6" t="s">
        <v>90</v>
      </c>
      <c r="E670" s="7"/>
      <c r="F670" s="7"/>
      <c r="G670" s="17" t="s">
        <v>180</v>
      </c>
      <c r="H670" s="17">
        <v>5</v>
      </c>
      <c r="I670" s="1">
        <f t="shared" si="31"/>
        <v>-3</v>
      </c>
      <c r="J670" s="1">
        <f t="shared" si="30"/>
        <v>0.1011382423413778</v>
      </c>
      <c r="K670" s="1">
        <f t="shared" si="32"/>
        <v>9.6170583981121709</v>
      </c>
    </row>
    <row r="671" spans="4:11" ht="30.75" thickBot="1">
      <c r="D671" s="8"/>
      <c r="E671" s="9" t="s">
        <v>41</v>
      </c>
      <c r="F671" s="9" t="s">
        <v>12</v>
      </c>
      <c r="G671" s="17" t="s">
        <v>178</v>
      </c>
      <c r="H671" s="17"/>
      <c r="I671" s="1" t="str">
        <f t="shared" si="31"/>
        <v/>
      </c>
      <c r="J671" s="1" t="str">
        <f t="shared" si="30"/>
        <v/>
      </c>
      <c r="K671" s="1">
        <f t="shared" si="32"/>
        <v>0</v>
      </c>
    </row>
    <row r="672" spans="4:11" ht="18" customHeight="1">
      <c r="D672" s="6" t="s">
        <v>90</v>
      </c>
      <c r="E672" s="7"/>
      <c r="F672" s="7"/>
      <c r="G672" s="17" t="s">
        <v>181</v>
      </c>
      <c r="H672" s="17">
        <v>2</v>
      </c>
      <c r="I672" s="1">
        <f t="shared" si="31"/>
        <v>-1</v>
      </c>
      <c r="J672" s="1">
        <f t="shared" si="30"/>
        <v>0.1411098527931216</v>
      </c>
      <c r="K672" s="1">
        <f t="shared" si="32"/>
        <v>1.3021316961415397</v>
      </c>
    </row>
    <row r="673" spans="4:11" ht="15.75" thickBot="1">
      <c r="D673" s="8"/>
      <c r="E673" s="9" t="s">
        <v>25</v>
      </c>
      <c r="F673" s="9" t="s">
        <v>2</v>
      </c>
      <c r="G673" s="17" t="s">
        <v>178</v>
      </c>
      <c r="H673" s="17"/>
      <c r="I673" s="1" t="str">
        <f t="shared" si="31"/>
        <v/>
      </c>
      <c r="J673" s="1" t="str">
        <f t="shared" si="30"/>
        <v/>
      </c>
      <c r="K673" s="1">
        <f t="shared" si="32"/>
        <v>0</v>
      </c>
    </row>
    <row r="674" spans="4:11" ht="18" customHeight="1">
      <c r="D674" s="6" t="s">
        <v>90</v>
      </c>
      <c r="E674" s="7"/>
      <c r="F674" s="7"/>
      <c r="G674" s="17" t="s">
        <v>181</v>
      </c>
      <c r="H674" s="17">
        <v>2</v>
      </c>
      <c r="I674" s="1">
        <f t="shared" si="31"/>
        <v>-1</v>
      </c>
      <c r="J674" s="1">
        <f t="shared" si="30"/>
        <v>1.6934263197607891</v>
      </c>
      <c r="K674" s="1">
        <f t="shared" si="32"/>
        <v>7.2545453399801483</v>
      </c>
    </row>
    <row r="675" spans="4:11" ht="15.75" thickBot="1">
      <c r="D675" s="8"/>
      <c r="E675" s="9" t="s">
        <v>443</v>
      </c>
      <c r="F675" s="9" t="s">
        <v>8</v>
      </c>
      <c r="G675" s="17" t="s">
        <v>178</v>
      </c>
      <c r="H675" s="17"/>
      <c r="I675" s="1" t="str">
        <f t="shared" si="31"/>
        <v/>
      </c>
      <c r="J675" s="1" t="str">
        <f t="shared" si="30"/>
        <v/>
      </c>
      <c r="K675" s="1">
        <f t="shared" si="32"/>
        <v>0</v>
      </c>
    </row>
    <row r="676" spans="4:11" ht="15" customHeight="1">
      <c r="D676" s="6" t="s">
        <v>90</v>
      </c>
      <c r="E676" s="7"/>
      <c r="F676" s="7"/>
      <c r="G676" s="17" t="s">
        <v>185</v>
      </c>
      <c r="H676" s="17">
        <v>4</v>
      </c>
      <c r="I676" s="1">
        <f t="shared" si="31"/>
        <v>1</v>
      </c>
      <c r="J676" s="1">
        <f t="shared" si="30"/>
        <v>0.47719288361058432</v>
      </c>
      <c r="K676" s="1">
        <f t="shared" si="32"/>
        <v>0.27332728094741604</v>
      </c>
    </row>
    <row r="677" spans="4:11" ht="15.75" thickBot="1">
      <c r="D677" s="8"/>
      <c r="E677" s="9" t="s">
        <v>13</v>
      </c>
      <c r="F677" s="9" t="s">
        <v>36</v>
      </c>
      <c r="G677" s="17" t="s">
        <v>178</v>
      </c>
      <c r="H677" s="17"/>
      <c r="I677" s="1" t="str">
        <f t="shared" si="31"/>
        <v/>
      </c>
      <c r="J677" s="1" t="str">
        <f t="shared" si="30"/>
        <v/>
      </c>
      <c r="K677" s="1">
        <f t="shared" si="32"/>
        <v>0</v>
      </c>
    </row>
    <row r="678" spans="4:11" ht="15" customHeight="1">
      <c r="D678" s="6" t="s">
        <v>90</v>
      </c>
      <c r="E678" s="7"/>
      <c r="F678" s="7"/>
      <c r="G678" s="17" t="s">
        <v>184</v>
      </c>
      <c r="H678" s="17">
        <v>2</v>
      </c>
      <c r="I678" s="1">
        <f t="shared" si="31"/>
        <v>2</v>
      </c>
      <c r="J678" s="1">
        <f t="shared" si="30"/>
        <v>-0.64380459313690608</v>
      </c>
      <c r="K678" s="1">
        <f t="shared" si="32"/>
        <v>6.9897027266918013</v>
      </c>
    </row>
    <row r="679" spans="4:11" ht="15.75" thickBot="1">
      <c r="D679" s="8"/>
      <c r="E679" s="9" t="s">
        <v>28</v>
      </c>
      <c r="F679" s="9" t="s">
        <v>11</v>
      </c>
      <c r="G679" s="17" t="s">
        <v>178</v>
      </c>
      <c r="H679" s="17"/>
      <c r="I679" s="1" t="str">
        <f t="shared" si="31"/>
        <v/>
      </c>
      <c r="J679" s="1" t="str">
        <f t="shared" si="30"/>
        <v/>
      </c>
      <c r="K679" s="1">
        <f t="shared" si="32"/>
        <v>0</v>
      </c>
    </row>
    <row r="680" spans="4:11" ht="15" customHeight="1">
      <c r="D680" s="6" t="s">
        <v>90</v>
      </c>
      <c r="E680" s="7"/>
      <c r="F680" s="7"/>
      <c r="G680" s="17" t="s">
        <v>185</v>
      </c>
      <c r="H680" s="17">
        <v>0</v>
      </c>
      <c r="I680" s="1">
        <f t="shared" si="31"/>
        <v>5</v>
      </c>
      <c r="J680" s="1">
        <f t="shared" si="30"/>
        <v>0.46797435752120009</v>
      </c>
      <c r="K680" s="1">
        <f t="shared" si="32"/>
        <v>20.53925642408538</v>
      </c>
    </row>
    <row r="681" spans="4:11" ht="15.75" thickBot="1">
      <c r="D681" s="8"/>
      <c r="E681" s="9" t="s">
        <v>3</v>
      </c>
      <c r="F681" s="9" t="s">
        <v>7</v>
      </c>
      <c r="G681" s="17" t="s">
        <v>178</v>
      </c>
      <c r="H681" s="17"/>
      <c r="I681" s="1" t="str">
        <f t="shared" si="31"/>
        <v/>
      </c>
      <c r="J681" s="1" t="str">
        <f t="shared" si="30"/>
        <v/>
      </c>
      <c r="K681" s="1">
        <f t="shared" si="32"/>
        <v>0</v>
      </c>
    </row>
    <row r="682" spans="4:11" ht="18" customHeight="1">
      <c r="D682" s="6" t="s">
        <v>90</v>
      </c>
      <c r="E682" s="7"/>
      <c r="F682" s="7"/>
      <c r="G682" s="17" t="s">
        <v>180</v>
      </c>
      <c r="H682" s="17">
        <v>3</v>
      </c>
      <c r="I682" s="1">
        <f t="shared" si="31"/>
        <v>-1</v>
      </c>
      <c r="J682" s="1">
        <f t="shared" si="30"/>
        <v>0.41883771321120378</v>
      </c>
      <c r="K682" s="1">
        <f t="shared" si="32"/>
        <v>2.013100456430398</v>
      </c>
    </row>
    <row r="683" spans="4:11" ht="15.75" thickBot="1">
      <c r="D683" s="8"/>
      <c r="E683" s="9" t="s">
        <v>18</v>
      </c>
      <c r="F683" s="9" t="s">
        <v>14</v>
      </c>
      <c r="G683" s="17" t="s">
        <v>178</v>
      </c>
      <c r="H683" s="17"/>
      <c r="I683" s="1" t="str">
        <f t="shared" si="31"/>
        <v/>
      </c>
      <c r="J683" s="1" t="str">
        <f t="shared" si="30"/>
        <v/>
      </c>
      <c r="K683" s="1">
        <f t="shared" si="32"/>
        <v>0</v>
      </c>
    </row>
    <row r="684" spans="4:11" ht="15" customHeight="1">
      <c r="D684" s="6" t="s">
        <v>90</v>
      </c>
      <c r="E684" s="7"/>
      <c r="F684" s="7"/>
      <c r="G684" s="17" t="s">
        <v>182</v>
      </c>
      <c r="H684" s="17">
        <v>4</v>
      </c>
      <c r="I684" s="1">
        <f t="shared" si="31"/>
        <v>-1</v>
      </c>
      <c r="J684" s="1">
        <f t="shared" si="30"/>
        <v>-1.3951428938979262</v>
      </c>
      <c r="K684" s="1">
        <f t="shared" si="32"/>
        <v>0.15613790659802779</v>
      </c>
    </row>
    <row r="685" spans="4:11" ht="15.75" thickBot="1">
      <c r="D685" s="8"/>
      <c r="E685" s="9" t="s">
        <v>24</v>
      </c>
      <c r="F685" s="9" t="s">
        <v>39</v>
      </c>
      <c r="G685" s="17" t="s">
        <v>178</v>
      </c>
      <c r="H685" s="17"/>
      <c r="I685" s="1" t="str">
        <f t="shared" si="31"/>
        <v/>
      </c>
      <c r="J685" s="1" t="str">
        <f t="shared" si="30"/>
        <v/>
      </c>
      <c r="K685" s="1">
        <f t="shared" si="32"/>
        <v>0</v>
      </c>
    </row>
    <row r="686" spans="4:11" ht="15" customHeight="1">
      <c r="D686" s="6" t="s">
        <v>90</v>
      </c>
      <c r="E686" s="7"/>
      <c r="F686" s="7"/>
      <c r="G686" s="17" t="s">
        <v>185</v>
      </c>
      <c r="H686" s="17">
        <v>4</v>
      </c>
      <c r="I686" s="1">
        <f t="shared" si="31"/>
        <v>1</v>
      </c>
      <c r="J686" s="1">
        <f t="shared" si="30"/>
        <v>0.49449395946012942</v>
      </c>
      <c r="K686" s="1">
        <f t="shared" si="32"/>
        <v>0.25553635702229727</v>
      </c>
    </row>
    <row r="687" spans="4:11" ht="15.75" thickBot="1">
      <c r="D687" s="8"/>
      <c r="E687" s="9" t="s">
        <v>23</v>
      </c>
      <c r="F687" s="9" t="s">
        <v>21</v>
      </c>
      <c r="G687" s="17" t="s">
        <v>178</v>
      </c>
      <c r="H687" s="17"/>
      <c r="I687" s="1" t="str">
        <f t="shared" si="31"/>
        <v/>
      </c>
      <c r="J687" s="1" t="str">
        <f t="shared" si="30"/>
        <v/>
      </c>
      <c r="K687" s="1">
        <f t="shared" si="32"/>
        <v>0</v>
      </c>
    </row>
    <row r="688" spans="4:11" ht="15" customHeight="1">
      <c r="D688" s="6" t="s">
        <v>91</v>
      </c>
      <c r="E688" s="7"/>
      <c r="F688" s="7"/>
      <c r="G688" s="17" t="s">
        <v>180</v>
      </c>
      <c r="H688" s="17">
        <v>5</v>
      </c>
      <c r="I688" s="1">
        <f t="shared" si="31"/>
        <v>-3</v>
      </c>
      <c r="J688" s="1">
        <f t="shared" si="30"/>
        <v>-0.81192185336091427</v>
      </c>
      <c r="K688" s="1">
        <f t="shared" si="32"/>
        <v>4.787685975799536</v>
      </c>
    </row>
    <row r="689" spans="4:11" ht="15.75" thickBot="1">
      <c r="D689" s="8"/>
      <c r="E689" s="9" t="s">
        <v>1</v>
      </c>
      <c r="F689" s="9" t="s">
        <v>38</v>
      </c>
      <c r="G689" s="17" t="s">
        <v>178</v>
      </c>
      <c r="H689" s="17"/>
      <c r="I689" s="1" t="str">
        <f t="shared" si="31"/>
        <v/>
      </c>
      <c r="J689" s="1" t="str">
        <f t="shared" si="30"/>
        <v/>
      </c>
      <c r="K689" s="1">
        <f t="shared" si="32"/>
        <v>0</v>
      </c>
    </row>
    <row r="690" spans="4:11" ht="15" customHeight="1">
      <c r="D690" s="6" t="s">
        <v>91</v>
      </c>
      <c r="E690" s="7"/>
      <c r="F690" s="7"/>
      <c r="G690" s="17" t="s">
        <v>180</v>
      </c>
      <c r="H690" s="17">
        <v>6</v>
      </c>
      <c r="I690" s="1">
        <f t="shared" si="31"/>
        <v>-4</v>
      </c>
      <c r="J690" s="1">
        <f t="shared" si="30"/>
        <v>0.98940251905965226</v>
      </c>
      <c r="K690" s="1">
        <f t="shared" si="32"/>
        <v>24.894137497198805</v>
      </c>
    </row>
    <row r="691" spans="4:11" ht="15.75" thickBot="1">
      <c r="D691" s="8"/>
      <c r="E691" s="9" t="s">
        <v>12</v>
      </c>
      <c r="F691" s="9" t="s">
        <v>0</v>
      </c>
      <c r="G691" s="17" t="s">
        <v>178</v>
      </c>
      <c r="H691" s="17"/>
      <c r="I691" s="1" t="str">
        <f t="shared" si="31"/>
        <v/>
      </c>
      <c r="J691" s="1" t="str">
        <f t="shared" si="30"/>
        <v/>
      </c>
      <c r="K691" s="1">
        <f t="shared" si="32"/>
        <v>0</v>
      </c>
    </row>
    <row r="692" spans="4:11" ht="15" customHeight="1">
      <c r="D692" s="6" t="s">
        <v>91</v>
      </c>
      <c r="E692" s="7"/>
      <c r="F692" s="7"/>
      <c r="G692" s="17" t="s">
        <v>184</v>
      </c>
      <c r="H692" s="17">
        <v>3</v>
      </c>
      <c r="I692" s="1">
        <f t="shared" si="31"/>
        <v>1</v>
      </c>
      <c r="J692" s="1">
        <f t="shared" si="30"/>
        <v>-1.6934263197607891</v>
      </c>
      <c r="K692" s="1">
        <f t="shared" si="32"/>
        <v>7.2545453399801483</v>
      </c>
    </row>
    <row r="693" spans="4:11" ht="15.75" thickBot="1">
      <c r="D693" s="8"/>
      <c r="E693" s="9" t="s">
        <v>8</v>
      </c>
      <c r="F693" s="9" t="s">
        <v>443</v>
      </c>
      <c r="G693" s="17" t="s">
        <v>178</v>
      </c>
      <c r="H693" s="17"/>
      <c r="I693" s="1" t="str">
        <f t="shared" si="31"/>
        <v/>
      </c>
      <c r="J693" s="1" t="str">
        <f t="shared" si="30"/>
        <v/>
      </c>
      <c r="K693" s="1">
        <f t="shared" si="32"/>
        <v>0</v>
      </c>
    </row>
    <row r="694" spans="4:11" ht="15" customHeight="1">
      <c r="D694" s="6" t="s">
        <v>91</v>
      </c>
      <c r="E694" s="7"/>
      <c r="F694" s="7"/>
      <c r="G694" s="17" t="s">
        <v>181</v>
      </c>
      <c r="H694" s="17">
        <v>4</v>
      </c>
      <c r="I694" s="1">
        <f t="shared" si="31"/>
        <v>-3</v>
      </c>
      <c r="J694" s="1">
        <f t="shared" si="30"/>
        <v>-0.38381264361210299</v>
      </c>
      <c r="K694" s="1">
        <f t="shared" si="32"/>
        <v>6.8444362837238932</v>
      </c>
    </row>
    <row r="695" spans="4:11" ht="15.75" thickBot="1">
      <c r="D695" s="8"/>
      <c r="E695" s="9" t="s">
        <v>18</v>
      </c>
      <c r="F695" s="9" t="s">
        <v>37</v>
      </c>
      <c r="G695" s="17" t="s">
        <v>178</v>
      </c>
      <c r="H695" s="17"/>
      <c r="I695" s="1" t="str">
        <f t="shared" si="31"/>
        <v/>
      </c>
      <c r="J695" s="1" t="str">
        <f t="shared" si="30"/>
        <v/>
      </c>
      <c r="K695" s="1">
        <f t="shared" si="32"/>
        <v>0</v>
      </c>
    </row>
    <row r="696" spans="4:11" ht="15" customHeight="1">
      <c r="D696" s="6" t="s">
        <v>91</v>
      </c>
      <c r="E696" s="7"/>
      <c r="F696" s="7"/>
      <c r="G696" s="17" t="s">
        <v>181</v>
      </c>
      <c r="H696" s="17">
        <v>3</v>
      </c>
      <c r="I696" s="1">
        <f t="shared" si="31"/>
        <v>-2</v>
      </c>
      <c r="J696" s="1">
        <f t="shared" si="30"/>
        <v>-0.89187252499026215</v>
      </c>
      <c r="K696" s="1">
        <f t="shared" si="32"/>
        <v>1.2279465008714572</v>
      </c>
    </row>
    <row r="697" spans="4:11" ht="15.75" thickBot="1">
      <c r="D697" s="8"/>
      <c r="E697" s="9" t="s">
        <v>36</v>
      </c>
      <c r="F697" s="9" t="s">
        <v>41</v>
      </c>
      <c r="G697" s="17" t="s">
        <v>178</v>
      </c>
      <c r="H697" s="17"/>
      <c r="I697" s="1" t="str">
        <f t="shared" si="31"/>
        <v/>
      </c>
      <c r="J697" s="1" t="str">
        <f t="shared" si="30"/>
        <v/>
      </c>
      <c r="K697" s="1">
        <f t="shared" si="32"/>
        <v>0</v>
      </c>
    </row>
    <row r="698" spans="4:11" ht="15" customHeight="1">
      <c r="D698" s="6" t="s">
        <v>91</v>
      </c>
      <c r="E698" s="7"/>
      <c r="F698" s="7"/>
      <c r="G698" s="17" t="s">
        <v>182</v>
      </c>
      <c r="H698" s="17">
        <v>2</v>
      </c>
      <c r="I698" s="1">
        <f t="shared" si="31"/>
        <v>1</v>
      </c>
      <c r="J698" s="1">
        <f t="shared" si="30"/>
        <v>0.64380459313690608</v>
      </c>
      <c r="K698" s="1">
        <f t="shared" si="32"/>
        <v>0.12687516787036501</v>
      </c>
    </row>
    <row r="699" spans="4:11" ht="15.75" thickBot="1">
      <c r="D699" s="8"/>
      <c r="E699" s="9" t="s">
        <v>11</v>
      </c>
      <c r="F699" s="9" t="s">
        <v>28</v>
      </c>
      <c r="G699" s="17" t="s">
        <v>178</v>
      </c>
      <c r="H699" s="17"/>
      <c r="I699" s="1" t="str">
        <f t="shared" si="31"/>
        <v/>
      </c>
      <c r="J699" s="1" t="str">
        <f t="shared" si="30"/>
        <v/>
      </c>
      <c r="K699" s="1">
        <f t="shared" si="32"/>
        <v>0</v>
      </c>
    </row>
    <row r="700" spans="4:11" ht="15" customHeight="1">
      <c r="D700" s="6" t="s">
        <v>91</v>
      </c>
      <c r="E700" s="7"/>
      <c r="F700" s="7"/>
      <c r="G700" s="17" t="s">
        <v>181</v>
      </c>
      <c r="H700" s="17">
        <v>2</v>
      </c>
      <c r="I700" s="1">
        <f t="shared" si="31"/>
        <v>-1</v>
      </c>
      <c r="J700" s="1">
        <f t="shared" si="30"/>
        <v>-0.70428936191569846</v>
      </c>
      <c r="K700" s="1">
        <f t="shared" si="32"/>
        <v>8.7444781476224767E-2</v>
      </c>
    </row>
    <row r="701" spans="4:11" ht="15.75" thickBot="1">
      <c r="D701" s="8"/>
      <c r="E701" s="9" t="s">
        <v>7</v>
      </c>
      <c r="F701" s="9" t="s">
        <v>19</v>
      </c>
      <c r="G701" s="17" t="s">
        <v>178</v>
      </c>
      <c r="H701" s="17"/>
      <c r="I701" s="1" t="str">
        <f t="shared" si="31"/>
        <v/>
      </c>
      <c r="J701" s="1" t="str">
        <f t="shared" si="30"/>
        <v/>
      </c>
      <c r="K701" s="1">
        <f t="shared" si="32"/>
        <v>0</v>
      </c>
    </row>
    <row r="702" spans="4:11" ht="15" customHeight="1">
      <c r="D702" s="6" t="s">
        <v>91</v>
      </c>
      <c r="E702" s="7"/>
      <c r="F702" s="7"/>
      <c r="G702" s="17" t="s">
        <v>182</v>
      </c>
      <c r="H702" s="17">
        <v>2</v>
      </c>
      <c r="I702" s="1">
        <f t="shared" si="31"/>
        <v>1</v>
      </c>
      <c r="J702" s="1">
        <f t="shared" si="30"/>
        <v>9.1771481426917489E-2</v>
      </c>
      <c r="K702" s="1">
        <f t="shared" si="32"/>
        <v>0.82487904194945605</v>
      </c>
    </row>
    <row r="703" spans="4:11" ht="15.75" thickBot="1">
      <c r="D703" s="8"/>
      <c r="E703" s="9" t="s">
        <v>39</v>
      </c>
      <c r="F703" s="9" t="s">
        <v>23</v>
      </c>
      <c r="G703" s="17" t="s">
        <v>178</v>
      </c>
      <c r="H703" s="17"/>
      <c r="I703" s="1" t="str">
        <f t="shared" si="31"/>
        <v/>
      </c>
      <c r="J703" s="1" t="str">
        <f t="shared" si="30"/>
        <v/>
      </c>
      <c r="K703" s="1">
        <f t="shared" si="32"/>
        <v>0</v>
      </c>
    </row>
    <row r="704" spans="4:11" ht="15" customHeight="1">
      <c r="D704" s="6" t="s">
        <v>91</v>
      </c>
      <c r="E704" s="7"/>
      <c r="F704" s="7"/>
      <c r="G704" s="17" t="s">
        <v>180</v>
      </c>
      <c r="H704" s="17">
        <v>5</v>
      </c>
      <c r="I704" s="1">
        <f t="shared" si="31"/>
        <v>-3</v>
      </c>
      <c r="J704" s="1">
        <f t="shared" si="30"/>
        <v>-3.9181568679765633E-2</v>
      </c>
      <c r="K704" s="1">
        <f t="shared" si="32"/>
        <v>8.7664457832456133</v>
      </c>
    </row>
    <row r="705" spans="4:11" ht="15.75" thickBot="1">
      <c r="D705" s="8"/>
      <c r="E705" s="9" t="s">
        <v>21</v>
      </c>
      <c r="F705" s="9" t="s">
        <v>22</v>
      </c>
      <c r="G705" s="17" t="s">
        <v>178</v>
      </c>
      <c r="H705" s="17"/>
      <c r="I705" s="1" t="str">
        <f t="shared" si="31"/>
        <v/>
      </c>
      <c r="J705" s="1" t="str">
        <f t="shared" si="30"/>
        <v/>
      </c>
      <c r="K705" s="1">
        <f t="shared" si="32"/>
        <v>0</v>
      </c>
    </row>
    <row r="706" spans="4:11" ht="18" customHeight="1">
      <c r="D706" s="6" t="s">
        <v>91</v>
      </c>
      <c r="E706" s="7"/>
      <c r="F706" s="7"/>
      <c r="G706" s="17" t="s">
        <v>182</v>
      </c>
      <c r="H706" s="17">
        <v>0</v>
      </c>
      <c r="I706" s="1">
        <f t="shared" si="31"/>
        <v>3</v>
      </c>
      <c r="J706" s="1">
        <f t="shared" si="30"/>
        <v>0.80982891348897112</v>
      </c>
      <c r="K706" s="1">
        <f t="shared" si="32"/>
        <v>4.7968493881889005</v>
      </c>
    </row>
    <row r="707" spans="4:11" ht="15.75" thickBot="1">
      <c r="D707" s="8"/>
      <c r="E707" s="9" t="s">
        <v>4</v>
      </c>
      <c r="F707" s="9" t="s">
        <v>26</v>
      </c>
      <c r="G707" s="17" t="s">
        <v>178</v>
      </c>
      <c r="H707" s="17"/>
      <c r="I707" s="1" t="str">
        <f t="shared" si="31"/>
        <v/>
      </c>
      <c r="J707" s="1" t="str">
        <f t="shared" ref="J707:J770" si="33">IF(F708="","",VLOOKUP(F708,$A$2:$B$31,2)+$B$33-VLOOKUP(E708,$A$2:$B$31,2))</f>
        <v/>
      </c>
      <c r="K707" s="1">
        <f t="shared" si="32"/>
        <v>0</v>
      </c>
    </row>
    <row r="708" spans="4:11" ht="15" customHeight="1">
      <c r="D708" s="6" t="s">
        <v>91</v>
      </c>
      <c r="E708" s="7"/>
      <c r="F708" s="7"/>
      <c r="G708" s="17" t="s">
        <v>184</v>
      </c>
      <c r="H708" s="17">
        <v>1</v>
      </c>
      <c r="I708" s="1">
        <f t="shared" ref="I708:I771" si="34">IF(G708="","",G708-H708)</f>
        <v>3</v>
      </c>
      <c r="J708" s="1">
        <f t="shared" si="33"/>
        <v>0.44731456567265582</v>
      </c>
      <c r="K708" s="1">
        <f t="shared" ref="K708:K771" si="35">IF(J708="",0,(I708-J708)^2)</f>
        <v>6.5162029266269821</v>
      </c>
    </row>
    <row r="709" spans="4:11" ht="15.75" thickBot="1">
      <c r="D709" s="8"/>
      <c r="E709" s="9" t="s">
        <v>20</v>
      </c>
      <c r="F709" s="9" t="s">
        <v>34</v>
      </c>
      <c r="G709" s="17" t="s">
        <v>178</v>
      </c>
      <c r="H709" s="17"/>
      <c r="I709" s="1" t="str">
        <f t="shared" si="34"/>
        <v/>
      </c>
      <c r="J709" s="1" t="str">
        <f t="shared" si="33"/>
        <v/>
      </c>
      <c r="K709" s="1">
        <f t="shared" si="35"/>
        <v>0</v>
      </c>
    </row>
    <row r="710" spans="4:11" ht="18" customHeight="1">
      <c r="D710" s="6" t="s">
        <v>91</v>
      </c>
      <c r="E710" s="7"/>
      <c r="F710" s="7"/>
      <c r="G710" s="17" t="s">
        <v>184</v>
      </c>
      <c r="H710" s="17">
        <v>6</v>
      </c>
      <c r="I710" s="1">
        <f t="shared" si="34"/>
        <v>-2</v>
      </c>
      <c r="J710" s="1">
        <f t="shared" si="33"/>
        <v>-0.4868947757543225</v>
      </c>
      <c r="K710" s="1">
        <f t="shared" si="35"/>
        <v>2.289487419639562</v>
      </c>
    </row>
    <row r="711" spans="4:11" ht="15.75" thickBot="1">
      <c r="D711" s="8"/>
      <c r="E711" s="9" t="s">
        <v>10</v>
      </c>
      <c r="F711" s="9" t="s">
        <v>33</v>
      </c>
      <c r="G711" s="17" t="s">
        <v>178</v>
      </c>
      <c r="H711" s="17"/>
      <c r="I711" s="1" t="str">
        <f t="shared" si="34"/>
        <v/>
      </c>
      <c r="J711" s="1" t="str">
        <f t="shared" si="33"/>
        <v/>
      </c>
      <c r="K711" s="1">
        <f t="shared" si="35"/>
        <v>0</v>
      </c>
    </row>
    <row r="712" spans="4:11" ht="15" customHeight="1">
      <c r="D712" s="6" t="s">
        <v>92</v>
      </c>
      <c r="E712" s="7"/>
      <c r="F712" s="7"/>
      <c r="G712" s="17" t="s">
        <v>182</v>
      </c>
      <c r="H712" s="17">
        <v>5</v>
      </c>
      <c r="I712" s="1">
        <f t="shared" si="34"/>
        <v>-2</v>
      </c>
      <c r="J712" s="1">
        <f t="shared" si="33"/>
        <v>5.0039022269046995E-2</v>
      </c>
      <c r="K712" s="1">
        <f t="shared" si="35"/>
        <v>4.2026599928258301</v>
      </c>
    </row>
    <row r="713" spans="4:11" ht="15.75" thickBot="1">
      <c r="D713" s="8"/>
      <c r="E713" s="11" t="s">
        <v>3</v>
      </c>
      <c r="F713" s="11" t="s">
        <v>13</v>
      </c>
      <c r="G713" s="17" t="s">
        <v>178</v>
      </c>
      <c r="H713" s="17"/>
      <c r="I713" s="1" t="str">
        <f t="shared" si="34"/>
        <v/>
      </c>
      <c r="J713" s="1" t="str">
        <f t="shared" si="33"/>
        <v/>
      </c>
      <c r="K713" s="1">
        <f t="shared" si="35"/>
        <v>0</v>
      </c>
    </row>
    <row r="714" spans="4:11" ht="15" customHeight="1">
      <c r="D714" s="6" t="s">
        <v>93</v>
      </c>
      <c r="E714" s="12"/>
      <c r="F714" s="12"/>
      <c r="G714" s="17" t="s">
        <v>183</v>
      </c>
      <c r="H714" s="17">
        <v>3</v>
      </c>
      <c r="I714" s="1">
        <f t="shared" si="34"/>
        <v>3</v>
      </c>
      <c r="J714" s="1">
        <f t="shared" si="33"/>
        <v>1.0964853179160627E-3</v>
      </c>
      <c r="K714" s="1">
        <f t="shared" si="35"/>
        <v>8.9934222903725569</v>
      </c>
    </row>
    <row r="715" spans="4:11" ht="15.75" thickBot="1">
      <c r="D715" s="8"/>
      <c r="E715" s="15" t="s">
        <v>37</v>
      </c>
      <c r="F715" s="15" t="s">
        <v>38</v>
      </c>
      <c r="G715" s="17" t="s">
        <v>178</v>
      </c>
      <c r="H715" s="17"/>
      <c r="I715" s="1" t="str">
        <f t="shared" si="34"/>
        <v/>
      </c>
      <c r="J715" s="1" t="str">
        <f t="shared" si="33"/>
        <v/>
      </c>
      <c r="K715" s="1">
        <f t="shared" si="35"/>
        <v>0</v>
      </c>
    </row>
    <row r="716" spans="4:11" ht="15" customHeight="1">
      <c r="D716" s="6" t="s">
        <v>93</v>
      </c>
      <c r="E716" s="7"/>
      <c r="F716" s="7"/>
      <c r="G716" s="17" t="s">
        <v>181</v>
      </c>
      <c r="H716" s="17">
        <v>2</v>
      </c>
      <c r="I716" s="1">
        <f t="shared" si="34"/>
        <v>-1</v>
      </c>
      <c r="J716" s="1">
        <f t="shared" si="33"/>
        <v>3.1061105126440225E-2</v>
      </c>
      <c r="K716" s="1">
        <f t="shared" si="35"/>
        <v>1.0630870025045562</v>
      </c>
    </row>
    <row r="717" spans="4:11" ht="15.75" thickBot="1">
      <c r="D717" s="8"/>
      <c r="E717" s="15" t="s">
        <v>14</v>
      </c>
      <c r="F717" s="15" t="s">
        <v>7</v>
      </c>
      <c r="G717" s="17" t="s">
        <v>178</v>
      </c>
      <c r="H717" s="17"/>
      <c r="I717" s="1" t="str">
        <f t="shared" si="34"/>
        <v/>
      </c>
      <c r="J717" s="1" t="str">
        <f t="shared" si="33"/>
        <v/>
      </c>
      <c r="K717" s="1">
        <f t="shared" si="35"/>
        <v>0</v>
      </c>
    </row>
    <row r="718" spans="4:11" ht="15" customHeight="1">
      <c r="D718" s="6" t="s">
        <v>93</v>
      </c>
      <c r="E718" s="7"/>
      <c r="F718" s="7"/>
      <c r="G718" s="17" t="s">
        <v>184</v>
      </c>
      <c r="H718" s="17">
        <v>3</v>
      </c>
      <c r="I718" s="1">
        <f t="shared" si="34"/>
        <v>1</v>
      </c>
      <c r="J718" s="1">
        <f t="shared" si="33"/>
        <v>0.37903294794114117</v>
      </c>
      <c r="K718" s="1">
        <f t="shared" si="35"/>
        <v>0.38560007974266947</v>
      </c>
    </row>
    <row r="719" spans="4:11" ht="15.75" thickBot="1">
      <c r="D719" s="8"/>
      <c r="E719" s="15" t="s">
        <v>443</v>
      </c>
      <c r="F719" s="15" t="s">
        <v>22</v>
      </c>
      <c r="G719" s="17" t="s">
        <v>178</v>
      </c>
      <c r="H719" s="17"/>
      <c r="I719" s="1" t="str">
        <f t="shared" si="34"/>
        <v/>
      </c>
      <c r="J719" s="1" t="str">
        <f t="shared" si="33"/>
        <v/>
      </c>
      <c r="K719" s="1">
        <f t="shared" si="35"/>
        <v>0</v>
      </c>
    </row>
    <row r="720" spans="4:11" ht="15" customHeight="1">
      <c r="D720" s="6" t="s">
        <v>93</v>
      </c>
      <c r="E720" s="7"/>
      <c r="F720" s="7"/>
      <c r="G720" s="17" t="s">
        <v>185</v>
      </c>
      <c r="H720" s="17">
        <v>2</v>
      </c>
      <c r="I720" s="1">
        <f t="shared" si="34"/>
        <v>3</v>
      </c>
      <c r="J720" s="1">
        <f t="shared" si="33"/>
        <v>0.35940254426644458</v>
      </c>
      <c r="K720" s="1">
        <f t="shared" si="35"/>
        <v>6.9727549232265265</v>
      </c>
    </row>
    <row r="721" spans="4:11" ht="15.75" thickBot="1">
      <c r="D721" s="8"/>
      <c r="E721" s="15" t="s">
        <v>26</v>
      </c>
      <c r="F721" s="15" t="s">
        <v>24</v>
      </c>
      <c r="G721" s="17" t="s">
        <v>178</v>
      </c>
      <c r="H721" s="17"/>
      <c r="I721" s="1" t="str">
        <f t="shared" si="34"/>
        <v/>
      </c>
      <c r="J721" s="1" t="str">
        <f t="shared" si="33"/>
        <v/>
      </c>
      <c r="K721" s="1">
        <f t="shared" si="35"/>
        <v>0</v>
      </c>
    </row>
    <row r="722" spans="4:11" ht="18" customHeight="1">
      <c r="D722" s="6" t="s">
        <v>93</v>
      </c>
      <c r="E722" s="7"/>
      <c r="F722" s="7"/>
      <c r="G722" s="17" t="s">
        <v>180</v>
      </c>
      <c r="H722" s="17">
        <v>3</v>
      </c>
      <c r="I722" s="1">
        <f t="shared" si="34"/>
        <v>-1</v>
      </c>
      <c r="J722" s="1">
        <f t="shared" si="33"/>
        <v>0.5842758399092105</v>
      </c>
      <c r="K722" s="1">
        <f t="shared" si="35"/>
        <v>2.5099299369200345</v>
      </c>
    </row>
    <row r="723" spans="4:11" ht="15.75" thickBot="1">
      <c r="D723" s="8"/>
      <c r="E723" s="15" t="s">
        <v>2</v>
      </c>
      <c r="F723" s="15" t="s">
        <v>10</v>
      </c>
      <c r="G723" s="17" t="s">
        <v>178</v>
      </c>
      <c r="H723" s="17"/>
      <c r="I723" s="1" t="str">
        <f t="shared" si="34"/>
        <v/>
      </c>
      <c r="J723" s="1" t="str">
        <f t="shared" si="33"/>
        <v/>
      </c>
      <c r="K723" s="1">
        <f t="shared" si="35"/>
        <v>0</v>
      </c>
    </row>
    <row r="724" spans="4:11" ht="15" customHeight="1">
      <c r="D724" s="6" t="s">
        <v>94</v>
      </c>
      <c r="E724" s="7"/>
      <c r="F724" s="7"/>
      <c r="G724" s="17" t="s">
        <v>180</v>
      </c>
      <c r="H724" s="17">
        <v>3</v>
      </c>
      <c r="I724" s="1">
        <f t="shared" si="34"/>
        <v>-1</v>
      </c>
      <c r="J724" s="1">
        <f t="shared" si="33"/>
        <v>-0.38271615829418693</v>
      </c>
      <c r="K724" s="1">
        <f t="shared" si="35"/>
        <v>0.38103934123108729</v>
      </c>
    </row>
    <row r="725" spans="4:11" ht="15.75" thickBot="1">
      <c r="D725" s="8"/>
      <c r="E725" s="15" t="s">
        <v>18</v>
      </c>
      <c r="F725" s="15" t="s">
        <v>41</v>
      </c>
      <c r="G725" s="17" t="s">
        <v>178</v>
      </c>
      <c r="H725" s="17"/>
      <c r="I725" s="1" t="str">
        <f t="shared" si="34"/>
        <v/>
      </c>
      <c r="J725" s="1" t="str">
        <f t="shared" si="33"/>
        <v/>
      </c>
      <c r="K725" s="1">
        <f t="shared" si="35"/>
        <v>0</v>
      </c>
    </row>
    <row r="726" spans="4:11" ht="15" customHeight="1">
      <c r="D726" s="6" t="s">
        <v>94</v>
      </c>
      <c r="E726" s="7"/>
      <c r="F726" s="7"/>
      <c r="G726" s="17" t="s">
        <v>179</v>
      </c>
      <c r="H726" s="17">
        <v>1</v>
      </c>
      <c r="I726" s="1">
        <f t="shared" si="34"/>
        <v>-1</v>
      </c>
      <c r="J726" s="1">
        <f t="shared" si="33"/>
        <v>-0.62808430365640788</v>
      </c>
      <c r="K726" s="1">
        <f t="shared" si="35"/>
        <v>0.13832128518673903</v>
      </c>
    </row>
    <row r="727" spans="4:11" ht="15.75" thickBot="1">
      <c r="D727" s="8"/>
      <c r="E727" s="15" t="s">
        <v>36</v>
      </c>
      <c r="F727" s="15" t="s">
        <v>11</v>
      </c>
      <c r="G727" s="17" t="s">
        <v>178</v>
      </c>
      <c r="H727" s="17"/>
      <c r="I727" s="1" t="str">
        <f t="shared" si="34"/>
        <v/>
      </c>
      <c r="J727" s="1" t="str">
        <f t="shared" si="33"/>
        <v/>
      </c>
      <c r="K727" s="1">
        <f t="shared" si="35"/>
        <v>0</v>
      </c>
    </row>
    <row r="728" spans="4:11" ht="15" customHeight="1">
      <c r="D728" s="6" t="s">
        <v>94</v>
      </c>
      <c r="E728" s="7"/>
      <c r="F728" s="7"/>
      <c r="G728" s="17" t="s">
        <v>184</v>
      </c>
      <c r="H728" s="17">
        <v>3</v>
      </c>
      <c r="I728" s="1">
        <f t="shared" si="34"/>
        <v>1</v>
      </c>
      <c r="J728" s="1">
        <f t="shared" si="33"/>
        <v>-0.26350237676925303</v>
      </c>
      <c r="K728" s="1">
        <f t="shared" si="35"/>
        <v>1.5964382561015515</v>
      </c>
    </row>
    <row r="729" spans="4:11" ht="30.75" thickBot="1">
      <c r="D729" s="8"/>
      <c r="E729" s="15" t="s">
        <v>3</v>
      </c>
      <c r="F729" s="15" t="s">
        <v>12</v>
      </c>
      <c r="G729" s="17" t="s">
        <v>178</v>
      </c>
      <c r="H729" s="17"/>
      <c r="I729" s="1" t="str">
        <f t="shared" si="34"/>
        <v/>
      </c>
      <c r="J729" s="1" t="str">
        <f t="shared" si="33"/>
        <v/>
      </c>
      <c r="K729" s="1">
        <f t="shared" si="35"/>
        <v>0</v>
      </c>
    </row>
    <row r="730" spans="4:11" ht="15" customHeight="1">
      <c r="D730" s="6" t="s">
        <v>94</v>
      </c>
      <c r="E730" s="7"/>
      <c r="F730" s="7"/>
      <c r="G730" s="17" t="s">
        <v>181</v>
      </c>
      <c r="H730" s="17">
        <v>2</v>
      </c>
      <c r="I730" s="1">
        <f t="shared" si="34"/>
        <v>-1</v>
      </c>
      <c r="J730" s="1">
        <f t="shared" si="33"/>
        <v>0.77926719975462788</v>
      </c>
      <c r="K730" s="1">
        <f t="shared" si="35"/>
        <v>3.1657917681226748</v>
      </c>
    </row>
    <row r="731" spans="4:11" ht="15.75" thickBot="1">
      <c r="D731" s="8"/>
      <c r="E731" s="15" t="s">
        <v>19</v>
      </c>
      <c r="F731" s="15" t="s">
        <v>28</v>
      </c>
      <c r="G731" s="17" t="s">
        <v>178</v>
      </c>
      <c r="H731" s="17"/>
      <c r="I731" s="1" t="str">
        <f t="shared" si="34"/>
        <v/>
      </c>
      <c r="J731" s="1" t="str">
        <f t="shared" si="33"/>
        <v/>
      </c>
      <c r="K731" s="1">
        <f t="shared" si="35"/>
        <v>0</v>
      </c>
    </row>
    <row r="732" spans="4:11" ht="15" customHeight="1">
      <c r="D732" s="6" t="s">
        <v>94</v>
      </c>
      <c r="E732" s="7"/>
      <c r="F732" s="7"/>
      <c r="G732" s="17" t="s">
        <v>181</v>
      </c>
      <c r="H732" s="17">
        <v>2</v>
      </c>
      <c r="I732" s="1">
        <f t="shared" si="34"/>
        <v>-1</v>
      </c>
      <c r="J732" s="1">
        <f t="shared" si="33"/>
        <v>1.8897699643780044</v>
      </c>
      <c r="K732" s="1">
        <f t="shared" si="35"/>
        <v>8.3507704470212527</v>
      </c>
    </row>
    <row r="733" spans="4:11" ht="15.75" thickBot="1">
      <c r="D733" s="8"/>
      <c r="E733" s="15" t="s">
        <v>37</v>
      </c>
      <c r="F733" s="15" t="s">
        <v>8</v>
      </c>
      <c r="G733" s="17" t="s">
        <v>178</v>
      </c>
      <c r="H733" s="17"/>
      <c r="I733" s="1" t="str">
        <f t="shared" si="34"/>
        <v/>
      </c>
      <c r="J733" s="1" t="str">
        <f t="shared" si="33"/>
        <v/>
      </c>
      <c r="K733" s="1">
        <f t="shared" si="35"/>
        <v>0</v>
      </c>
    </row>
    <row r="734" spans="4:11" ht="18" customHeight="1">
      <c r="D734" s="6" t="s">
        <v>94</v>
      </c>
      <c r="E734" s="7"/>
      <c r="F734" s="7"/>
      <c r="G734" s="17" t="s">
        <v>182</v>
      </c>
      <c r="H734" s="17">
        <v>5</v>
      </c>
      <c r="I734" s="1">
        <f t="shared" si="34"/>
        <v>-2</v>
      </c>
      <c r="J734" s="1">
        <f t="shared" si="33"/>
        <v>0.47707908548082401</v>
      </c>
      <c r="K734" s="1">
        <f t="shared" si="35"/>
        <v>6.1359207957265154</v>
      </c>
    </row>
    <row r="735" spans="4:11" ht="15.75" thickBot="1">
      <c r="D735" s="8"/>
      <c r="E735" s="15" t="s">
        <v>21</v>
      </c>
      <c r="F735" s="15" t="s">
        <v>0</v>
      </c>
      <c r="G735" s="17" t="s">
        <v>178</v>
      </c>
      <c r="H735" s="17"/>
      <c r="I735" s="1" t="str">
        <f t="shared" si="34"/>
        <v/>
      </c>
      <c r="J735" s="1" t="str">
        <f t="shared" si="33"/>
        <v/>
      </c>
      <c r="K735" s="1">
        <f t="shared" si="35"/>
        <v>0</v>
      </c>
    </row>
    <row r="736" spans="4:11" ht="18" customHeight="1">
      <c r="D736" s="6" t="s">
        <v>94</v>
      </c>
      <c r="E736" s="7"/>
      <c r="F736" s="7"/>
      <c r="G736" s="17" t="s">
        <v>184</v>
      </c>
      <c r="H736" s="17">
        <v>3</v>
      </c>
      <c r="I736" s="1">
        <f t="shared" si="34"/>
        <v>1</v>
      </c>
      <c r="J736" s="1">
        <f t="shared" si="33"/>
        <v>-0.38687423012571287</v>
      </c>
      <c r="K736" s="1">
        <f t="shared" si="35"/>
        <v>1.9234201301867888</v>
      </c>
    </row>
    <row r="737" spans="4:11" ht="15.75" thickBot="1">
      <c r="D737" s="8"/>
      <c r="E737" s="15" t="s">
        <v>14</v>
      </c>
      <c r="F737" s="15" t="s">
        <v>13</v>
      </c>
      <c r="G737" s="17" t="s">
        <v>178</v>
      </c>
      <c r="H737" s="17"/>
      <c r="I737" s="1" t="str">
        <f t="shared" si="34"/>
        <v/>
      </c>
      <c r="J737" s="1" t="str">
        <f t="shared" si="33"/>
        <v/>
      </c>
      <c r="K737" s="1">
        <f t="shared" si="35"/>
        <v>0</v>
      </c>
    </row>
    <row r="738" spans="4:11" ht="18" customHeight="1">
      <c r="D738" s="6" t="s">
        <v>94</v>
      </c>
      <c r="E738" s="7"/>
      <c r="F738" s="7"/>
      <c r="G738" s="17" t="s">
        <v>180</v>
      </c>
      <c r="H738" s="17">
        <v>5</v>
      </c>
      <c r="I738" s="1">
        <f t="shared" si="34"/>
        <v>-3</v>
      </c>
      <c r="J738" s="1">
        <f t="shared" si="33"/>
        <v>-0.80982891348897112</v>
      </c>
      <c r="K738" s="1">
        <f t="shared" si="35"/>
        <v>4.7968493881889005</v>
      </c>
    </row>
    <row r="739" spans="4:11" ht="15.75" thickBot="1">
      <c r="D739" s="8"/>
      <c r="E739" s="15" t="s">
        <v>26</v>
      </c>
      <c r="F739" s="15" t="s">
        <v>4</v>
      </c>
      <c r="G739" s="17" t="s">
        <v>178</v>
      </c>
      <c r="H739" s="17"/>
      <c r="I739" s="1" t="str">
        <f t="shared" si="34"/>
        <v/>
      </c>
      <c r="J739" s="1" t="str">
        <f t="shared" si="33"/>
        <v/>
      </c>
      <c r="K739" s="1">
        <f t="shared" si="35"/>
        <v>0</v>
      </c>
    </row>
    <row r="740" spans="4:11" ht="15" customHeight="1">
      <c r="D740" s="6" t="s">
        <v>94</v>
      </c>
      <c r="E740" s="7"/>
      <c r="F740" s="7"/>
      <c r="G740" s="17" t="s">
        <v>181</v>
      </c>
      <c r="H740" s="17">
        <v>2</v>
      </c>
      <c r="I740" s="1">
        <f t="shared" si="34"/>
        <v>-1</v>
      </c>
      <c r="J740" s="1">
        <f t="shared" si="33"/>
        <v>-0.23588004445059596</v>
      </c>
      <c r="K740" s="1">
        <f t="shared" si="35"/>
        <v>0.58387930646882324</v>
      </c>
    </row>
    <row r="741" spans="4:11" ht="15.75" thickBot="1">
      <c r="D741" s="8"/>
      <c r="E741" s="15" t="s">
        <v>1</v>
      </c>
      <c r="F741" s="15" t="s">
        <v>33</v>
      </c>
      <c r="G741" s="17" t="s">
        <v>178</v>
      </c>
      <c r="H741" s="17"/>
      <c r="I741" s="1" t="str">
        <f t="shared" si="34"/>
        <v/>
      </c>
      <c r="J741" s="1" t="str">
        <f t="shared" si="33"/>
        <v/>
      </c>
      <c r="K741" s="1">
        <f t="shared" si="35"/>
        <v>0</v>
      </c>
    </row>
    <row r="742" spans="4:11" ht="15" customHeight="1">
      <c r="D742" s="6" t="s">
        <v>94</v>
      </c>
      <c r="E742" s="7"/>
      <c r="F742" s="7"/>
      <c r="G742" s="17" t="s">
        <v>179</v>
      </c>
      <c r="H742" s="17">
        <v>2</v>
      </c>
      <c r="I742" s="1">
        <f t="shared" si="34"/>
        <v>-2</v>
      </c>
      <c r="J742" s="1">
        <f t="shared" si="33"/>
        <v>-3.8320470408024221E-2</v>
      </c>
      <c r="K742" s="1">
        <f t="shared" si="35"/>
        <v>3.8481865768201953</v>
      </c>
    </row>
    <row r="743" spans="4:11" ht="15.75" thickBot="1">
      <c r="D743" s="8"/>
      <c r="E743" s="15" t="s">
        <v>2</v>
      </c>
      <c r="F743" s="15" t="s">
        <v>34</v>
      </c>
      <c r="G743" s="17" t="s">
        <v>178</v>
      </c>
      <c r="H743" s="17"/>
      <c r="I743" s="1" t="str">
        <f t="shared" si="34"/>
        <v/>
      </c>
      <c r="J743" s="1" t="str">
        <f t="shared" si="33"/>
        <v/>
      </c>
      <c r="K743" s="1">
        <f t="shared" si="35"/>
        <v>0</v>
      </c>
    </row>
    <row r="744" spans="4:11" ht="15" customHeight="1">
      <c r="D744" s="6" t="s">
        <v>95</v>
      </c>
      <c r="E744" s="7"/>
      <c r="F744" s="7"/>
      <c r="G744" s="17" t="s">
        <v>181</v>
      </c>
      <c r="H744" s="17">
        <v>2</v>
      </c>
      <c r="I744" s="1">
        <f t="shared" si="34"/>
        <v>-1</v>
      </c>
      <c r="J744" s="1">
        <f t="shared" si="33"/>
        <v>-7.6279442839222611E-2</v>
      </c>
      <c r="K744" s="1">
        <f t="shared" si="35"/>
        <v>0.85325966772141704</v>
      </c>
    </row>
    <row r="745" spans="4:11" ht="15.75" thickBot="1">
      <c r="D745" s="8"/>
      <c r="E745" s="15" t="s">
        <v>443</v>
      </c>
      <c r="F745" s="15" t="s">
        <v>23</v>
      </c>
      <c r="G745" s="17" t="s">
        <v>178</v>
      </c>
      <c r="H745" s="17"/>
      <c r="I745" s="1" t="str">
        <f t="shared" si="34"/>
        <v/>
      </c>
      <c r="J745" s="1" t="str">
        <f t="shared" si="33"/>
        <v/>
      </c>
      <c r="K745" s="1">
        <f t="shared" si="35"/>
        <v>0</v>
      </c>
    </row>
    <row r="746" spans="4:11" ht="15" customHeight="1">
      <c r="D746" s="6" t="s">
        <v>95</v>
      </c>
      <c r="E746" s="7"/>
      <c r="F746" s="7"/>
      <c r="G746" s="17" t="s">
        <v>181</v>
      </c>
      <c r="H746" s="17">
        <v>4</v>
      </c>
      <c r="I746" s="1">
        <f t="shared" si="34"/>
        <v>-3</v>
      </c>
      <c r="J746" s="1">
        <f t="shared" si="33"/>
        <v>-3.4170526358408893E-2</v>
      </c>
      <c r="K746" s="1">
        <f t="shared" si="35"/>
        <v>8.7961444667211577</v>
      </c>
    </row>
    <row r="747" spans="4:11" ht="15.75" thickBot="1">
      <c r="D747" s="8"/>
      <c r="E747" s="15" t="s">
        <v>39</v>
      </c>
      <c r="F747" s="15" t="s">
        <v>20</v>
      </c>
      <c r="G747" s="17" t="s">
        <v>178</v>
      </c>
      <c r="H747" s="17"/>
      <c r="I747" s="1" t="str">
        <f t="shared" si="34"/>
        <v/>
      </c>
      <c r="J747" s="1" t="str">
        <f t="shared" si="33"/>
        <v/>
      </c>
      <c r="K747" s="1">
        <f t="shared" si="35"/>
        <v>0</v>
      </c>
    </row>
    <row r="748" spans="4:11" ht="15" customHeight="1">
      <c r="D748" s="6" t="s">
        <v>95</v>
      </c>
      <c r="E748" s="7"/>
      <c r="F748" s="7"/>
      <c r="G748" s="17" t="s">
        <v>180</v>
      </c>
      <c r="H748" s="17">
        <v>3</v>
      </c>
      <c r="I748" s="1">
        <f t="shared" si="34"/>
        <v>-1</v>
      </c>
      <c r="J748" s="1">
        <f t="shared" si="33"/>
        <v>-1.0847882369687767</v>
      </c>
      <c r="K748" s="1">
        <f t="shared" si="35"/>
        <v>7.1890451282734299E-3</v>
      </c>
    </row>
    <row r="749" spans="4:11" ht="15.75" thickBot="1">
      <c r="D749" s="8"/>
      <c r="E749" s="15" t="s">
        <v>24</v>
      </c>
      <c r="F749" s="15" t="s">
        <v>25</v>
      </c>
      <c r="G749" s="17" t="s">
        <v>178</v>
      </c>
      <c r="H749" s="17"/>
      <c r="I749" s="1" t="str">
        <f t="shared" si="34"/>
        <v/>
      </c>
      <c r="J749" s="1" t="str">
        <f t="shared" si="33"/>
        <v/>
      </c>
      <c r="K749" s="1">
        <f t="shared" si="35"/>
        <v>0</v>
      </c>
    </row>
    <row r="750" spans="4:11" ht="15" customHeight="1">
      <c r="D750" s="6" t="s">
        <v>95</v>
      </c>
      <c r="E750" s="7"/>
      <c r="F750" s="7"/>
      <c r="G750" s="17" t="s">
        <v>184</v>
      </c>
      <c r="H750" s="17">
        <v>5</v>
      </c>
      <c r="I750" s="1">
        <f t="shared" si="34"/>
        <v>-1</v>
      </c>
      <c r="J750" s="1">
        <f t="shared" si="33"/>
        <v>0.25101473130372653</v>
      </c>
      <c r="K750" s="1">
        <f t="shared" si="35"/>
        <v>1.565037857938935</v>
      </c>
    </row>
    <row r="751" spans="4:11" ht="15.75" thickBot="1">
      <c r="D751" s="8"/>
      <c r="E751" s="15" t="s">
        <v>1</v>
      </c>
      <c r="F751" s="15" t="s">
        <v>10</v>
      </c>
      <c r="G751" s="17" t="s">
        <v>178</v>
      </c>
      <c r="H751" s="17"/>
      <c r="I751" s="1" t="str">
        <f t="shared" si="34"/>
        <v/>
      </c>
      <c r="J751" s="1" t="str">
        <f t="shared" si="33"/>
        <v/>
      </c>
      <c r="K751" s="1">
        <f t="shared" si="35"/>
        <v>0</v>
      </c>
    </row>
    <row r="752" spans="4:11" ht="15" customHeight="1">
      <c r="D752" s="6" t="s">
        <v>96</v>
      </c>
      <c r="E752" s="7"/>
      <c r="F752" s="7"/>
      <c r="G752" s="17" t="s">
        <v>182</v>
      </c>
      <c r="H752" s="17">
        <v>0</v>
      </c>
      <c r="I752" s="1">
        <f t="shared" si="34"/>
        <v>3</v>
      </c>
      <c r="J752" s="1">
        <f t="shared" si="33"/>
        <v>-0.10085239777677657</v>
      </c>
      <c r="K752" s="1">
        <f t="shared" si="35"/>
        <v>9.615285592797985</v>
      </c>
    </row>
    <row r="753" spans="4:11" ht="15.75" thickBot="1">
      <c r="D753" s="8"/>
      <c r="E753" s="15" t="s">
        <v>3</v>
      </c>
      <c r="F753" s="15" t="s">
        <v>11</v>
      </c>
      <c r="G753" s="17" t="s">
        <v>178</v>
      </c>
      <c r="H753" s="17"/>
      <c r="I753" s="1" t="str">
        <f t="shared" si="34"/>
        <v/>
      </c>
      <c r="J753" s="1" t="str">
        <f t="shared" si="33"/>
        <v/>
      </c>
      <c r="K753" s="1">
        <f t="shared" si="35"/>
        <v>0</v>
      </c>
    </row>
    <row r="754" spans="4:11" ht="15" customHeight="1">
      <c r="D754" s="6" t="s">
        <v>96</v>
      </c>
      <c r="E754" s="7"/>
      <c r="F754" s="7"/>
      <c r="G754" s="17" t="s">
        <v>180</v>
      </c>
      <c r="H754" s="17">
        <v>1</v>
      </c>
      <c r="I754" s="1">
        <f t="shared" si="34"/>
        <v>1</v>
      </c>
      <c r="J754" s="1">
        <f t="shared" si="33"/>
        <v>0.80645457212938254</v>
      </c>
      <c r="K754" s="1">
        <f t="shared" si="35"/>
        <v>3.7459832649620384E-2</v>
      </c>
    </row>
    <row r="755" spans="4:11" ht="15.75" thickBot="1">
      <c r="D755" s="8"/>
      <c r="E755" s="15" t="s">
        <v>12</v>
      </c>
      <c r="F755" s="15" t="s">
        <v>28</v>
      </c>
      <c r="G755" s="17" t="s">
        <v>178</v>
      </c>
      <c r="H755" s="17"/>
      <c r="I755" s="1" t="str">
        <f t="shared" si="34"/>
        <v/>
      </c>
      <c r="J755" s="1" t="str">
        <f t="shared" si="33"/>
        <v/>
      </c>
      <c r="K755" s="1">
        <f t="shared" si="35"/>
        <v>0</v>
      </c>
    </row>
    <row r="756" spans="4:11" ht="15" customHeight="1">
      <c r="D756" s="6" t="s">
        <v>96</v>
      </c>
      <c r="E756" s="7"/>
      <c r="F756" s="7"/>
      <c r="G756" s="17" t="s">
        <v>185</v>
      </c>
      <c r="H756" s="17">
        <v>3</v>
      </c>
      <c r="I756" s="1">
        <f t="shared" si="34"/>
        <v>2</v>
      </c>
      <c r="J756" s="1">
        <f t="shared" si="33"/>
        <v>0.19866823641076792</v>
      </c>
      <c r="K756" s="1">
        <f t="shared" si="35"/>
        <v>3.2447961225154933</v>
      </c>
    </row>
    <row r="757" spans="4:11" ht="15.75" thickBot="1">
      <c r="D757" s="8"/>
      <c r="E757" s="15" t="s">
        <v>36</v>
      </c>
      <c r="F757" s="15" t="s">
        <v>0</v>
      </c>
      <c r="G757" s="17" t="s">
        <v>178</v>
      </c>
      <c r="H757" s="17"/>
      <c r="I757" s="1" t="str">
        <f t="shared" si="34"/>
        <v/>
      </c>
      <c r="J757" s="1" t="str">
        <f t="shared" si="33"/>
        <v/>
      </c>
      <c r="K757" s="1">
        <f t="shared" si="35"/>
        <v>0</v>
      </c>
    </row>
    <row r="758" spans="4:11" ht="15" customHeight="1">
      <c r="D758" s="6" t="s">
        <v>96</v>
      </c>
      <c r="E758" s="7"/>
      <c r="F758" s="7"/>
      <c r="G758" s="17" t="s">
        <v>180</v>
      </c>
      <c r="H758" s="17">
        <v>1</v>
      </c>
      <c r="I758" s="1">
        <f t="shared" si="34"/>
        <v>1</v>
      </c>
      <c r="J758" s="1">
        <f t="shared" si="33"/>
        <v>0.38271615829418693</v>
      </c>
      <c r="K758" s="1">
        <f t="shared" si="35"/>
        <v>0.38103934123108729</v>
      </c>
    </row>
    <row r="759" spans="4:11" ht="15.75" thickBot="1">
      <c r="D759" s="8"/>
      <c r="E759" s="15" t="s">
        <v>41</v>
      </c>
      <c r="F759" s="15" t="s">
        <v>18</v>
      </c>
      <c r="G759" s="17" t="s">
        <v>178</v>
      </c>
      <c r="H759" s="17"/>
      <c r="I759" s="1" t="str">
        <f t="shared" si="34"/>
        <v/>
      </c>
      <c r="J759" s="1" t="str">
        <f t="shared" si="33"/>
        <v/>
      </c>
      <c r="K759" s="1">
        <f t="shared" si="35"/>
        <v>0</v>
      </c>
    </row>
    <row r="760" spans="4:11" ht="18" customHeight="1">
      <c r="D760" s="6" t="s">
        <v>96</v>
      </c>
      <c r="E760" s="7"/>
      <c r="F760" s="7"/>
      <c r="G760" s="17" t="s">
        <v>180</v>
      </c>
      <c r="H760" s="17">
        <v>5</v>
      </c>
      <c r="I760" s="1">
        <f t="shared" si="34"/>
        <v>-3</v>
      </c>
      <c r="J760" s="1">
        <f t="shared" si="33"/>
        <v>-0.19878203454052823</v>
      </c>
      <c r="K760" s="1">
        <f t="shared" si="35"/>
        <v>7.8468220900129024</v>
      </c>
    </row>
    <row r="761" spans="4:11" ht="15.75" thickBot="1">
      <c r="D761" s="8"/>
      <c r="E761" s="15" t="s">
        <v>21</v>
      </c>
      <c r="F761" s="15" t="s">
        <v>13</v>
      </c>
      <c r="G761" s="17" t="s">
        <v>178</v>
      </c>
      <c r="H761" s="17"/>
      <c r="I761" s="1" t="str">
        <f t="shared" si="34"/>
        <v/>
      </c>
      <c r="J761" s="1" t="str">
        <f t="shared" si="33"/>
        <v/>
      </c>
      <c r="K761" s="1">
        <f t="shared" si="35"/>
        <v>0</v>
      </c>
    </row>
    <row r="762" spans="4:11" ht="15" customHeight="1">
      <c r="D762" s="6" t="s">
        <v>96</v>
      </c>
      <c r="E762" s="7"/>
      <c r="F762" s="7"/>
      <c r="G762" s="17" t="s">
        <v>179</v>
      </c>
      <c r="H762" s="17">
        <v>5</v>
      </c>
      <c r="I762" s="1">
        <f t="shared" si="34"/>
        <v>-5</v>
      </c>
      <c r="J762" s="1">
        <f t="shared" si="33"/>
        <v>-1.8897699643780044</v>
      </c>
      <c r="K762" s="1">
        <f t="shared" si="35"/>
        <v>9.6735308744852002</v>
      </c>
    </row>
    <row r="763" spans="4:11" ht="15.75" thickBot="1">
      <c r="D763" s="8"/>
      <c r="E763" s="15" t="s">
        <v>8</v>
      </c>
      <c r="F763" s="15" t="s">
        <v>37</v>
      </c>
      <c r="G763" s="17" t="s">
        <v>178</v>
      </c>
      <c r="H763" s="17"/>
      <c r="I763" s="1" t="str">
        <f t="shared" si="34"/>
        <v/>
      </c>
      <c r="J763" s="1" t="str">
        <f t="shared" si="33"/>
        <v/>
      </c>
      <c r="K763" s="1">
        <f t="shared" si="35"/>
        <v>0</v>
      </c>
    </row>
    <row r="764" spans="4:11" ht="18" customHeight="1">
      <c r="D764" s="6" t="s">
        <v>96</v>
      </c>
      <c r="E764" s="7"/>
      <c r="F764" s="7"/>
      <c r="G764" s="17" t="s">
        <v>184</v>
      </c>
      <c r="H764" s="17">
        <v>3</v>
      </c>
      <c r="I764" s="1">
        <f t="shared" si="34"/>
        <v>1</v>
      </c>
      <c r="J764" s="1">
        <f t="shared" si="33"/>
        <v>-3.1061105126440225E-2</v>
      </c>
      <c r="K764" s="1">
        <f t="shared" si="35"/>
        <v>1.0630870025045562</v>
      </c>
    </row>
    <row r="765" spans="4:11" ht="15.75" thickBot="1">
      <c r="D765" s="8"/>
      <c r="E765" s="15" t="s">
        <v>7</v>
      </c>
      <c r="F765" s="15" t="s">
        <v>14</v>
      </c>
      <c r="G765" s="17" t="s">
        <v>178</v>
      </c>
      <c r="H765" s="17"/>
      <c r="I765" s="1" t="str">
        <f t="shared" si="34"/>
        <v/>
      </c>
      <c r="J765" s="1" t="str">
        <f t="shared" si="33"/>
        <v/>
      </c>
      <c r="K765" s="1">
        <f t="shared" si="35"/>
        <v>0</v>
      </c>
    </row>
    <row r="766" spans="4:11" ht="15" customHeight="1">
      <c r="D766" s="6" t="s">
        <v>96</v>
      </c>
      <c r="E766" s="7"/>
      <c r="F766" s="7"/>
      <c r="G766" s="17" t="s">
        <v>182</v>
      </c>
      <c r="H766" s="17">
        <v>4</v>
      </c>
      <c r="I766" s="1">
        <f t="shared" si="34"/>
        <v>-1</v>
      </c>
      <c r="J766" s="1">
        <f t="shared" si="33"/>
        <v>0.10112937968297331</v>
      </c>
      <c r="K766" s="1">
        <f t="shared" si="35"/>
        <v>1.2124859108010095</v>
      </c>
    </row>
    <row r="767" spans="4:11" ht="15.75" thickBot="1">
      <c r="D767" s="8"/>
      <c r="E767" s="15" t="s">
        <v>39</v>
      </c>
      <c r="F767" s="15" t="s">
        <v>19</v>
      </c>
      <c r="G767" s="17" t="s">
        <v>178</v>
      </c>
      <c r="H767" s="17"/>
      <c r="I767" s="1" t="str">
        <f t="shared" si="34"/>
        <v/>
      </c>
      <c r="J767" s="1" t="str">
        <f t="shared" si="33"/>
        <v/>
      </c>
      <c r="K767" s="1">
        <f t="shared" si="35"/>
        <v>0</v>
      </c>
    </row>
    <row r="768" spans="4:11" ht="15" customHeight="1">
      <c r="D768" s="6" t="s">
        <v>96</v>
      </c>
      <c r="E768" s="7"/>
      <c r="F768" s="7"/>
      <c r="G768" s="17" t="s">
        <v>182</v>
      </c>
      <c r="H768" s="17">
        <v>4</v>
      </c>
      <c r="I768" s="1">
        <f t="shared" si="34"/>
        <v>-1</v>
      </c>
      <c r="J768" s="1">
        <f t="shared" si="33"/>
        <v>-0.32117243606477075</v>
      </c>
      <c r="K768" s="1">
        <f t="shared" si="35"/>
        <v>0.46080686155823775</v>
      </c>
    </row>
    <row r="769" spans="4:11" ht="15.75" thickBot="1">
      <c r="D769" s="8"/>
      <c r="E769" s="15" t="s">
        <v>22</v>
      </c>
      <c r="F769" s="15" t="s">
        <v>4</v>
      </c>
      <c r="G769" s="17" t="s">
        <v>178</v>
      </c>
      <c r="H769" s="17"/>
      <c r="I769" s="1" t="str">
        <f t="shared" si="34"/>
        <v/>
      </c>
      <c r="J769" s="1" t="str">
        <f t="shared" si="33"/>
        <v/>
      </c>
      <c r="K769" s="1">
        <f t="shared" si="35"/>
        <v>0</v>
      </c>
    </row>
    <row r="770" spans="4:11" ht="15" customHeight="1">
      <c r="D770" s="6" t="s">
        <v>96</v>
      </c>
      <c r="E770" s="7"/>
      <c r="F770" s="7"/>
      <c r="G770" s="17" t="s">
        <v>184</v>
      </c>
      <c r="H770" s="17">
        <v>0</v>
      </c>
      <c r="I770" s="1">
        <f t="shared" si="34"/>
        <v>4</v>
      </c>
      <c r="J770" s="1">
        <f t="shared" si="33"/>
        <v>0.62259631031723472</v>
      </c>
      <c r="K770" s="1">
        <f t="shared" si="35"/>
        <v>11.406855683082757</v>
      </c>
    </row>
    <row r="771" spans="4:11" ht="15.75" thickBot="1">
      <c r="D771" s="8"/>
      <c r="E771" s="15" t="s">
        <v>34</v>
      </c>
      <c r="F771" s="15" t="s">
        <v>26</v>
      </c>
      <c r="G771" s="17" t="s">
        <v>178</v>
      </c>
      <c r="H771" s="17"/>
      <c r="I771" s="1" t="str">
        <f t="shared" si="34"/>
        <v/>
      </c>
      <c r="J771" s="1" t="str">
        <f t="shared" ref="J771:J834" si="36">IF(F772="","",VLOOKUP(F772,$A$2:$B$31,2)+$B$33-VLOOKUP(E772,$A$2:$B$31,2))</f>
        <v/>
      </c>
      <c r="K771" s="1">
        <f t="shared" si="35"/>
        <v>0</v>
      </c>
    </row>
    <row r="772" spans="4:11" ht="18" customHeight="1">
      <c r="D772" s="6" t="s">
        <v>96</v>
      </c>
      <c r="E772" s="7"/>
      <c r="F772" s="7"/>
      <c r="G772" s="17" t="s">
        <v>184</v>
      </c>
      <c r="H772" s="17">
        <v>7</v>
      </c>
      <c r="I772" s="1">
        <f t="shared" ref="I772:I835" si="37">IF(G772="","",G772-H772)</f>
        <v>-3</v>
      </c>
      <c r="J772" s="1">
        <f t="shared" si="36"/>
        <v>9.7381064154888008E-2</v>
      </c>
      <c r="K772" s="1">
        <f t="shared" ref="K772:K835" si="38">IF(J772="",0,(I772-J772)^2)</f>
        <v>9.5937694565852656</v>
      </c>
    </row>
    <row r="773" spans="4:11" ht="15.75" thickBot="1">
      <c r="D773" s="8"/>
      <c r="E773" s="15" t="s">
        <v>2</v>
      </c>
      <c r="F773" s="15" t="s">
        <v>33</v>
      </c>
      <c r="G773" s="17" t="s">
        <v>178</v>
      </c>
      <c r="H773" s="17"/>
      <c r="I773" s="1" t="str">
        <f t="shared" si="37"/>
        <v/>
      </c>
      <c r="J773" s="1" t="str">
        <f t="shared" si="36"/>
        <v/>
      </c>
      <c r="K773" s="1">
        <f t="shared" si="38"/>
        <v>0</v>
      </c>
    </row>
    <row r="774" spans="4:11" ht="15" customHeight="1">
      <c r="D774" s="6" t="s">
        <v>97</v>
      </c>
      <c r="E774" s="7"/>
      <c r="F774" s="7"/>
      <c r="G774" s="17" t="s">
        <v>185</v>
      </c>
      <c r="H774" s="17">
        <v>4</v>
      </c>
      <c r="I774" s="1">
        <f t="shared" si="37"/>
        <v>1</v>
      </c>
      <c r="J774" s="1">
        <f t="shared" si="36"/>
        <v>-0.94396886820456416</v>
      </c>
      <c r="K774" s="1">
        <f t="shared" si="38"/>
        <v>3.7790149605485341</v>
      </c>
    </row>
    <row r="775" spans="4:11" ht="15.75" thickBot="1">
      <c r="D775" s="8"/>
      <c r="E775" s="15" t="s">
        <v>10</v>
      </c>
      <c r="F775" s="15" t="s">
        <v>23</v>
      </c>
      <c r="G775" s="17" t="s">
        <v>178</v>
      </c>
      <c r="H775" s="17"/>
      <c r="I775" s="1" t="str">
        <f t="shared" si="37"/>
        <v/>
      </c>
      <c r="J775" s="1" t="str">
        <f t="shared" si="36"/>
        <v/>
      </c>
      <c r="K775" s="1">
        <f t="shared" si="38"/>
        <v>0</v>
      </c>
    </row>
    <row r="776" spans="4:11" ht="15" customHeight="1">
      <c r="D776" s="6" t="s">
        <v>97</v>
      </c>
      <c r="E776" s="7"/>
      <c r="F776" s="7"/>
      <c r="G776" s="17" t="s">
        <v>180</v>
      </c>
      <c r="H776" s="17">
        <v>6</v>
      </c>
      <c r="I776" s="1">
        <f t="shared" si="37"/>
        <v>-4</v>
      </c>
      <c r="J776" s="1">
        <f t="shared" si="36"/>
        <v>-0.23672921527813173</v>
      </c>
      <c r="K776" s="1">
        <f t="shared" si="38"/>
        <v>14.162206999141146</v>
      </c>
    </row>
    <row r="777" spans="4:11" ht="15.75" thickBot="1">
      <c r="D777" s="8"/>
      <c r="E777" s="15" t="s">
        <v>22</v>
      </c>
      <c r="F777" s="15" t="s">
        <v>25</v>
      </c>
      <c r="G777" s="17" t="s">
        <v>178</v>
      </c>
      <c r="H777" s="17"/>
      <c r="I777" s="1" t="str">
        <f t="shared" si="37"/>
        <v/>
      </c>
      <c r="J777" s="1" t="str">
        <f t="shared" si="36"/>
        <v/>
      </c>
      <c r="K777" s="1">
        <f t="shared" si="38"/>
        <v>0</v>
      </c>
    </row>
    <row r="778" spans="4:11" ht="18" customHeight="1">
      <c r="D778" s="6" t="s">
        <v>97</v>
      </c>
      <c r="E778" s="7"/>
      <c r="F778" s="7"/>
      <c r="G778" s="17" t="s">
        <v>182</v>
      </c>
      <c r="H778" s="17">
        <v>4</v>
      </c>
      <c r="I778" s="1">
        <f t="shared" si="37"/>
        <v>-1</v>
      </c>
      <c r="J778" s="1">
        <f t="shared" si="36"/>
        <v>-0.20222145062454899</v>
      </c>
      <c r="K778" s="1">
        <f t="shared" si="38"/>
        <v>0.63645061384359891</v>
      </c>
    </row>
    <row r="779" spans="4:11" ht="15.75" thickBot="1">
      <c r="D779" s="8"/>
      <c r="E779" s="15" t="s">
        <v>443</v>
      </c>
      <c r="F779" s="15" t="s">
        <v>20</v>
      </c>
      <c r="G779" s="17" t="s">
        <v>178</v>
      </c>
      <c r="H779" s="17"/>
      <c r="I779" s="1" t="str">
        <f t="shared" si="37"/>
        <v/>
      </c>
      <c r="J779" s="1" t="str">
        <f t="shared" si="36"/>
        <v/>
      </c>
      <c r="K779" s="1">
        <f t="shared" si="38"/>
        <v>0</v>
      </c>
    </row>
    <row r="780" spans="4:11" ht="15" customHeight="1">
      <c r="D780" s="6" t="s">
        <v>98</v>
      </c>
      <c r="E780" s="7"/>
      <c r="F780" s="7"/>
      <c r="G780" s="17" t="s">
        <v>180</v>
      </c>
      <c r="H780" s="17">
        <v>3</v>
      </c>
      <c r="I780" s="1">
        <f t="shared" si="37"/>
        <v>-1</v>
      </c>
      <c r="J780" s="1">
        <f t="shared" si="36"/>
        <v>-0.11892793696033266</v>
      </c>
      <c r="K780" s="1">
        <f t="shared" si="38"/>
        <v>0.7762879802689755</v>
      </c>
    </row>
    <row r="781" spans="4:11" ht="15.75" thickBot="1">
      <c r="D781" s="8"/>
      <c r="E781" s="15" t="s">
        <v>18</v>
      </c>
      <c r="F781" s="15" t="s">
        <v>11</v>
      </c>
      <c r="G781" s="17" t="s">
        <v>178</v>
      </c>
      <c r="H781" s="17"/>
      <c r="I781" s="1" t="str">
        <f t="shared" si="37"/>
        <v/>
      </c>
      <c r="J781" s="1" t="str">
        <f t="shared" si="36"/>
        <v/>
      </c>
      <c r="K781" s="1">
        <f t="shared" si="38"/>
        <v>0</v>
      </c>
    </row>
    <row r="782" spans="4:11" ht="15" customHeight="1">
      <c r="D782" s="6" t="s">
        <v>98</v>
      </c>
      <c r="E782" s="7"/>
      <c r="F782" s="7"/>
      <c r="G782" s="17" t="s">
        <v>183</v>
      </c>
      <c r="H782" s="17">
        <v>4</v>
      </c>
      <c r="I782" s="1">
        <f t="shared" si="37"/>
        <v>2</v>
      </c>
      <c r="J782" s="1">
        <f t="shared" si="36"/>
        <v>-2.7196235033159155E-2</v>
      </c>
      <c r="K782" s="1">
        <f t="shared" si="38"/>
        <v>4.1095245753326157</v>
      </c>
    </row>
    <row r="783" spans="4:11" ht="15.75" thickBot="1">
      <c r="D783" s="8"/>
      <c r="E783" s="15" t="s">
        <v>39</v>
      </c>
      <c r="F783" s="15" t="s">
        <v>41</v>
      </c>
      <c r="G783" s="17" t="s">
        <v>178</v>
      </c>
      <c r="H783" s="17"/>
      <c r="I783" s="1" t="str">
        <f t="shared" si="37"/>
        <v/>
      </c>
      <c r="J783" s="1" t="str">
        <f t="shared" si="36"/>
        <v/>
      </c>
      <c r="K783" s="1">
        <f t="shared" si="38"/>
        <v>0</v>
      </c>
    </row>
    <row r="784" spans="4:11" ht="15" customHeight="1">
      <c r="D784" s="6" t="s">
        <v>98</v>
      </c>
      <c r="E784" s="7"/>
      <c r="F784" s="7"/>
      <c r="G784" s="17" t="s">
        <v>180</v>
      </c>
      <c r="H784" s="17">
        <v>1</v>
      </c>
      <c r="I784" s="1">
        <f t="shared" si="37"/>
        <v>1</v>
      </c>
      <c r="J784" s="1">
        <f t="shared" si="36"/>
        <v>-0.37158157901350819</v>
      </c>
      <c r="K784" s="1">
        <f t="shared" si="38"/>
        <v>1.8812360278891884</v>
      </c>
    </row>
    <row r="785" spans="4:11" ht="15.75" thickBot="1">
      <c r="D785" s="8"/>
      <c r="E785" s="15" t="s">
        <v>1</v>
      </c>
      <c r="F785" s="15" t="s">
        <v>34</v>
      </c>
      <c r="G785" s="17" t="s">
        <v>178</v>
      </c>
      <c r="H785" s="17"/>
      <c r="I785" s="1" t="str">
        <f t="shared" si="37"/>
        <v/>
      </c>
      <c r="J785" s="1" t="str">
        <f t="shared" si="36"/>
        <v/>
      </c>
      <c r="K785" s="1">
        <f t="shared" si="38"/>
        <v>0</v>
      </c>
    </row>
    <row r="786" spans="4:11" ht="15" customHeight="1">
      <c r="D786" s="6" t="s">
        <v>98</v>
      </c>
      <c r="E786" s="7"/>
      <c r="F786" s="7"/>
      <c r="G786" s="17" t="s">
        <v>180</v>
      </c>
      <c r="H786" s="17">
        <v>5</v>
      </c>
      <c r="I786" s="1">
        <f t="shared" si="37"/>
        <v>-3</v>
      </c>
      <c r="J786" s="1">
        <f t="shared" si="36"/>
        <v>0.72590014229039923</v>
      </c>
      <c r="K786" s="1">
        <f t="shared" si="38"/>
        <v>13.882331870319618</v>
      </c>
    </row>
    <row r="787" spans="4:11" ht="15.75" thickBot="1">
      <c r="D787" s="8"/>
      <c r="E787" s="15" t="s">
        <v>3</v>
      </c>
      <c r="F787" s="15" t="s">
        <v>0</v>
      </c>
      <c r="G787" s="17" t="s">
        <v>178</v>
      </c>
      <c r="H787" s="17"/>
      <c r="I787" s="1" t="str">
        <f t="shared" si="37"/>
        <v/>
      </c>
      <c r="J787" s="1" t="str">
        <f t="shared" si="36"/>
        <v/>
      </c>
      <c r="K787" s="1">
        <f t="shared" si="38"/>
        <v>0</v>
      </c>
    </row>
    <row r="788" spans="4:11" ht="15" customHeight="1">
      <c r="D788" s="6" t="s">
        <v>98</v>
      </c>
      <c r="E788" s="7"/>
      <c r="F788" s="7"/>
      <c r="G788" s="17" t="s">
        <v>180</v>
      </c>
      <c r="H788" s="17">
        <v>3</v>
      </c>
      <c r="I788" s="1">
        <f t="shared" si="37"/>
        <v>-1</v>
      </c>
      <c r="J788" s="1">
        <f t="shared" si="36"/>
        <v>0.41467964137967783</v>
      </c>
      <c r="K788" s="1">
        <f t="shared" si="38"/>
        <v>2.0013184877341339</v>
      </c>
    </row>
    <row r="789" spans="4:11" ht="15.75" thickBot="1">
      <c r="D789" s="8"/>
      <c r="E789" s="15" t="s">
        <v>38</v>
      </c>
      <c r="F789" s="15" t="s">
        <v>13</v>
      </c>
      <c r="G789" s="17" t="s">
        <v>178</v>
      </c>
      <c r="H789" s="17"/>
      <c r="I789" s="1" t="str">
        <f t="shared" si="37"/>
        <v/>
      </c>
      <c r="J789" s="1" t="str">
        <f t="shared" si="36"/>
        <v/>
      </c>
      <c r="K789" s="1">
        <f t="shared" si="38"/>
        <v>0</v>
      </c>
    </row>
    <row r="790" spans="4:11" ht="15" customHeight="1">
      <c r="D790" s="6" t="s">
        <v>98</v>
      </c>
      <c r="E790" s="7"/>
      <c r="F790" s="7"/>
      <c r="G790" s="17" t="s">
        <v>182</v>
      </c>
      <c r="H790" s="17">
        <v>1</v>
      </c>
      <c r="I790" s="1">
        <f t="shared" si="37"/>
        <v>2</v>
      </c>
      <c r="J790" s="1">
        <f t="shared" si="36"/>
        <v>-0.83371146194974699</v>
      </c>
      <c r="K790" s="1">
        <f t="shared" si="38"/>
        <v>8.0299206495853728</v>
      </c>
    </row>
    <row r="791" spans="4:11" ht="15.75" thickBot="1">
      <c r="D791" s="8"/>
      <c r="E791" s="15" t="s">
        <v>7</v>
      </c>
      <c r="F791" s="15" t="s">
        <v>37</v>
      </c>
      <c r="G791" s="17" t="s">
        <v>178</v>
      </c>
      <c r="H791" s="17"/>
      <c r="I791" s="1" t="str">
        <f t="shared" si="37"/>
        <v/>
      </c>
      <c r="J791" s="1" t="str">
        <f t="shared" si="36"/>
        <v/>
      </c>
      <c r="K791" s="1">
        <f t="shared" si="38"/>
        <v>0</v>
      </c>
    </row>
    <row r="792" spans="4:11" ht="18" customHeight="1">
      <c r="D792" s="6" t="s">
        <v>98</v>
      </c>
      <c r="E792" s="7"/>
      <c r="F792" s="7"/>
      <c r="G792" s="17" t="s">
        <v>180</v>
      </c>
      <c r="H792" s="17">
        <v>3</v>
      </c>
      <c r="I792" s="1">
        <f t="shared" si="37"/>
        <v>-1</v>
      </c>
      <c r="J792" s="1">
        <f t="shared" si="36"/>
        <v>-1.0871196075546976</v>
      </c>
      <c r="K792" s="1">
        <f t="shared" si="38"/>
        <v>7.5898260204845247E-3</v>
      </c>
    </row>
    <row r="793" spans="4:11" ht="15.75" thickBot="1">
      <c r="D793" s="8"/>
      <c r="E793" s="15" t="s">
        <v>8</v>
      </c>
      <c r="F793" s="15" t="s">
        <v>14</v>
      </c>
      <c r="G793" s="17" t="s">
        <v>178</v>
      </c>
      <c r="H793" s="17"/>
      <c r="I793" s="1" t="str">
        <f t="shared" si="37"/>
        <v/>
      </c>
      <c r="J793" s="1" t="str">
        <f t="shared" si="36"/>
        <v/>
      </c>
      <c r="K793" s="1">
        <f t="shared" si="38"/>
        <v>0</v>
      </c>
    </row>
    <row r="794" spans="4:11" ht="15" customHeight="1">
      <c r="D794" s="6" t="s">
        <v>98</v>
      </c>
      <c r="E794" s="7"/>
      <c r="F794" s="7"/>
      <c r="G794" s="17" t="s">
        <v>184</v>
      </c>
      <c r="H794" s="17">
        <v>1</v>
      </c>
      <c r="I794" s="1">
        <f t="shared" si="37"/>
        <v>3</v>
      </c>
      <c r="J794" s="1">
        <f t="shared" si="36"/>
        <v>0.79073428264888435</v>
      </c>
      <c r="K794" s="1">
        <f t="shared" si="38"/>
        <v>4.8808550098629393</v>
      </c>
    </row>
    <row r="795" spans="4:11" ht="15.75" thickBot="1">
      <c r="D795" s="8"/>
      <c r="E795" s="15" t="s">
        <v>12</v>
      </c>
      <c r="F795" s="15" t="s">
        <v>36</v>
      </c>
      <c r="G795" s="17" t="s">
        <v>178</v>
      </c>
      <c r="H795" s="17"/>
      <c r="I795" s="1" t="str">
        <f t="shared" si="37"/>
        <v/>
      </c>
      <c r="J795" s="1" t="str">
        <f t="shared" si="36"/>
        <v/>
      </c>
      <c r="K795" s="1">
        <f t="shared" si="38"/>
        <v>0</v>
      </c>
    </row>
    <row r="796" spans="4:11" ht="15" customHeight="1">
      <c r="D796" s="6" t="s">
        <v>98</v>
      </c>
      <c r="E796" s="7"/>
      <c r="F796" s="7"/>
      <c r="G796" s="17" t="s">
        <v>182</v>
      </c>
      <c r="H796" s="17">
        <v>1</v>
      </c>
      <c r="I796" s="1">
        <f t="shared" si="37"/>
        <v>2</v>
      </c>
      <c r="J796" s="1">
        <f t="shared" si="36"/>
        <v>0.1352999060413822</v>
      </c>
      <c r="K796" s="1">
        <f t="shared" si="38"/>
        <v>3.477106440409278</v>
      </c>
    </row>
    <row r="797" spans="4:11" ht="15.75" thickBot="1">
      <c r="D797" s="8"/>
      <c r="E797" s="15" t="s">
        <v>20</v>
      </c>
      <c r="F797" s="15" t="s">
        <v>19</v>
      </c>
      <c r="G797" s="17" t="s">
        <v>178</v>
      </c>
      <c r="H797" s="17"/>
      <c r="I797" s="1" t="str">
        <f t="shared" si="37"/>
        <v/>
      </c>
      <c r="J797" s="1" t="str">
        <f t="shared" si="36"/>
        <v/>
      </c>
      <c r="K797" s="1">
        <f t="shared" si="38"/>
        <v>0</v>
      </c>
    </row>
    <row r="798" spans="4:11" ht="18" customHeight="1">
      <c r="D798" s="6" t="s">
        <v>98</v>
      </c>
      <c r="E798" s="7"/>
      <c r="F798" s="7"/>
      <c r="G798" s="17" t="s">
        <v>181</v>
      </c>
      <c r="H798" s="17">
        <v>4</v>
      </c>
      <c r="I798" s="1">
        <f t="shared" si="37"/>
        <v>-3</v>
      </c>
      <c r="J798" s="1">
        <f t="shared" si="36"/>
        <v>0.41821451662090681</v>
      </c>
      <c r="K798" s="1">
        <f t="shared" si="38"/>
        <v>11.6841904816379</v>
      </c>
    </row>
    <row r="799" spans="4:11" ht="15.75" thickBot="1">
      <c r="D799" s="8"/>
      <c r="E799" s="15" t="s">
        <v>443</v>
      </c>
      <c r="F799" s="15" t="s">
        <v>21</v>
      </c>
      <c r="G799" s="17" t="s">
        <v>178</v>
      </c>
      <c r="H799" s="17"/>
      <c r="I799" s="1" t="str">
        <f t="shared" si="37"/>
        <v/>
      </c>
      <c r="J799" s="1" t="str">
        <f t="shared" si="36"/>
        <v/>
      </c>
      <c r="K799" s="1">
        <f t="shared" si="38"/>
        <v>0</v>
      </c>
    </row>
    <row r="800" spans="4:11" ht="15" customHeight="1">
      <c r="D800" s="6" t="s">
        <v>98</v>
      </c>
      <c r="E800" s="7"/>
      <c r="F800" s="7"/>
      <c r="G800" s="17" t="s">
        <v>185</v>
      </c>
      <c r="H800" s="17">
        <v>2</v>
      </c>
      <c r="I800" s="1">
        <f t="shared" si="37"/>
        <v>3</v>
      </c>
      <c r="J800" s="1">
        <f t="shared" si="36"/>
        <v>0.5842758399092105</v>
      </c>
      <c r="K800" s="1">
        <f t="shared" si="38"/>
        <v>5.8357232176463505</v>
      </c>
    </row>
    <row r="801" spans="4:11" ht="15.75" thickBot="1">
      <c r="D801" s="8"/>
      <c r="E801" s="15" t="s">
        <v>2</v>
      </c>
      <c r="F801" s="15" t="s">
        <v>26</v>
      </c>
      <c r="G801" s="17" t="s">
        <v>178</v>
      </c>
      <c r="H801" s="17"/>
      <c r="I801" s="1" t="str">
        <f t="shared" si="37"/>
        <v/>
      </c>
      <c r="J801" s="1" t="str">
        <f t="shared" si="36"/>
        <v/>
      </c>
      <c r="K801" s="1">
        <f t="shared" si="38"/>
        <v>0</v>
      </c>
    </row>
    <row r="802" spans="4:11" ht="18" customHeight="1">
      <c r="D802" s="6" t="s">
        <v>98</v>
      </c>
      <c r="E802" s="7"/>
      <c r="F802" s="7"/>
      <c r="G802" s="17" t="s">
        <v>182</v>
      </c>
      <c r="H802" s="17">
        <v>2</v>
      </c>
      <c r="I802" s="1">
        <f t="shared" si="37"/>
        <v>1</v>
      </c>
      <c r="J802" s="1">
        <f t="shared" si="36"/>
        <v>-0.32293413773464863</v>
      </c>
      <c r="K802" s="1">
        <f t="shared" si="38"/>
        <v>1.7501547327837184</v>
      </c>
    </row>
    <row r="803" spans="4:11" ht="15.75" thickBot="1">
      <c r="D803" s="8"/>
      <c r="E803" s="15" t="s">
        <v>33</v>
      </c>
      <c r="F803" s="15" t="s">
        <v>4</v>
      </c>
      <c r="G803" s="17" t="s">
        <v>178</v>
      </c>
      <c r="H803" s="17"/>
      <c r="I803" s="1" t="str">
        <f t="shared" si="37"/>
        <v/>
      </c>
      <c r="J803" s="1" t="str">
        <f t="shared" si="36"/>
        <v/>
      </c>
      <c r="K803" s="1">
        <f t="shared" si="38"/>
        <v>0</v>
      </c>
    </row>
    <row r="804" spans="4:11" ht="15" customHeight="1">
      <c r="D804" s="6" t="s">
        <v>99</v>
      </c>
      <c r="E804" s="7"/>
      <c r="F804" s="7"/>
      <c r="G804" s="17" t="s">
        <v>184</v>
      </c>
      <c r="H804" s="17">
        <v>3</v>
      </c>
      <c r="I804" s="1">
        <f t="shared" si="37"/>
        <v>1</v>
      </c>
      <c r="J804" s="1">
        <f t="shared" si="36"/>
        <v>-0.72538569270233211</v>
      </c>
      <c r="K804" s="1">
        <f t="shared" si="38"/>
        <v>2.9769557885819062</v>
      </c>
    </row>
    <row r="805" spans="4:11" ht="15.75" thickBot="1">
      <c r="D805" s="8"/>
      <c r="E805" s="15" t="s">
        <v>10</v>
      </c>
      <c r="F805" s="15" t="s">
        <v>25</v>
      </c>
      <c r="G805" s="17" t="s">
        <v>178</v>
      </c>
      <c r="H805" s="17"/>
      <c r="I805" s="1" t="str">
        <f t="shared" si="37"/>
        <v/>
      </c>
      <c r="J805" s="1" t="str">
        <f t="shared" si="36"/>
        <v/>
      </c>
      <c r="K805" s="1">
        <f t="shared" si="38"/>
        <v>0</v>
      </c>
    </row>
    <row r="806" spans="4:11" ht="15" customHeight="1">
      <c r="D806" s="6" t="s">
        <v>99</v>
      </c>
      <c r="E806" s="7"/>
      <c r="F806" s="7"/>
      <c r="G806" s="17" t="s">
        <v>182</v>
      </c>
      <c r="H806" s="17">
        <v>1</v>
      </c>
      <c r="I806" s="1">
        <f t="shared" si="37"/>
        <v>2</v>
      </c>
      <c r="J806" s="1">
        <f t="shared" si="36"/>
        <v>0.49291317309108251</v>
      </c>
      <c r="K806" s="1">
        <f t="shared" si="38"/>
        <v>2.2713107038423894</v>
      </c>
    </row>
    <row r="807" spans="4:11" ht="15.75" thickBot="1">
      <c r="D807" s="8"/>
      <c r="E807" s="15" t="s">
        <v>13</v>
      </c>
      <c r="F807" s="15" t="s">
        <v>28</v>
      </c>
      <c r="G807" s="17" t="s">
        <v>178</v>
      </c>
      <c r="H807" s="17"/>
      <c r="I807" s="1" t="str">
        <f t="shared" si="37"/>
        <v/>
      </c>
      <c r="J807" s="1" t="str">
        <f t="shared" si="36"/>
        <v/>
      </c>
      <c r="K807" s="1">
        <f t="shared" si="38"/>
        <v>0</v>
      </c>
    </row>
    <row r="808" spans="4:11" ht="15" customHeight="1">
      <c r="D808" s="6" t="s">
        <v>99</v>
      </c>
      <c r="E808" s="7"/>
      <c r="F808" s="7"/>
      <c r="G808" s="17" t="s">
        <v>182</v>
      </c>
      <c r="H808" s="17">
        <v>4</v>
      </c>
      <c r="I808" s="1">
        <f t="shared" si="37"/>
        <v>-1</v>
      </c>
      <c r="J808" s="1">
        <f t="shared" si="36"/>
        <v>1.8075539183556089E-2</v>
      </c>
      <c r="K808" s="1">
        <f t="shared" si="38"/>
        <v>1.0364778034838884</v>
      </c>
    </row>
    <row r="809" spans="4:11" ht="15.75" thickBot="1">
      <c r="D809" s="8"/>
      <c r="E809" s="15" t="s">
        <v>3</v>
      </c>
      <c r="F809" s="15" t="s">
        <v>18</v>
      </c>
      <c r="G809" s="17" t="s">
        <v>178</v>
      </c>
      <c r="H809" s="17"/>
      <c r="I809" s="1" t="str">
        <f t="shared" si="37"/>
        <v/>
      </c>
      <c r="J809" s="1" t="str">
        <f t="shared" si="36"/>
        <v/>
      </c>
      <c r="K809" s="1">
        <f t="shared" si="38"/>
        <v>0</v>
      </c>
    </row>
    <row r="810" spans="4:11" ht="15" customHeight="1">
      <c r="D810" s="6" t="s">
        <v>99</v>
      </c>
      <c r="E810" s="7"/>
      <c r="F810" s="7"/>
      <c r="G810" s="17" t="s">
        <v>181</v>
      </c>
      <c r="H810" s="17">
        <v>2</v>
      </c>
      <c r="I810" s="1">
        <f t="shared" si="37"/>
        <v>-1</v>
      </c>
      <c r="J810" s="1">
        <f t="shared" si="36"/>
        <v>0.84629732002076707</v>
      </c>
      <c r="K810" s="1">
        <f t="shared" si="38"/>
        <v>3.4088137939158667</v>
      </c>
    </row>
    <row r="811" spans="4:11" ht="15.75" thickBot="1">
      <c r="D811" s="8"/>
      <c r="E811" s="15" t="s">
        <v>33</v>
      </c>
      <c r="F811" s="15" t="s">
        <v>24</v>
      </c>
      <c r="G811" s="17" t="s">
        <v>178</v>
      </c>
      <c r="H811" s="17"/>
      <c r="I811" s="1" t="str">
        <f t="shared" si="37"/>
        <v/>
      </c>
      <c r="J811" s="1" t="str">
        <f t="shared" si="36"/>
        <v/>
      </c>
      <c r="K811" s="1">
        <f t="shared" si="38"/>
        <v>0</v>
      </c>
    </row>
    <row r="812" spans="4:11" ht="15" customHeight="1">
      <c r="D812" s="6" t="s">
        <v>100</v>
      </c>
      <c r="E812" s="7"/>
      <c r="F812" s="7"/>
      <c r="G812" s="17" t="s">
        <v>182</v>
      </c>
      <c r="H812" s="17">
        <v>4</v>
      </c>
      <c r="I812" s="1">
        <f t="shared" si="37"/>
        <v>-1</v>
      </c>
      <c r="J812" s="1">
        <f t="shared" si="36"/>
        <v>-0.26378822133385427</v>
      </c>
      <c r="K812" s="1">
        <f t="shared" si="38"/>
        <v>0.54200778304677</v>
      </c>
    </row>
    <row r="813" spans="4:11" ht="15.75" thickBot="1">
      <c r="D813" s="8"/>
      <c r="E813" s="15" t="s">
        <v>11</v>
      </c>
      <c r="F813" s="15" t="s">
        <v>38</v>
      </c>
      <c r="G813" s="17" t="s">
        <v>178</v>
      </c>
      <c r="H813" s="17"/>
      <c r="I813" s="1" t="str">
        <f t="shared" si="37"/>
        <v/>
      </c>
      <c r="J813" s="1" t="str">
        <f t="shared" si="36"/>
        <v/>
      </c>
      <c r="K813" s="1">
        <f t="shared" si="38"/>
        <v>0</v>
      </c>
    </row>
    <row r="814" spans="4:11" ht="15" customHeight="1">
      <c r="D814" s="6" t="s">
        <v>100</v>
      </c>
      <c r="E814" s="7"/>
      <c r="F814" s="7"/>
      <c r="G814" s="17" t="s">
        <v>180</v>
      </c>
      <c r="H814" s="17">
        <v>1</v>
      </c>
      <c r="I814" s="1">
        <f t="shared" si="37"/>
        <v>1</v>
      </c>
      <c r="J814" s="1">
        <f t="shared" si="36"/>
        <v>1.5720289480498195E-2</v>
      </c>
      <c r="K814" s="1">
        <f t="shared" si="38"/>
        <v>0.96880654854035431</v>
      </c>
    </row>
    <row r="815" spans="4:11" ht="15.75" thickBot="1">
      <c r="D815" s="8"/>
      <c r="E815" s="15" t="s">
        <v>36</v>
      </c>
      <c r="F815" s="15" t="s">
        <v>28</v>
      </c>
      <c r="G815" s="17" t="s">
        <v>178</v>
      </c>
      <c r="H815" s="17"/>
      <c r="I815" s="1" t="str">
        <f t="shared" si="37"/>
        <v/>
      </c>
      <c r="J815" s="1" t="str">
        <f t="shared" si="36"/>
        <v/>
      </c>
      <c r="K815" s="1">
        <f t="shared" si="38"/>
        <v>0</v>
      </c>
    </row>
    <row r="816" spans="4:11" ht="18" customHeight="1">
      <c r="D816" s="6" t="s">
        <v>100</v>
      </c>
      <c r="E816" s="7"/>
      <c r="F816" s="7"/>
      <c r="G816" s="17" t="s">
        <v>180</v>
      </c>
      <c r="H816" s="17">
        <v>4</v>
      </c>
      <c r="I816" s="1">
        <f t="shared" si="37"/>
        <v>-2</v>
      </c>
      <c r="J816" s="1">
        <f t="shared" si="36"/>
        <v>-0.77435763647223155</v>
      </c>
      <c r="K816" s="1">
        <f t="shared" si="38"/>
        <v>1.5021992032739344</v>
      </c>
    </row>
    <row r="817" spans="4:11" ht="15.75" thickBot="1">
      <c r="D817" s="8"/>
      <c r="E817" s="15" t="s">
        <v>14</v>
      </c>
      <c r="F817" s="15" t="s">
        <v>39</v>
      </c>
      <c r="G817" s="17" t="s">
        <v>178</v>
      </c>
      <c r="H817" s="17"/>
      <c r="I817" s="1" t="str">
        <f t="shared" si="37"/>
        <v/>
      </c>
      <c r="J817" s="1" t="str">
        <f t="shared" si="36"/>
        <v/>
      </c>
      <c r="K817" s="1">
        <f t="shared" si="38"/>
        <v>0</v>
      </c>
    </row>
    <row r="818" spans="4:11" ht="15" customHeight="1">
      <c r="D818" s="6" t="s">
        <v>101</v>
      </c>
      <c r="E818" s="7"/>
      <c r="F818" s="7"/>
      <c r="G818" s="17" t="s">
        <v>182</v>
      </c>
      <c r="H818" s="17">
        <v>2</v>
      </c>
      <c r="I818" s="1">
        <f t="shared" si="37"/>
        <v>1</v>
      </c>
      <c r="J818" s="1">
        <f t="shared" si="36"/>
        <v>0.89884681631551189</v>
      </c>
      <c r="K818" s="1">
        <f t="shared" si="38"/>
        <v>1.0231966569507792E-2</v>
      </c>
    </row>
    <row r="819" spans="4:11" ht="15.75" thickBot="1">
      <c r="D819" s="8"/>
      <c r="E819" s="15" t="s">
        <v>20</v>
      </c>
      <c r="F819" s="15" t="s">
        <v>36</v>
      </c>
      <c r="G819" s="17" t="s">
        <v>178</v>
      </c>
      <c r="H819" s="17"/>
      <c r="I819" s="1" t="str">
        <f t="shared" si="37"/>
        <v/>
      </c>
      <c r="J819" s="1" t="str">
        <f t="shared" si="36"/>
        <v/>
      </c>
      <c r="K819" s="1">
        <f t="shared" si="38"/>
        <v>0</v>
      </c>
    </row>
    <row r="820" spans="4:11" ht="15" customHeight="1">
      <c r="D820" s="6" t="s">
        <v>101</v>
      </c>
      <c r="E820" s="7"/>
      <c r="F820" s="7"/>
      <c r="G820" s="17" t="s">
        <v>180</v>
      </c>
      <c r="H820" s="17">
        <v>3</v>
      </c>
      <c r="I820" s="1">
        <f t="shared" si="37"/>
        <v>-1</v>
      </c>
      <c r="J820" s="1">
        <f t="shared" si="36"/>
        <v>2.0693123270916658E-2</v>
      </c>
      <c r="K820" s="1">
        <f t="shared" si="38"/>
        <v>1.0418144518925387</v>
      </c>
    </row>
    <row r="821" spans="4:11" ht="15.75" thickBot="1">
      <c r="D821" s="8"/>
      <c r="E821" s="15" t="s">
        <v>1</v>
      </c>
      <c r="F821" s="15" t="s">
        <v>7</v>
      </c>
      <c r="G821" s="17" t="s">
        <v>178</v>
      </c>
      <c r="H821" s="17"/>
      <c r="I821" s="1" t="str">
        <f t="shared" si="37"/>
        <v/>
      </c>
      <c r="J821" s="1" t="str">
        <f t="shared" si="36"/>
        <v/>
      </c>
      <c r="K821" s="1">
        <f t="shared" si="38"/>
        <v>0</v>
      </c>
    </row>
    <row r="822" spans="4:11" ht="15" customHeight="1">
      <c r="D822" s="6" t="s">
        <v>101</v>
      </c>
      <c r="E822" s="7"/>
      <c r="F822" s="7"/>
      <c r="G822" s="17" t="s">
        <v>179</v>
      </c>
      <c r="H822" s="17">
        <v>1</v>
      </c>
      <c r="I822" s="1">
        <f t="shared" si="37"/>
        <v>-1</v>
      </c>
      <c r="J822" s="1">
        <f t="shared" si="36"/>
        <v>1.4483332047126822</v>
      </c>
      <c r="K822" s="1">
        <f t="shared" si="38"/>
        <v>5.9943354812986724</v>
      </c>
    </row>
    <row r="823" spans="4:11" ht="15.75" thickBot="1">
      <c r="D823" s="8"/>
      <c r="E823" s="15" t="s">
        <v>34</v>
      </c>
      <c r="F823" s="15" t="s">
        <v>8</v>
      </c>
      <c r="G823" s="17" t="s">
        <v>178</v>
      </c>
      <c r="H823" s="17"/>
      <c r="I823" s="1" t="str">
        <f t="shared" si="37"/>
        <v/>
      </c>
      <c r="J823" s="1" t="str">
        <f t="shared" si="36"/>
        <v/>
      </c>
      <c r="K823" s="1">
        <f t="shared" si="38"/>
        <v>0</v>
      </c>
    </row>
    <row r="824" spans="4:11" ht="18" customHeight="1">
      <c r="D824" s="6" t="s">
        <v>101</v>
      </c>
      <c r="E824" s="7"/>
      <c r="F824" s="7"/>
      <c r="G824" s="17" t="s">
        <v>181</v>
      </c>
      <c r="H824" s="17">
        <v>4</v>
      </c>
      <c r="I824" s="1">
        <f t="shared" si="37"/>
        <v>-3</v>
      </c>
      <c r="J824" s="1">
        <f t="shared" si="36"/>
        <v>0.83743309022536039</v>
      </c>
      <c r="K824" s="1">
        <f t="shared" si="38"/>
        <v>14.725892721956559</v>
      </c>
    </row>
    <row r="825" spans="4:11" ht="15.75" thickBot="1">
      <c r="D825" s="8"/>
      <c r="E825" s="15" t="s">
        <v>4</v>
      </c>
      <c r="F825" s="15" t="s">
        <v>0</v>
      </c>
      <c r="G825" s="17" t="s">
        <v>178</v>
      </c>
      <c r="H825" s="17"/>
      <c r="I825" s="1" t="str">
        <f t="shared" si="37"/>
        <v/>
      </c>
      <c r="J825" s="1" t="str">
        <f t="shared" si="36"/>
        <v/>
      </c>
      <c r="K825" s="1">
        <f t="shared" si="38"/>
        <v>0</v>
      </c>
    </row>
    <row r="826" spans="4:11" ht="15" customHeight="1">
      <c r="D826" s="6" t="s">
        <v>101</v>
      </c>
      <c r="E826" s="7"/>
      <c r="F826" s="7"/>
      <c r="G826" s="17" t="s">
        <v>181</v>
      </c>
      <c r="H826" s="17">
        <v>3</v>
      </c>
      <c r="I826" s="1">
        <f t="shared" si="37"/>
        <v>-2</v>
      </c>
      <c r="J826" s="1">
        <f t="shared" si="36"/>
        <v>-0.16939345981133158</v>
      </c>
      <c r="K826" s="1">
        <f t="shared" si="38"/>
        <v>3.351120304981527</v>
      </c>
    </row>
    <row r="827" spans="4:11" ht="15.75" thickBot="1">
      <c r="D827" s="8"/>
      <c r="E827" s="15" t="s">
        <v>3</v>
      </c>
      <c r="F827" s="15" t="s">
        <v>443</v>
      </c>
      <c r="G827" s="17" t="s">
        <v>178</v>
      </c>
      <c r="H827" s="17"/>
      <c r="I827" s="1" t="str">
        <f t="shared" si="37"/>
        <v/>
      </c>
      <c r="J827" s="1" t="str">
        <f t="shared" si="36"/>
        <v/>
      </c>
      <c r="K827" s="1">
        <f t="shared" si="38"/>
        <v>0</v>
      </c>
    </row>
    <row r="828" spans="4:11" ht="15" customHeight="1">
      <c r="D828" s="6" t="s">
        <v>101</v>
      </c>
      <c r="E828" s="7"/>
      <c r="F828" s="7"/>
      <c r="G828" s="17" t="s">
        <v>185</v>
      </c>
      <c r="H828" s="17">
        <v>3</v>
      </c>
      <c r="I828" s="1">
        <f t="shared" si="37"/>
        <v>2</v>
      </c>
      <c r="J828" s="1">
        <f t="shared" si="36"/>
        <v>-0.10223472765929387</v>
      </c>
      <c r="K828" s="1">
        <f t="shared" si="38"/>
        <v>4.4193908501767458</v>
      </c>
    </row>
    <row r="829" spans="4:11" ht="15.75" thickBot="1">
      <c r="D829" s="8"/>
      <c r="E829" s="15" t="s">
        <v>12</v>
      </c>
      <c r="F829" s="15" t="s">
        <v>37</v>
      </c>
      <c r="G829" s="17" t="s">
        <v>178</v>
      </c>
      <c r="H829" s="17"/>
      <c r="I829" s="1" t="str">
        <f t="shared" si="37"/>
        <v/>
      </c>
      <c r="J829" s="1" t="str">
        <f t="shared" si="36"/>
        <v/>
      </c>
      <c r="K829" s="1">
        <f t="shared" si="38"/>
        <v>0</v>
      </c>
    </row>
    <row r="830" spans="4:11" ht="15" customHeight="1">
      <c r="D830" s="6" t="s">
        <v>101</v>
      </c>
      <c r="E830" s="7"/>
      <c r="F830" s="7"/>
      <c r="G830" s="17" t="s">
        <v>184</v>
      </c>
      <c r="H830" s="17">
        <v>5</v>
      </c>
      <c r="I830" s="1">
        <f t="shared" si="37"/>
        <v>-1</v>
      </c>
      <c r="J830" s="1">
        <f t="shared" si="36"/>
        <v>0.11896771646007664</v>
      </c>
      <c r="K830" s="1">
        <f t="shared" si="38"/>
        <v>1.2520887504798786</v>
      </c>
    </row>
    <row r="831" spans="4:11" ht="15.75" thickBot="1">
      <c r="D831" s="8"/>
      <c r="E831" s="15" t="s">
        <v>41</v>
      </c>
      <c r="F831" s="15" t="s">
        <v>23</v>
      </c>
      <c r="G831" s="17" t="s">
        <v>178</v>
      </c>
      <c r="H831" s="17"/>
      <c r="I831" s="1" t="str">
        <f t="shared" si="37"/>
        <v/>
      </c>
      <c r="J831" s="1" t="str">
        <f t="shared" si="36"/>
        <v/>
      </c>
      <c r="K831" s="1">
        <f t="shared" si="38"/>
        <v>0</v>
      </c>
    </row>
    <row r="832" spans="4:11" ht="18" customHeight="1">
      <c r="D832" s="6" t="s">
        <v>101</v>
      </c>
      <c r="E832" s="7"/>
      <c r="F832" s="7"/>
      <c r="G832" s="17" t="s">
        <v>185</v>
      </c>
      <c r="H832" s="17">
        <v>2</v>
      </c>
      <c r="I832" s="1">
        <f t="shared" si="37"/>
        <v>3</v>
      </c>
      <c r="J832" s="1">
        <f t="shared" si="36"/>
        <v>0.27591078395789737</v>
      </c>
      <c r="K832" s="1">
        <f t="shared" si="38"/>
        <v>7.4206620569568775</v>
      </c>
    </row>
    <row r="833" spans="4:11" ht="15.75" thickBot="1">
      <c r="D833" s="8"/>
      <c r="E833" s="15" t="s">
        <v>25</v>
      </c>
      <c r="F833" s="15" t="s">
        <v>21</v>
      </c>
      <c r="G833" s="17" t="s">
        <v>178</v>
      </c>
      <c r="H833" s="17"/>
      <c r="I833" s="1" t="str">
        <f t="shared" si="37"/>
        <v/>
      </c>
      <c r="J833" s="1" t="str">
        <f t="shared" si="36"/>
        <v/>
      </c>
      <c r="K833" s="1">
        <f t="shared" si="38"/>
        <v>0</v>
      </c>
    </row>
    <row r="834" spans="4:11" ht="15" customHeight="1">
      <c r="D834" s="6" t="s">
        <v>101</v>
      </c>
      <c r="E834" s="7"/>
      <c r="F834" s="7"/>
      <c r="G834" s="17" t="s">
        <v>182</v>
      </c>
      <c r="H834" s="17">
        <v>0</v>
      </c>
      <c r="I834" s="1">
        <f t="shared" si="37"/>
        <v>3</v>
      </c>
      <c r="J834" s="1">
        <f t="shared" si="36"/>
        <v>0.44595449252430797</v>
      </c>
      <c r="K834" s="1">
        <f t="shared" si="38"/>
        <v>6.5231484542567655</v>
      </c>
    </row>
    <row r="835" spans="4:11" ht="15.75" thickBot="1">
      <c r="D835" s="8"/>
      <c r="E835" s="15" t="s">
        <v>19</v>
      </c>
      <c r="F835" s="15" t="s">
        <v>22</v>
      </c>
      <c r="G835" s="17" t="s">
        <v>178</v>
      </c>
      <c r="H835" s="17"/>
      <c r="I835" s="1" t="str">
        <f t="shared" si="37"/>
        <v/>
      </c>
      <c r="J835" s="1" t="str">
        <f t="shared" ref="J835:J898" si="39">IF(F836="","",VLOOKUP(F836,$A$2:$B$31,2)+$B$33-VLOOKUP(E836,$A$2:$B$31,2))</f>
        <v/>
      </c>
      <c r="K835" s="1">
        <f t="shared" si="38"/>
        <v>0</v>
      </c>
    </row>
    <row r="836" spans="4:11" ht="15" customHeight="1">
      <c r="D836" s="6" t="s">
        <v>101</v>
      </c>
      <c r="E836" s="7"/>
      <c r="F836" s="7"/>
      <c r="G836" s="17" t="s">
        <v>180</v>
      </c>
      <c r="H836" s="17">
        <v>5</v>
      </c>
      <c r="I836" s="1">
        <f t="shared" ref="I836:I899" si="40">IF(G836="","",G836-H836)</f>
        <v>-3</v>
      </c>
      <c r="J836" s="1">
        <f t="shared" si="39"/>
        <v>-0.84629732002076707</v>
      </c>
      <c r="K836" s="1">
        <f t="shared" ref="K836:K899" si="41">IF(J836="",0,(I836-J836)^2)</f>
        <v>4.6384352337497301</v>
      </c>
    </row>
    <row r="837" spans="4:11" ht="15.75" thickBot="1">
      <c r="D837" s="8"/>
      <c r="E837" s="15" t="s">
        <v>24</v>
      </c>
      <c r="F837" s="15" t="s">
        <v>33</v>
      </c>
      <c r="G837" s="17" t="s">
        <v>178</v>
      </c>
      <c r="H837" s="17"/>
      <c r="I837" s="1" t="str">
        <f t="shared" si="40"/>
        <v/>
      </c>
      <c r="J837" s="1" t="str">
        <f t="shared" si="39"/>
        <v/>
      </c>
      <c r="K837" s="1">
        <f t="shared" si="41"/>
        <v>0</v>
      </c>
    </row>
    <row r="838" spans="4:11" ht="18" customHeight="1">
      <c r="D838" s="6" t="s">
        <v>102</v>
      </c>
      <c r="E838" s="7"/>
      <c r="F838" s="7"/>
      <c r="G838" s="17" t="s">
        <v>180</v>
      </c>
      <c r="H838" s="17">
        <v>1</v>
      </c>
      <c r="I838" s="1">
        <f t="shared" si="40"/>
        <v>1</v>
      </c>
      <c r="J838" s="1">
        <f t="shared" si="39"/>
        <v>-0.67586112002135224</v>
      </c>
      <c r="K838" s="1">
        <f t="shared" si="41"/>
        <v>2.8085104935992211</v>
      </c>
    </row>
    <row r="839" spans="4:11" ht="15.75" thickBot="1">
      <c r="D839" s="8"/>
      <c r="E839" s="15" t="s">
        <v>0</v>
      </c>
      <c r="F839" s="15" t="s">
        <v>13</v>
      </c>
      <c r="G839" s="17" t="s">
        <v>178</v>
      </c>
      <c r="H839" s="17"/>
      <c r="I839" s="1" t="str">
        <f t="shared" si="40"/>
        <v/>
      </c>
      <c r="J839" s="1" t="str">
        <f t="shared" si="39"/>
        <v/>
      </c>
      <c r="K839" s="1">
        <f t="shared" si="41"/>
        <v>0</v>
      </c>
    </row>
    <row r="840" spans="4:11" ht="15" customHeight="1">
      <c r="D840" s="6" t="s">
        <v>102</v>
      </c>
      <c r="E840" s="7"/>
      <c r="F840" s="7"/>
      <c r="G840" s="17" t="s">
        <v>181</v>
      </c>
      <c r="H840" s="17">
        <v>2</v>
      </c>
      <c r="I840" s="1">
        <f t="shared" si="40"/>
        <v>-1</v>
      </c>
      <c r="J840" s="1">
        <f t="shared" si="39"/>
        <v>-0.35940254426644458</v>
      </c>
      <c r="K840" s="1">
        <f t="shared" si="41"/>
        <v>0.4103651002923045</v>
      </c>
    </row>
    <row r="841" spans="4:11" ht="15.75" thickBot="1">
      <c r="D841" s="8"/>
      <c r="E841" s="15" t="s">
        <v>24</v>
      </c>
      <c r="F841" s="15" t="s">
        <v>10</v>
      </c>
      <c r="G841" s="17" t="s">
        <v>178</v>
      </c>
      <c r="H841" s="17"/>
      <c r="I841" s="1" t="str">
        <f t="shared" si="40"/>
        <v/>
      </c>
      <c r="J841" s="1" t="str">
        <f t="shared" si="39"/>
        <v/>
      </c>
      <c r="K841" s="1">
        <f t="shared" si="41"/>
        <v>0</v>
      </c>
    </row>
    <row r="842" spans="4:11" ht="18" customHeight="1">
      <c r="D842" s="6" t="s">
        <v>103</v>
      </c>
      <c r="E842" s="7"/>
      <c r="F842" s="7"/>
      <c r="G842" s="17" t="s">
        <v>182</v>
      </c>
      <c r="H842" s="17">
        <v>2</v>
      </c>
      <c r="I842" s="1">
        <f t="shared" si="40"/>
        <v>1</v>
      </c>
      <c r="J842" s="1">
        <f t="shared" si="39"/>
        <v>0.48563503608068004</v>
      </c>
      <c r="K842" s="1">
        <f t="shared" si="41"/>
        <v>0.26457131610772333</v>
      </c>
    </row>
    <row r="843" spans="4:11" ht="15.75" thickBot="1">
      <c r="D843" s="8"/>
      <c r="E843" s="15" t="s">
        <v>20</v>
      </c>
      <c r="F843" s="15" t="s">
        <v>2</v>
      </c>
      <c r="G843" s="17" t="s">
        <v>178</v>
      </c>
      <c r="H843" s="17"/>
      <c r="I843" s="1" t="str">
        <f t="shared" si="40"/>
        <v/>
      </c>
      <c r="J843" s="1" t="str">
        <f t="shared" si="39"/>
        <v/>
      </c>
      <c r="K843" s="1">
        <f t="shared" si="41"/>
        <v>0</v>
      </c>
    </row>
    <row r="844" spans="4:11" ht="18" customHeight="1">
      <c r="D844" s="6" t="s">
        <v>103</v>
      </c>
      <c r="E844" s="7"/>
      <c r="F844" s="7"/>
      <c r="G844" s="17" t="s">
        <v>182</v>
      </c>
      <c r="H844" s="17">
        <v>4</v>
      </c>
      <c r="I844" s="1">
        <f t="shared" si="40"/>
        <v>-1</v>
      </c>
      <c r="J844" s="1">
        <f t="shared" si="39"/>
        <v>1.6355658078844186</v>
      </c>
      <c r="K844" s="1">
        <f t="shared" si="41"/>
        <v>6.9462071276894486</v>
      </c>
    </row>
    <row r="845" spans="4:11" ht="15.75" thickBot="1">
      <c r="D845" s="8"/>
      <c r="E845" s="15" t="s">
        <v>4</v>
      </c>
      <c r="F845" s="15" t="s">
        <v>8</v>
      </c>
      <c r="G845" s="17" t="s">
        <v>178</v>
      </c>
      <c r="H845" s="17"/>
      <c r="I845" s="1" t="str">
        <f t="shared" si="40"/>
        <v/>
      </c>
      <c r="J845" s="1" t="str">
        <f t="shared" si="39"/>
        <v/>
      </c>
      <c r="K845" s="1">
        <f t="shared" si="41"/>
        <v>0</v>
      </c>
    </row>
    <row r="846" spans="4:11" ht="15" customHeight="1">
      <c r="D846" s="6" t="s">
        <v>103</v>
      </c>
      <c r="E846" s="7"/>
      <c r="F846" s="7"/>
      <c r="G846" s="17" t="s">
        <v>181</v>
      </c>
      <c r="H846" s="17">
        <v>4</v>
      </c>
      <c r="I846" s="1">
        <f t="shared" si="40"/>
        <v>-3</v>
      </c>
      <c r="J846" s="1">
        <f t="shared" si="39"/>
        <v>-7.995067162934788E-2</v>
      </c>
      <c r="K846" s="1">
        <f t="shared" si="41"/>
        <v>8.5266880801178964</v>
      </c>
    </row>
    <row r="847" spans="4:11" ht="30.75" thickBot="1">
      <c r="D847" s="8"/>
      <c r="E847" s="15" t="s">
        <v>36</v>
      </c>
      <c r="F847" s="15" t="s">
        <v>1</v>
      </c>
      <c r="G847" s="17" t="s">
        <v>178</v>
      </c>
      <c r="H847" s="17"/>
      <c r="I847" s="1" t="str">
        <f t="shared" si="40"/>
        <v/>
      </c>
      <c r="J847" s="1" t="str">
        <f t="shared" si="39"/>
        <v/>
      </c>
      <c r="K847" s="1">
        <f t="shared" si="41"/>
        <v>0</v>
      </c>
    </row>
    <row r="848" spans="4:11" ht="15" customHeight="1">
      <c r="D848" s="6" t="s">
        <v>103</v>
      </c>
      <c r="E848" s="7"/>
      <c r="F848" s="7"/>
      <c r="G848" s="17" t="s">
        <v>182</v>
      </c>
      <c r="H848" s="17">
        <v>2</v>
      </c>
      <c r="I848" s="1">
        <f t="shared" si="40"/>
        <v>1</v>
      </c>
      <c r="J848" s="1">
        <f t="shared" si="39"/>
        <v>-0.73147673429045312</v>
      </c>
      <c r="K848" s="1">
        <f t="shared" si="41"/>
        <v>2.9980116813891322</v>
      </c>
    </row>
    <row r="849" spans="4:11" ht="30.75" thickBot="1">
      <c r="D849" s="8"/>
      <c r="E849" s="15" t="s">
        <v>7</v>
      </c>
      <c r="F849" s="15" t="s">
        <v>12</v>
      </c>
      <c r="G849" s="17" t="s">
        <v>178</v>
      </c>
      <c r="H849" s="17"/>
      <c r="I849" s="1" t="str">
        <f t="shared" si="40"/>
        <v/>
      </c>
      <c r="J849" s="1" t="str">
        <f t="shared" si="39"/>
        <v/>
      </c>
      <c r="K849" s="1">
        <f t="shared" si="41"/>
        <v>0</v>
      </c>
    </row>
    <row r="850" spans="4:11" ht="15" customHeight="1">
      <c r="D850" s="6" t="s">
        <v>103</v>
      </c>
      <c r="E850" s="7"/>
      <c r="F850" s="7"/>
      <c r="G850" s="17" t="s">
        <v>185</v>
      </c>
      <c r="H850" s="17">
        <v>3</v>
      </c>
      <c r="I850" s="1">
        <f t="shared" si="40"/>
        <v>2</v>
      </c>
      <c r="J850" s="1">
        <f t="shared" si="39"/>
        <v>-5.7624116053219154E-2</v>
      </c>
      <c r="K850" s="1">
        <f t="shared" si="41"/>
        <v>4.2338170029637912</v>
      </c>
    </row>
    <row r="851" spans="4:11" ht="15.75" thickBot="1">
      <c r="D851" s="8"/>
      <c r="E851" s="15" t="s">
        <v>34</v>
      </c>
      <c r="F851" s="15" t="s">
        <v>18</v>
      </c>
      <c r="G851" s="17" t="s">
        <v>178</v>
      </c>
      <c r="H851" s="17"/>
      <c r="I851" s="1" t="str">
        <f t="shared" si="40"/>
        <v/>
      </c>
      <c r="J851" s="1" t="str">
        <f t="shared" si="39"/>
        <v/>
      </c>
      <c r="K851" s="1">
        <f t="shared" si="41"/>
        <v>0</v>
      </c>
    </row>
    <row r="852" spans="4:11" ht="15" customHeight="1">
      <c r="D852" s="6" t="s">
        <v>103</v>
      </c>
      <c r="E852" s="7"/>
      <c r="F852" s="7"/>
      <c r="G852" s="17" t="s">
        <v>181</v>
      </c>
      <c r="H852" s="17">
        <v>2</v>
      </c>
      <c r="I852" s="1">
        <f t="shared" si="40"/>
        <v>-1</v>
      </c>
      <c r="J852" s="1">
        <f t="shared" si="39"/>
        <v>-0.90868929978867641</v>
      </c>
      <c r="K852" s="1">
        <f t="shared" si="41"/>
        <v>8.3376439730822108E-3</v>
      </c>
    </row>
    <row r="853" spans="4:11" ht="15.75" thickBot="1">
      <c r="D853" s="8"/>
      <c r="E853" s="15" t="s">
        <v>28</v>
      </c>
      <c r="F853" s="15" t="s">
        <v>37</v>
      </c>
      <c r="G853" s="17" t="s">
        <v>178</v>
      </c>
      <c r="H853" s="17"/>
      <c r="I853" s="1" t="str">
        <f t="shared" si="40"/>
        <v/>
      </c>
      <c r="J853" s="1" t="str">
        <f t="shared" si="39"/>
        <v/>
      </c>
      <c r="K853" s="1">
        <f t="shared" si="41"/>
        <v>0</v>
      </c>
    </row>
    <row r="854" spans="4:11" ht="15" customHeight="1">
      <c r="D854" s="6" t="s">
        <v>103</v>
      </c>
      <c r="E854" s="7"/>
      <c r="F854" s="7"/>
      <c r="G854" s="17" t="s">
        <v>182</v>
      </c>
      <c r="H854" s="17">
        <v>6</v>
      </c>
      <c r="I854" s="1">
        <f t="shared" si="40"/>
        <v>-3</v>
      </c>
      <c r="J854" s="1">
        <f t="shared" si="39"/>
        <v>2.7196235033159155E-2</v>
      </c>
      <c r="K854" s="1">
        <f t="shared" si="41"/>
        <v>9.163917045398934</v>
      </c>
    </row>
    <row r="855" spans="4:11" ht="15.75" thickBot="1">
      <c r="D855" s="8"/>
      <c r="E855" s="15" t="s">
        <v>41</v>
      </c>
      <c r="F855" s="15" t="s">
        <v>39</v>
      </c>
      <c r="G855" s="17" t="s">
        <v>178</v>
      </c>
      <c r="H855" s="17"/>
      <c r="I855" s="1" t="str">
        <f t="shared" si="40"/>
        <v/>
      </c>
      <c r="J855" s="1" t="str">
        <f t="shared" si="39"/>
        <v/>
      </c>
      <c r="K855" s="1">
        <f t="shared" si="41"/>
        <v>0</v>
      </c>
    </row>
    <row r="856" spans="4:11" ht="15" customHeight="1">
      <c r="D856" s="6" t="s">
        <v>103</v>
      </c>
      <c r="E856" s="7"/>
      <c r="F856" s="7"/>
      <c r="G856" s="17" t="s">
        <v>182</v>
      </c>
      <c r="H856" s="17">
        <v>4</v>
      </c>
      <c r="I856" s="1">
        <f t="shared" si="40"/>
        <v>-1</v>
      </c>
      <c r="J856" s="1">
        <f t="shared" si="39"/>
        <v>0.23672921527813173</v>
      </c>
      <c r="K856" s="1">
        <f t="shared" si="41"/>
        <v>1.5294991519224634</v>
      </c>
    </row>
    <row r="857" spans="4:11" ht="15.75" thickBot="1">
      <c r="D857" s="8"/>
      <c r="E857" s="15" t="s">
        <v>25</v>
      </c>
      <c r="F857" s="15" t="s">
        <v>22</v>
      </c>
      <c r="G857" s="17" t="s">
        <v>178</v>
      </c>
      <c r="H857" s="17"/>
      <c r="I857" s="1" t="str">
        <f t="shared" si="40"/>
        <v/>
      </c>
      <c r="J857" s="1" t="str">
        <f t="shared" si="39"/>
        <v/>
      </c>
      <c r="K857" s="1">
        <f t="shared" si="41"/>
        <v>0</v>
      </c>
    </row>
    <row r="858" spans="4:11" ht="15" customHeight="1">
      <c r="D858" s="6" t="s">
        <v>103</v>
      </c>
      <c r="E858" s="7"/>
      <c r="F858" s="7"/>
      <c r="G858" s="17" t="s">
        <v>185</v>
      </c>
      <c r="H858" s="17">
        <v>1</v>
      </c>
      <c r="I858" s="1">
        <f t="shared" si="40"/>
        <v>4</v>
      </c>
      <c r="J858" s="1">
        <f t="shared" si="39"/>
        <v>0.93461096994850834</v>
      </c>
      <c r="K858" s="1">
        <f t="shared" si="41"/>
        <v>9.396609905560025</v>
      </c>
    </row>
    <row r="859" spans="4:11" ht="15.75" thickBot="1">
      <c r="D859" s="8"/>
      <c r="E859" s="15" t="s">
        <v>19</v>
      </c>
      <c r="F859" s="15" t="s">
        <v>26</v>
      </c>
      <c r="G859" s="17" t="s">
        <v>178</v>
      </c>
      <c r="H859" s="17"/>
      <c r="I859" s="1" t="str">
        <f t="shared" si="40"/>
        <v/>
      </c>
      <c r="J859" s="1" t="str">
        <f t="shared" si="39"/>
        <v/>
      </c>
      <c r="K859" s="1">
        <f t="shared" si="41"/>
        <v>0</v>
      </c>
    </row>
    <row r="860" spans="4:11" ht="15" customHeight="1">
      <c r="D860" s="6" t="s">
        <v>103</v>
      </c>
      <c r="E860" s="7"/>
      <c r="F860" s="7"/>
      <c r="G860" s="17" t="s">
        <v>181</v>
      </c>
      <c r="H860" s="17">
        <v>2</v>
      </c>
      <c r="I860" s="1">
        <f t="shared" si="40"/>
        <v>-1</v>
      </c>
      <c r="J860" s="1">
        <f t="shared" si="39"/>
        <v>0.45707409245024166</v>
      </c>
      <c r="K860" s="1">
        <f t="shared" si="41"/>
        <v>2.1230649108896955</v>
      </c>
    </row>
    <row r="861" spans="4:11" ht="15.75" thickBot="1">
      <c r="D861" s="8"/>
      <c r="E861" s="15" t="s">
        <v>23</v>
      </c>
      <c r="F861" s="15" t="s">
        <v>33</v>
      </c>
      <c r="G861" s="17" t="s">
        <v>178</v>
      </c>
      <c r="H861" s="17"/>
      <c r="I861" s="1" t="str">
        <f t="shared" si="40"/>
        <v/>
      </c>
      <c r="J861" s="1" t="str">
        <f t="shared" si="39"/>
        <v/>
      </c>
      <c r="K861" s="1">
        <f t="shared" si="41"/>
        <v>0</v>
      </c>
    </row>
    <row r="862" spans="4:11" ht="15" customHeight="1">
      <c r="D862" s="6" t="s">
        <v>104</v>
      </c>
      <c r="E862" s="7"/>
      <c r="F862" s="7"/>
      <c r="G862" s="17" t="s">
        <v>181</v>
      </c>
      <c r="H862" s="17">
        <v>3</v>
      </c>
      <c r="I862" s="1">
        <f t="shared" si="40"/>
        <v>-2</v>
      </c>
      <c r="J862" s="1">
        <f t="shared" si="39"/>
        <v>1.0680550158184587E-2</v>
      </c>
      <c r="K862" s="1">
        <f t="shared" si="41"/>
        <v>4.0428362747844195</v>
      </c>
    </row>
    <row r="863" spans="4:11" ht="15.75" thickBot="1">
      <c r="D863" s="8"/>
      <c r="E863" s="15" t="s">
        <v>4</v>
      </c>
      <c r="F863" s="15" t="s">
        <v>11</v>
      </c>
      <c r="G863" s="17" t="s">
        <v>178</v>
      </c>
      <c r="H863" s="17"/>
      <c r="I863" s="1" t="str">
        <f t="shared" si="40"/>
        <v/>
      </c>
      <c r="J863" s="1" t="str">
        <f t="shared" si="39"/>
        <v/>
      </c>
      <c r="K863" s="1">
        <f t="shared" si="41"/>
        <v>0</v>
      </c>
    </row>
    <row r="864" spans="4:11" ht="15" customHeight="1">
      <c r="D864" s="6" t="s">
        <v>104</v>
      </c>
      <c r="E864" s="7"/>
      <c r="F864" s="7"/>
      <c r="G864" s="17" t="s">
        <v>180</v>
      </c>
      <c r="H864" s="17">
        <v>6</v>
      </c>
      <c r="I864" s="1">
        <f t="shared" si="40"/>
        <v>-4</v>
      </c>
      <c r="J864" s="1">
        <f t="shared" si="39"/>
        <v>-0.24509311504810682</v>
      </c>
      <c r="K864" s="1">
        <f t="shared" si="41"/>
        <v>14.09932571465913</v>
      </c>
    </row>
    <row r="865" spans="4:11" ht="15.75" thickBot="1">
      <c r="D865" s="8"/>
      <c r="E865" s="15" t="s">
        <v>34</v>
      </c>
      <c r="F865" s="15" t="s">
        <v>443</v>
      </c>
      <c r="G865" s="17" t="s">
        <v>178</v>
      </c>
      <c r="H865" s="17"/>
      <c r="I865" s="1" t="str">
        <f t="shared" si="40"/>
        <v/>
      </c>
      <c r="J865" s="1" t="str">
        <f t="shared" si="39"/>
        <v/>
      </c>
      <c r="K865" s="1">
        <f t="shared" si="41"/>
        <v>0</v>
      </c>
    </row>
    <row r="866" spans="4:11" ht="18" customHeight="1">
      <c r="D866" s="6" t="s">
        <v>104</v>
      </c>
      <c r="E866" s="7"/>
      <c r="F866" s="7"/>
      <c r="G866" s="17" t="s">
        <v>182</v>
      </c>
      <c r="H866" s="17">
        <v>2</v>
      </c>
      <c r="I866" s="1">
        <f t="shared" si="40"/>
        <v>1</v>
      </c>
      <c r="J866" s="1">
        <f t="shared" si="39"/>
        <v>-0.38687423012571287</v>
      </c>
      <c r="K866" s="1">
        <f t="shared" si="41"/>
        <v>1.9234201301867888</v>
      </c>
    </row>
    <row r="867" spans="4:11" ht="15.75" thickBot="1">
      <c r="D867" s="8"/>
      <c r="E867" s="15" t="s">
        <v>14</v>
      </c>
      <c r="F867" s="15" t="s">
        <v>13</v>
      </c>
      <c r="G867" s="17" t="s">
        <v>178</v>
      </c>
      <c r="H867" s="17"/>
      <c r="I867" s="1" t="str">
        <f t="shared" si="40"/>
        <v/>
      </c>
      <c r="J867" s="1" t="str">
        <f t="shared" si="39"/>
        <v/>
      </c>
      <c r="K867" s="1">
        <f t="shared" si="41"/>
        <v>0</v>
      </c>
    </row>
    <row r="868" spans="4:11" ht="15" customHeight="1">
      <c r="D868" s="6" t="s">
        <v>104</v>
      </c>
      <c r="E868" s="7"/>
      <c r="F868" s="7"/>
      <c r="G868" s="17" t="s">
        <v>184</v>
      </c>
      <c r="H868" s="17">
        <v>2</v>
      </c>
      <c r="I868" s="1">
        <f t="shared" si="40"/>
        <v>2</v>
      </c>
      <c r="J868" s="1">
        <f t="shared" si="39"/>
        <v>0.35940254426644458</v>
      </c>
      <c r="K868" s="1">
        <f t="shared" si="41"/>
        <v>2.6915600117594152</v>
      </c>
    </row>
    <row r="869" spans="4:11" ht="15.75" thickBot="1">
      <c r="D869" s="8"/>
      <c r="E869" s="15" t="s">
        <v>10</v>
      </c>
      <c r="F869" s="15" t="s">
        <v>24</v>
      </c>
      <c r="G869" s="17" t="s">
        <v>178</v>
      </c>
      <c r="H869" s="17"/>
      <c r="I869" s="1" t="str">
        <f t="shared" si="40"/>
        <v/>
      </c>
      <c r="J869" s="1" t="str">
        <f t="shared" si="39"/>
        <v/>
      </c>
      <c r="K869" s="1">
        <f t="shared" si="41"/>
        <v>0</v>
      </c>
    </row>
    <row r="870" spans="4:11" ht="18" customHeight="1">
      <c r="D870" s="6" t="s">
        <v>105</v>
      </c>
      <c r="E870" s="7"/>
      <c r="F870" s="7"/>
      <c r="G870" s="17" t="s">
        <v>182</v>
      </c>
      <c r="H870" s="17">
        <v>2</v>
      </c>
      <c r="I870" s="1">
        <f t="shared" si="40"/>
        <v>1</v>
      </c>
      <c r="J870" s="1">
        <f t="shared" si="39"/>
        <v>9.5944586461243375E-2</v>
      </c>
      <c r="K870" s="1">
        <f t="shared" si="41"/>
        <v>0.8173161907487323</v>
      </c>
    </row>
    <row r="871" spans="4:11" ht="15.75" thickBot="1">
      <c r="D871" s="8"/>
      <c r="E871" s="15" t="s">
        <v>18</v>
      </c>
      <c r="F871" s="15" t="s">
        <v>2</v>
      </c>
      <c r="G871" s="17" t="s">
        <v>178</v>
      </c>
      <c r="H871" s="17"/>
      <c r="I871" s="1" t="str">
        <f t="shared" si="40"/>
        <v/>
      </c>
      <c r="J871" s="1" t="str">
        <f t="shared" si="39"/>
        <v/>
      </c>
      <c r="K871" s="1">
        <f t="shared" si="41"/>
        <v>0</v>
      </c>
    </row>
    <row r="872" spans="4:11" ht="15" customHeight="1">
      <c r="D872" s="6" t="s">
        <v>105</v>
      </c>
      <c r="E872" s="7"/>
      <c r="F872" s="7"/>
      <c r="G872" s="17" t="s">
        <v>181</v>
      </c>
      <c r="H872" s="17">
        <v>5</v>
      </c>
      <c r="I872" s="1">
        <f t="shared" si="40"/>
        <v>-4</v>
      </c>
      <c r="J872" s="1">
        <f t="shared" si="39"/>
        <v>-9.5670961109846075E-2</v>
      </c>
      <c r="K872" s="1">
        <f t="shared" si="41"/>
        <v>15.243785243920913</v>
      </c>
    </row>
    <row r="873" spans="4:11" ht="30.75" thickBot="1">
      <c r="D873" s="8"/>
      <c r="E873" s="15" t="s">
        <v>28</v>
      </c>
      <c r="F873" s="15" t="s">
        <v>1</v>
      </c>
      <c r="G873" s="17" t="s">
        <v>178</v>
      </c>
      <c r="H873" s="17"/>
      <c r="I873" s="1" t="str">
        <f t="shared" si="40"/>
        <v/>
      </c>
      <c r="J873" s="1" t="str">
        <f t="shared" si="39"/>
        <v/>
      </c>
      <c r="K873" s="1">
        <f t="shared" si="41"/>
        <v>0</v>
      </c>
    </row>
    <row r="874" spans="4:11" ht="18" customHeight="1">
      <c r="D874" s="6" t="s">
        <v>105</v>
      </c>
      <c r="E874" s="7"/>
      <c r="F874" s="7"/>
      <c r="G874" s="17" t="s">
        <v>182</v>
      </c>
      <c r="H874" s="17">
        <v>4</v>
      </c>
      <c r="I874" s="1">
        <f t="shared" si="40"/>
        <v>-1</v>
      </c>
      <c r="J874" s="1">
        <f t="shared" si="39"/>
        <v>1.0871196075546976</v>
      </c>
      <c r="K874" s="1">
        <f t="shared" si="41"/>
        <v>4.3560682562392747</v>
      </c>
    </row>
    <row r="875" spans="4:11" ht="15.75" thickBot="1">
      <c r="D875" s="8"/>
      <c r="E875" s="15" t="s">
        <v>14</v>
      </c>
      <c r="F875" s="15" t="s">
        <v>8</v>
      </c>
      <c r="G875" s="17" t="s">
        <v>178</v>
      </c>
      <c r="H875" s="17"/>
      <c r="I875" s="1" t="str">
        <f t="shared" si="40"/>
        <v/>
      </c>
      <c r="J875" s="1" t="str">
        <f t="shared" si="39"/>
        <v/>
      </c>
      <c r="K875" s="1">
        <f t="shared" si="41"/>
        <v>0</v>
      </c>
    </row>
    <row r="876" spans="4:11" ht="18" customHeight="1">
      <c r="D876" s="6" t="s">
        <v>105</v>
      </c>
      <c r="E876" s="7"/>
      <c r="F876" s="7"/>
      <c r="G876" s="17" t="s">
        <v>181</v>
      </c>
      <c r="H876" s="17">
        <v>4</v>
      </c>
      <c r="I876" s="1">
        <f t="shared" si="40"/>
        <v>-3</v>
      </c>
      <c r="J876" s="1">
        <f t="shared" si="39"/>
        <v>0.67586112002135224</v>
      </c>
      <c r="K876" s="1">
        <f t="shared" si="41"/>
        <v>13.511954973684631</v>
      </c>
    </row>
    <row r="877" spans="4:11" ht="15.75" thickBot="1">
      <c r="D877" s="8"/>
      <c r="E877" s="15" t="s">
        <v>13</v>
      </c>
      <c r="F877" s="15" t="s">
        <v>0</v>
      </c>
      <c r="G877" s="17" t="s">
        <v>178</v>
      </c>
      <c r="H877" s="17"/>
      <c r="I877" s="1" t="str">
        <f t="shared" si="40"/>
        <v/>
      </c>
      <c r="J877" s="1" t="str">
        <f t="shared" si="39"/>
        <v/>
      </c>
      <c r="K877" s="1">
        <f t="shared" si="41"/>
        <v>0</v>
      </c>
    </row>
    <row r="878" spans="4:11" ht="15" customHeight="1">
      <c r="D878" s="6" t="s">
        <v>105</v>
      </c>
      <c r="E878" s="7"/>
      <c r="F878" s="7"/>
      <c r="G878" s="17" t="s">
        <v>180</v>
      </c>
      <c r="H878" s="17">
        <v>3</v>
      </c>
      <c r="I878" s="1">
        <f t="shared" si="40"/>
        <v>-1</v>
      </c>
      <c r="J878" s="1">
        <f t="shared" si="39"/>
        <v>6.9742913252497374E-3</v>
      </c>
      <c r="K878" s="1">
        <f t="shared" si="41"/>
        <v>1.013997223389989</v>
      </c>
    </row>
    <row r="879" spans="4:11" ht="15.75" thickBot="1">
      <c r="D879" s="8"/>
      <c r="E879" s="15" t="s">
        <v>20</v>
      </c>
      <c r="F879" s="15" t="s">
        <v>41</v>
      </c>
      <c r="G879" s="17" t="s">
        <v>178</v>
      </c>
      <c r="H879" s="17"/>
      <c r="I879" s="1" t="str">
        <f t="shared" si="40"/>
        <v/>
      </c>
      <c r="J879" s="1" t="str">
        <f t="shared" si="39"/>
        <v/>
      </c>
      <c r="K879" s="1">
        <f t="shared" si="41"/>
        <v>0</v>
      </c>
    </row>
    <row r="880" spans="4:11" ht="15" customHeight="1">
      <c r="D880" s="6" t="s">
        <v>105</v>
      </c>
      <c r="E880" s="7"/>
      <c r="F880" s="7"/>
      <c r="G880" s="17" t="s">
        <v>180</v>
      </c>
      <c r="H880" s="17">
        <v>4</v>
      </c>
      <c r="I880" s="1">
        <f t="shared" si="40"/>
        <v>-2</v>
      </c>
      <c r="J880" s="1">
        <f t="shared" si="39"/>
        <v>0.10223472765929387</v>
      </c>
      <c r="K880" s="1">
        <f t="shared" si="41"/>
        <v>4.4193908501767458</v>
      </c>
    </row>
    <row r="881" spans="4:11" ht="30.75" thickBot="1">
      <c r="D881" s="8"/>
      <c r="E881" s="15" t="s">
        <v>37</v>
      </c>
      <c r="F881" s="15" t="s">
        <v>12</v>
      </c>
      <c r="G881" s="17" t="s">
        <v>178</v>
      </c>
      <c r="H881" s="17"/>
      <c r="I881" s="1" t="str">
        <f t="shared" si="40"/>
        <v/>
      </c>
      <c r="J881" s="1" t="str">
        <f t="shared" si="39"/>
        <v/>
      </c>
      <c r="K881" s="1">
        <f t="shared" si="41"/>
        <v>0</v>
      </c>
    </row>
    <row r="882" spans="4:11" ht="15" customHeight="1">
      <c r="D882" s="6" t="s">
        <v>105</v>
      </c>
      <c r="E882" s="7"/>
      <c r="F882" s="7"/>
      <c r="G882" s="17" t="s">
        <v>182</v>
      </c>
      <c r="H882" s="17">
        <v>4</v>
      </c>
      <c r="I882" s="1">
        <f t="shared" si="40"/>
        <v>-1</v>
      </c>
      <c r="J882" s="1">
        <f t="shared" si="39"/>
        <v>0.56882675529797666</v>
      </c>
      <c r="K882" s="1">
        <f t="shared" si="41"/>
        <v>2.4612173881387776</v>
      </c>
    </row>
    <row r="883" spans="4:11" ht="15.75" thickBot="1">
      <c r="D883" s="8"/>
      <c r="E883" s="15" t="s">
        <v>11</v>
      </c>
      <c r="F883" s="15" t="s">
        <v>7</v>
      </c>
      <c r="G883" s="17" t="s">
        <v>178</v>
      </c>
      <c r="H883" s="17"/>
      <c r="I883" s="1" t="str">
        <f t="shared" si="40"/>
        <v/>
      </c>
      <c r="J883" s="1" t="str">
        <f t="shared" si="39"/>
        <v/>
      </c>
      <c r="K883" s="1">
        <f t="shared" si="41"/>
        <v>0</v>
      </c>
    </row>
    <row r="884" spans="4:11" ht="15" customHeight="1">
      <c r="D884" s="6" t="s">
        <v>105</v>
      </c>
      <c r="E884" s="7"/>
      <c r="F884" s="7"/>
      <c r="G884" s="17" t="s">
        <v>184</v>
      </c>
      <c r="H884" s="17">
        <v>1</v>
      </c>
      <c r="I884" s="1">
        <f t="shared" si="40"/>
        <v>3</v>
      </c>
      <c r="J884" s="1">
        <f t="shared" si="39"/>
        <v>-0.72538569270233211</v>
      </c>
      <c r="K884" s="1">
        <f t="shared" si="41"/>
        <v>13.878498559391234</v>
      </c>
    </row>
    <row r="885" spans="4:11" ht="15.75" thickBot="1">
      <c r="D885" s="8"/>
      <c r="E885" s="15" t="s">
        <v>10</v>
      </c>
      <c r="F885" s="15" t="s">
        <v>25</v>
      </c>
      <c r="G885" s="17" t="s">
        <v>178</v>
      </c>
      <c r="H885" s="17"/>
      <c r="I885" s="1" t="str">
        <f t="shared" si="40"/>
        <v/>
      </c>
      <c r="J885" s="1" t="str">
        <f t="shared" si="39"/>
        <v/>
      </c>
      <c r="K885" s="1">
        <f t="shared" si="41"/>
        <v>0</v>
      </c>
    </row>
    <row r="886" spans="4:11" ht="15" customHeight="1">
      <c r="D886" s="6" t="s">
        <v>105</v>
      </c>
      <c r="E886" s="7"/>
      <c r="F886" s="7"/>
      <c r="G886" s="17" t="s">
        <v>184</v>
      </c>
      <c r="H886" s="17">
        <v>3</v>
      </c>
      <c r="I886" s="1">
        <f t="shared" si="40"/>
        <v>1</v>
      </c>
      <c r="J886" s="1">
        <f t="shared" si="39"/>
        <v>0.94396886820456416</v>
      </c>
      <c r="K886" s="1">
        <f t="shared" si="41"/>
        <v>3.1394877302775011E-3</v>
      </c>
    </row>
    <row r="887" spans="4:11" ht="15.75" thickBot="1">
      <c r="D887" s="8"/>
      <c r="E887" s="15" t="s">
        <v>23</v>
      </c>
      <c r="F887" s="15" t="s">
        <v>26</v>
      </c>
      <c r="G887" s="17" t="s">
        <v>178</v>
      </c>
      <c r="H887" s="17"/>
      <c r="I887" s="1" t="str">
        <f t="shared" si="40"/>
        <v/>
      </c>
      <c r="J887" s="1" t="str">
        <f t="shared" si="39"/>
        <v/>
      </c>
      <c r="K887" s="1">
        <f t="shared" si="41"/>
        <v>0</v>
      </c>
    </row>
    <row r="888" spans="4:11" ht="15" customHeight="1">
      <c r="D888" s="6" t="s">
        <v>105</v>
      </c>
      <c r="E888" s="7"/>
      <c r="F888" s="7"/>
      <c r="G888" s="17" t="s">
        <v>182</v>
      </c>
      <c r="H888" s="17">
        <v>4</v>
      </c>
      <c r="I888" s="1">
        <f t="shared" si="40"/>
        <v>-1</v>
      </c>
      <c r="J888" s="1">
        <f t="shared" si="39"/>
        <v>-0.27841084907005609</v>
      </c>
      <c r="K888" s="1">
        <f t="shared" si="41"/>
        <v>0.52069090273979735</v>
      </c>
    </row>
    <row r="889" spans="4:11" ht="15.75" thickBot="1">
      <c r="D889" s="8"/>
      <c r="E889" s="15" t="s">
        <v>36</v>
      </c>
      <c r="F889" s="15" t="s">
        <v>21</v>
      </c>
      <c r="G889" s="17" t="s">
        <v>178</v>
      </c>
      <c r="H889" s="17"/>
      <c r="I889" s="1" t="str">
        <f t="shared" si="40"/>
        <v/>
      </c>
      <c r="J889" s="1" t="str">
        <f t="shared" si="39"/>
        <v/>
      </c>
      <c r="K889" s="1">
        <f t="shared" si="41"/>
        <v>0</v>
      </c>
    </row>
    <row r="890" spans="4:11" ht="15" customHeight="1">
      <c r="D890" s="6" t="s">
        <v>105</v>
      </c>
      <c r="E890" s="7"/>
      <c r="F890" s="7"/>
      <c r="G890" s="17" t="s">
        <v>182</v>
      </c>
      <c r="H890" s="17">
        <v>2</v>
      </c>
      <c r="I890" s="1">
        <f t="shared" si="40"/>
        <v>1</v>
      </c>
      <c r="J890" s="1">
        <f t="shared" si="39"/>
        <v>0.54708387220728127</v>
      </c>
      <c r="K890" s="1">
        <f t="shared" si="41"/>
        <v>0.20513301881475032</v>
      </c>
    </row>
    <row r="891" spans="4:11" ht="15.75" thickBot="1">
      <c r="D891" s="8"/>
      <c r="E891" s="15" t="s">
        <v>39</v>
      </c>
      <c r="F891" s="15" t="s">
        <v>22</v>
      </c>
      <c r="G891" s="17" t="s">
        <v>178</v>
      </c>
      <c r="H891" s="17"/>
      <c r="I891" s="1" t="str">
        <f t="shared" si="40"/>
        <v/>
      </c>
      <c r="J891" s="1" t="str">
        <f t="shared" si="39"/>
        <v/>
      </c>
      <c r="K891" s="1">
        <f t="shared" si="41"/>
        <v>0</v>
      </c>
    </row>
    <row r="892" spans="4:11" ht="15" customHeight="1">
      <c r="D892" s="6" t="s">
        <v>105</v>
      </c>
      <c r="E892" s="7"/>
      <c r="F892" s="7"/>
      <c r="G892" s="17" t="s">
        <v>185</v>
      </c>
      <c r="H892" s="17">
        <v>1</v>
      </c>
      <c r="I892" s="1">
        <f t="shared" si="40"/>
        <v>4</v>
      </c>
      <c r="J892" s="1">
        <f t="shared" si="39"/>
        <v>0.36464061911063084</v>
      </c>
      <c r="K892" s="1">
        <f t="shared" si="41"/>
        <v>13.215837828220337</v>
      </c>
    </row>
    <row r="893" spans="4:11" ht="15.75" thickBot="1">
      <c r="D893" s="8"/>
      <c r="E893" s="15" t="s">
        <v>38</v>
      </c>
      <c r="F893" s="15" t="s">
        <v>3</v>
      </c>
      <c r="G893" s="17" t="s">
        <v>178</v>
      </c>
      <c r="H893" s="17"/>
      <c r="I893" s="1" t="str">
        <f t="shared" si="40"/>
        <v/>
      </c>
      <c r="J893" s="1" t="str">
        <f t="shared" si="39"/>
        <v/>
      </c>
      <c r="K893" s="1">
        <f t="shared" si="41"/>
        <v>0</v>
      </c>
    </row>
    <row r="894" spans="4:11" ht="18" customHeight="1">
      <c r="D894" s="6" t="s">
        <v>105</v>
      </c>
      <c r="E894" s="7"/>
      <c r="F894" s="7"/>
      <c r="G894" s="17" t="s">
        <v>179</v>
      </c>
      <c r="H894" s="17">
        <v>2</v>
      </c>
      <c r="I894" s="1">
        <f t="shared" si="40"/>
        <v>-2</v>
      </c>
      <c r="J894" s="1">
        <f t="shared" si="39"/>
        <v>0.44771619419418585</v>
      </c>
      <c r="K894" s="1">
        <f t="shared" si="41"/>
        <v>5.9913145673204697</v>
      </c>
    </row>
    <row r="895" spans="4:11" ht="15.75" thickBot="1">
      <c r="D895" s="8"/>
      <c r="E895" s="15" t="s">
        <v>19</v>
      </c>
      <c r="F895" s="15" t="s">
        <v>33</v>
      </c>
      <c r="G895" s="17" t="s">
        <v>178</v>
      </c>
      <c r="H895" s="17"/>
      <c r="I895" s="1" t="str">
        <f t="shared" si="40"/>
        <v/>
      </c>
      <c r="J895" s="1" t="str">
        <f t="shared" si="39"/>
        <v/>
      </c>
      <c r="K895" s="1">
        <f t="shared" si="41"/>
        <v>0</v>
      </c>
    </row>
    <row r="896" spans="4:11" ht="15" customHeight="1">
      <c r="D896" s="6" t="s">
        <v>106</v>
      </c>
      <c r="E896" s="7"/>
      <c r="F896" s="7"/>
      <c r="G896" s="17" t="s">
        <v>182</v>
      </c>
      <c r="H896" s="17">
        <v>4</v>
      </c>
      <c r="I896" s="1">
        <f t="shared" si="40"/>
        <v>-1</v>
      </c>
      <c r="J896" s="1">
        <f t="shared" si="39"/>
        <v>0.65020048705362399</v>
      </c>
      <c r="K896" s="1">
        <f t="shared" si="41"/>
        <v>2.7231616474720179</v>
      </c>
    </row>
    <row r="897" spans="4:11" ht="15.75" thickBot="1">
      <c r="D897" s="8"/>
      <c r="E897" s="15" t="s">
        <v>34</v>
      </c>
      <c r="F897" s="15" t="s">
        <v>0</v>
      </c>
      <c r="G897" s="17" t="s">
        <v>178</v>
      </c>
      <c r="H897" s="17"/>
      <c r="I897" s="1" t="str">
        <f t="shared" si="40"/>
        <v/>
      </c>
      <c r="J897" s="1" t="str">
        <f t="shared" si="39"/>
        <v/>
      </c>
      <c r="K897" s="1">
        <f t="shared" si="41"/>
        <v>0</v>
      </c>
    </row>
    <row r="898" spans="4:11" ht="18" customHeight="1">
      <c r="D898" s="6" t="s">
        <v>106</v>
      </c>
      <c r="E898" s="7"/>
      <c r="F898" s="7"/>
      <c r="G898" s="17" t="s">
        <v>181</v>
      </c>
      <c r="H898" s="17">
        <v>2</v>
      </c>
      <c r="I898" s="1">
        <f t="shared" si="40"/>
        <v>-1</v>
      </c>
      <c r="J898" s="1">
        <f t="shared" si="39"/>
        <v>-0.26008196250091942</v>
      </c>
      <c r="K898" s="1">
        <f t="shared" si="41"/>
        <v>0.54747870221649086</v>
      </c>
    </row>
    <row r="899" spans="4:11" ht="15.75" thickBot="1">
      <c r="D899" s="8"/>
      <c r="E899" s="15" t="s">
        <v>4</v>
      </c>
      <c r="F899" s="15" t="s">
        <v>20</v>
      </c>
      <c r="G899" s="17" t="s">
        <v>178</v>
      </c>
      <c r="H899" s="17"/>
      <c r="I899" s="1" t="str">
        <f t="shared" si="40"/>
        <v/>
      </c>
      <c r="J899" s="1" t="str">
        <f t="shared" ref="J899:J962" si="42">IF(F900="","",VLOOKUP(F900,$A$2:$B$31,2)+$B$33-VLOOKUP(E900,$A$2:$B$31,2))</f>
        <v/>
      </c>
      <c r="K899" s="1">
        <f t="shared" si="41"/>
        <v>0</v>
      </c>
    </row>
    <row r="900" spans="4:11" ht="15" customHeight="1">
      <c r="D900" s="6" t="s">
        <v>106</v>
      </c>
      <c r="E900" s="7"/>
      <c r="F900" s="7"/>
      <c r="G900" s="17" t="s">
        <v>180</v>
      </c>
      <c r="H900" s="17">
        <v>0</v>
      </c>
      <c r="I900" s="1">
        <f t="shared" ref="I900:I963" si="43">IF(G900="","",G900-H900)</f>
        <v>2</v>
      </c>
      <c r="J900" s="1">
        <f t="shared" si="42"/>
        <v>1.4223391289310854</v>
      </c>
      <c r="K900" s="1">
        <f t="shared" ref="K900:K963" si="44">IF(J900="",0,(I900-J900)^2)</f>
        <v>0.33369208196409722</v>
      </c>
    </row>
    <row r="901" spans="4:11" ht="15.75" thickBot="1">
      <c r="D901" s="8"/>
      <c r="E901" s="15" t="s">
        <v>38</v>
      </c>
      <c r="F901" s="15" t="s">
        <v>24</v>
      </c>
      <c r="G901" s="17" t="s">
        <v>178</v>
      </c>
      <c r="H901" s="17"/>
      <c r="I901" s="1" t="str">
        <f t="shared" si="43"/>
        <v/>
      </c>
      <c r="J901" s="1" t="str">
        <f t="shared" si="42"/>
        <v/>
      </c>
      <c r="K901" s="1">
        <f t="shared" si="44"/>
        <v>0</v>
      </c>
    </row>
    <row r="902" spans="4:11" ht="15" customHeight="1">
      <c r="D902" s="6" t="s">
        <v>107</v>
      </c>
      <c r="E902" s="7"/>
      <c r="F902" s="7"/>
      <c r="G902" s="17" t="s">
        <v>180</v>
      </c>
      <c r="H902" s="17">
        <v>3</v>
      </c>
      <c r="I902" s="1">
        <f t="shared" si="43"/>
        <v>-1</v>
      </c>
      <c r="J902" s="1">
        <f t="shared" si="42"/>
        <v>-0.89187252499026215</v>
      </c>
      <c r="K902" s="1">
        <f t="shared" si="44"/>
        <v>1.1691550851981484E-2</v>
      </c>
    </row>
    <row r="903" spans="4:11" ht="15.75" thickBot="1">
      <c r="D903" s="8"/>
      <c r="E903" s="15" t="s">
        <v>36</v>
      </c>
      <c r="F903" s="15" t="s">
        <v>41</v>
      </c>
      <c r="G903" s="17" t="s">
        <v>178</v>
      </c>
      <c r="H903" s="17"/>
      <c r="I903" s="1" t="str">
        <f t="shared" si="43"/>
        <v/>
      </c>
      <c r="J903" s="1" t="str">
        <f t="shared" si="42"/>
        <v/>
      </c>
      <c r="K903" s="1">
        <f t="shared" si="44"/>
        <v>0</v>
      </c>
    </row>
    <row r="904" spans="4:11" ht="15" customHeight="1">
      <c r="D904" s="6" t="s">
        <v>107</v>
      </c>
      <c r="E904" s="7"/>
      <c r="F904" s="7"/>
      <c r="G904" s="17" t="s">
        <v>180</v>
      </c>
      <c r="H904" s="17">
        <v>4</v>
      </c>
      <c r="I904" s="1">
        <f t="shared" si="43"/>
        <v>-2</v>
      </c>
      <c r="J904" s="1">
        <f t="shared" si="42"/>
        <v>0.26488470665177033</v>
      </c>
      <c r="K904" s="1">
        <f t="shared" si="44"/>
        <v>5.1297027344250754</v>
      </c>
    </row>
    <row r="905" spans="4:11" ht="15.75" thickBot="1">
      <c r="D905" s="8"/>
      <c r="E905" s="15" t="s">
        <v>37</v>
      </c>
      <c r="F905" s="15" t="s">
        <v>11</v>
      </c>
      <c r="G905" s="17" t="s">
        <v>178</v>
      </c>
      <c r="H905" s="17"/>
      <c r="I905" s="1" t="str">
        <f t="shared" si="43"/>
        <v/>
      </c>
      <c r="J905" s="1" t="str">
        <f t="shared" si="42"/>
        <v/>
      </c>
      <c r="K905" s="1">
        <f t="shared" si="44"/>
        <v>0</v>
      </c>
    </row>
    <row r="906" spans="4:11" ht="18" customHeight="1">
      <c r="D906" s="6" t="s">
        <v>107</v>
      </c>
      <c r="E906" s="7"/>
      <c r="F906" s="7"/>
      <c r="G906" s="17" t="s">
        <v>184</v>
      </c>
      <c r="H906" s="17">
        <v>5</v>
      </c>
      <c r="I906" s="1">
        <f t="shared" si="43"/>
        <v>-1</v>
      </c>
      <c r="J906" s="1">
        <f t="shared" si="42"/>
        <v>1.5059573207659014</v>
      </c>
      <c r="K906" s="1">
        <f t="shared" si="44"/>
        <v>6.2798220935002149</v>
      </c>
    </row>
    <row r="907" spans="4:11" ht="15.75" thickBot="1">
      <c r="D907" s="8"/>
      <c r="E907" s="15" t="s">
        <v>18</v>
      </c>
      <c r="F907" s="15" t="s">
        <v>8</v>
      </c>
      <c r="G907" s="17" t="s">
        <v>178</v>
      </c>
      <c r="H907" s="17"/>
      <c r="I907" s="1" t="str">
        <f t="shared" si="43"/>
        <v/>
      </c>
      <c r="J907" s="1" t="str">
        <f t="shared" si="42"/>
        <v/>
      </c>
      <c r="K907" s="1">
        <f t="shared" si="44"/>
        <v>0</v>
      </c>
    </row>
    <row r="908" spans="4:11" ht="15" customHeight="1">
      <c r="D908" s="6" t="s">
        <v>108</v>
      </c>
      <c r="E908" s="7"/>
      <c r="F908" s="7"/>
      <c r="G908" s="17" t="s">
        <v>182</v>
      </c>
      <c r="H908" s="17">
        <v>1</v>
      </c>
      <c r="I908" s="1">
        <f t="shared" si="43"/>
        <v>2</v>
      </c>
      <c r="J908" s="1">
        <f t="shared" si="42"/>
        <v>0.81301833867883033</v>
      </c>
      <c r="K908" s="1">
        <f t="shared" si="44"/>
        <v>1.408925464312764</v>
      </c>
    </row>
    <row r="909" spans="4:11" ht="30.75" thickBot="1">
      <c r="D909" s="8"/>
      <c r="E909" s="15" t="s">
        <v>37</v>
      </c>
      <c r="F909" s="15" t="s">
        <v>1</v>
      </c>
      <c r="G909" s="17" t="s">
        <v>178</v>
      </c>
      <c r="H909" s="17"/>
      <c r="I909" s="1" t="str">
        <f t="shared" si="43"/>
        <v/>
      </c>
      <c r="J909" s="1" t="str">
        <f t="shared" si="42"/>
        <v/>
      </c>
      <c r="K909" s="1">
        <f t="shared" si="44"/>
        <v>0</v>
      </c>
    </row>
    <row r="910" spans="4:11" ht="18" customHeight="1">
      <c r="D910" s="6" t="s">
        <v>108</v>
      </c>
      <c r="E910" s="7"/>
      <c r="F910" s="7"/>
      <c r="G910" s="17" t="s">
        <v>180</v>
      </c>
      <c r="H910" s="17">
        <v>6</v>
      </c>
      <c r="I910" s="1">
        <f t="shared" si="43"/>
        <v>-4</v>
      </c>
      <c r="J910" s="1">
        <f t="shared" si="42"/>
        <v>2.7604176736389263E-2</v>
      </c>
      <c r="K910" s="1">
        <f t="shared" si="44"/>
        <v>16.221595404464409</v>
      </c>
    </row>
    <row r="911" spans="4:11" ht="15.75" thickBot="1">
      <c r="D911" s="8"/>
      <c r="E911" s="15" t="s">
        <v>10</v>
      </c>
      <c r="F911" s="15" t="s">
        <v>0</v>
      </c>
      <c r="G911" s="17" t="s">
        <v>178</v>
      </c>
      <c r="H911" s="17"/>
      <c r="I911" s="1" t="str">
        <f t="shared" si="43"/>
        <v/>
      </c>
      <c r="J911" s="1" t="str">
        <f t="shared" si="42"/>
        <v/>
      </c>
      <c r="K911" s="1">
        <f t="shared" si="44"/>
        <v>0</v>
      </c>
    </row>
    <row r="912" spans="4:11" ht="15" customHeight="1">
      <c r="D912" s="6" t="s">
        <v>108</v>
      </c>
      <c r="E912" s="7"/>
      <c r="F912" s="7"/>
      <c r="G912" s="17" t="s">
        <v>181</v>
      </c>
      <c r="H912" s="17">
        <v>4</v>
      </c>
      <c r="I912" s="1">
        <f t="shared" si="43"/>
        <v>-3</v>
      </c>
      <c r="J912" s="1">
        <f t="shared" si="42"/>
        <v>-0.71234565517146109</v>
      </c>
      <c r="K912" s="1">
        <f t="shared" si="44"/>
        <v>5.2333624014128919</v>
      </c>
    </row>
    <row r="913" spans="4:11" ht="15.75" thickBot="1">
      <c r="D913" s="8"/>
      <c r="E913" s="15" t="s">
        <v>28</v>
      </c>
      <c r="F913" s="15" t="s">
        <v>443</v>
      </c>
      <c r="G913" s="17" t="s">
        <v>178</v>
      </c>
      <c r="H913" s="17"/>
      <c r="I913" s="1" t="str">
        <f t="shared" si="43"/>
        <v/>
      </c>
      <c r="J913" s="1" t="str">
        <f t="shared" si="42"/>
        <v/>
      </c>
      <c r="K913" s="1">
        <f t="shared" si="44"/>
        <v>0</v>
      </c>
    </row>
    <row r="914" spans="4:11" ht="18" customHeight="1">
      <c r="D914" s="6" t="s">
        <v>108</v>
      </c>
      <c r="E914" s="7"/>
      <c r="F914" s="7"/>
      <c r="G914" s="17" t="s">
        <v>181</v>
      </c>
      <c r="H914" s="17">
        <v>0</v>
      </c>
      <c r="I914" s="1">
        <f t="shared" si="43"/>
        <v>1</v>
      </c>
      <c r="J914" s="1">
        <f t="shared" si="42"/>
        <v>-0.4179353352521531</v>
      </c>
      <c r="K914" s="1">
        <f t="shared" si="44"/>
        <v>2.0105406149566356</v>
      </c>
    </row>
    <row r="915" spans="4:11" ht="15.75" thickBot="1">
      <c r="D915" s="8"/>
      <c r="E915" s="15" t="s">
        <v>7</v>
      </c>
      <c r="F915" s="15" t="s">
        <v>13</v>
      </c>
      <c r="G915" s="17" t="s">
        <v>178</v>
      </c>
      <c r="H915" s="17"/>
      <c r="I915" s="1" t="str">
        <f t="shared" si="43"/>
        <v/>
      </c>
      <c r="J915" s="1" t="str">
        <f t="shared" si="42"/>
        <v/>
      </c>
      <c r="K915" s="1">
        <f t="shared" si="44"/>
        <v>0</v>
      </c>
    </row>
    <row r="916" spans="4:11" ht="15" customHeight="1">
      <c r="D916" s="6" t="s">
        <v>108</v>
      </c>
      <c r="E916" s="7"/>
      <c r="F916" s="7"/>
      <c r="G916" s="17" t="s">
        <v>181</v>
      </c>
      <c r="H916" s="17">
        <v>2</v>
      </c>
      <c r="I916" s="1">
        <f t="shared" si="43"/>
        <v>-1</v>
      </c>
      <c r="J916" s="1">
        <f t="shared" si="42"/>
        <v>0.7004156291640129</v>
      </c>
      <c r="K916" s="1">
        <f t="shared" si="44"/>
        <v>2.8914133119052456</v>
      </c>
    </row>
    <row r="917" spans="4:11" ht="15.75" thickBot="1">
      <c r="D917" s="8"/>
      <c r="E917" s="15" t="s">
        <v>12</v>
      </c>
      <c r="F917" s="15" t="s">
        <v>14</v>
      </c>
      <c r="G917" s="17" t="s">
        <v>178</v>
      </c>
      <c r="H917" s="17"/>
      <c r="I917" s="1" t="str">
        <f t="shared" si="43"/>
        <v/>
      </c>
      <c r="J917" s="1" t="str">
        <f t="shared" si="42"/>
        <v/>
      </c>
      <c r="K917" s="1">
        <f t="shared" si="44"/>
        <v>0</v>
      </c>
    </row>
    <row r="918" spans="4:11" ht="15" customHeight="1">
      <c r="D918" s="6" t="s">
        <v>108</v>
      </c>
      <c r="E918" s="7"/>
      <c r="F918" s="7"/>
      <c r="G918" s="17" t="s">
        <v>180</v>
      </c>
      <c r="H918" s="17">
        <v>5</v>
      </c>
      <c r="I918" s="1">
        <f t="shared" si="43"/>
        <v>-3</v>
      </c>
      <c r="J918" s="1">
        <f t="shared" si="42"/>
        <v>-0.41314403931424692</v>
      </c>
      <c r="K918" s="1">
        <f t="shared" si="44"/>
        <v>6.6918237613354101</v>
      </c>
    </row>
    <row r="919" spans="4:11" ht="15.75" thickBot="1">
      <c r="D919" s="8"/>
      <c r="E919" s="15" t="s">
        <v>34</v>
      </c>
      <c r="F919" s="15" t="s">
        <v>39</v>
      </c>
      <c r="G919" s="17" t="s">
        <v>178</v>
      </c>
      <c r="H919" s="17"/>
      <c r="I919" s="1" t="str">
        <f t="shared" si="43"/>
        <v/>
      </c>
      <c r="J919" s="1" t="str">
        <f t="shared" si="42"/>
        <v/>
      </c>
      <c r="K919" s="1">
        <f t="shared" si="44"/>
        <v>0</v>
      </c>
    </row>
    <row r="920" spans="4:11" ht="15" customHeight="1">
      <c r="D920" s="6" t="s">
        <v>108</v>
      </c>
      <c r="E920" s="7"/>
      <c r="F920" s="7"/>
      <c r="G920" s="17" t="s">
        <v>180</v>
      </c>
      <c r="H920" s="17">
        <v>3</v>
      </c>
      <c r="I920" s="1">
        <f t="shared" si="43"/>
        <v>-1</v>
      </c>
      <c r="J920" s="1">
        <f t="shared" si="42"/>
        <v>-0.35033513003929784</v>
      </c>
      <c r="K920" s="1">
        <f t="shared" si="44"/>
        <v>0.42206444326105608</v>
      </c>
    </row>
    <row r="921" spans="4:11" ht="15.75" thickBot="1">
      <c r="D921" s="8"/>
      <c r="E921" s="15" t="s">
        <v>2</v>
      </c>
      <c r="F921" s="15" t="s">
        <v>19</v>
      </c>
      <c r="G921" s="17" t="s">
        <v>178</v>
      </c>
      <c r="H921" s="17"/>
      <c r="I921" s="1" t="str">
        <f t="shared" si="43"/>
        <v/>
      </c>
      <c r="J921" s="1" t="str">
        <f t="shared" si="42"/>
        <v/>
      </c>
      <c r="K921" s="1">
        <f t="shared" si="44"/>
        <v>0</v>
      </c>
    </row>
    <row r="922" spans="4:11" ht="15" customHeight="1">
      <c r="D922" s="6" t="s">
        <v>108</v>
      </c>
      <c r="E922" s="7"/>
      <c r="F922" s="7"/>
      <c r="G922" s="17" t="s">
        <v>181</v>
      </c>
      <c r="H922" s="17">
        <v>5</v>
      </c>
      <c r="I922" s="1">
        <f t="shared" si="43"/>
        <v>-4</v>
      </c>
      <c r="J922" s="1">
        <f t="shared" si="42"/>
        <v>-1.5511225870977796</v>
      </c>
      <c r="K922" s="1">
        <f t="shared" si="44"/>
        <v>5.9970005834226718</v>
      </c>
    </row>
    <row r="923" spans="4:11" ht="15.75" thickBot="1">
      <c r="D923" s="8"/>
      <c r="E923" s="15" t="s">
        <v>8</v>
      </c>
      <c r="F923" s="15" t="s">
        <v>25</v>
      </c>
      <c r="G923" s="17" t="s">
        <v>178</v>
      </c>
      <c r="H923" s="17"/>
      <c r="I923" s="1" t="str">
        <f t="shared" si="43"/>
        <v/>
      </c>
      <c r="J923" s="1" t="str">
        <f t="shared" si="42"/>
        <v/>
      </c>
      <c r="K923" s="1">
        <f t="shared" si="44"/>
        <v>0</v>
      </c>
    </row>
    <row r="924" spans="4:11" ht="15" customHeight="1">
      <c r="D924" s="6" t="s">
        <v>108</v>
      </c>
      <c r="E924" s="7"/>
      <c r="F924" s="7"/>
      <c r="G924" s="17" t="s">
        <v>182</v>
      </c>
      <c r="H924" s="17">
        <v>5</v>
      </c>
      <c r="I924" s="1">
        <f t="shared" si="43"/>
        <v>-2</v>
      </c>
      <c r="J924" s="1">
        <f t="shared" si="42"/>
        <v>-0.12594200778532638</v>
      </c>
      <c r="K924" s="1">
        <f t="shared" si="44"/>
        <v>3.5120933581836935</v>
      </c>
    </row>
    <row r="925" spans="4:11" ht="15.75" thickBot="1">
      <c r="D925" s="8"/>
      <c r="E925" s="15" t="s">
        <v>23</v>
      </c>
      <c r="F925" s="15" t="s">
        <v>20</v>
      </c>
      <c r="G925" s="17" t="s">
        <v>178</v>
      </c>
      <c r="H925" s="17"/>
      <c r="I925" s="1" t="str">
        <f t="shared" si="43"/>
        <v/>
      </c>
      <c r="J925" s="1" t="str">
        <f t="shared" si="42"/>
        <v/>
      </c>
      <c r="K925" s="1">
        <f t="shared" si="44"/>
        <v>0</v>
      </c>
    </row>
    <row r="926" spans="4:11" ht="15" customHeight="1">
      <c r="D926" s="6" t="s">
        <v>108</v>
      </c>
      <c r="E926" s="7"/>
      <c r="F926" s="7"/>
      <c r="G926" s="17" t="s">
        <v>185</v>
      </c>
      <c r="H926" s="17">
        <v>2</v>
      </c>
      <c r="I926" s="1">
        <f t="shared" si="43"/>
        <v>3</v>
      </c>
      <c r="J926" s="1">
        <f t="shared" si="42"/>
        <v>0.25310767117566968</v>
      </c>
      <c r="K926" s="1">
        <f t="shared" si="44"/>
        <v>7.5454174661539533</v>
      </c>
    </row>
    <row r="927" spans="4:11" ht="15.75" thickBot="1">
      <c r="D927" s="8"/>
      <c r="E927" s="15" t="s">
        <v>38</v>
      </c>
      <c r="F927" s="15" t="s">
        <v>4</v>
      </c>
      <c r="G927" s="17" t="s">
        <v>178</v>
      </c>
      <c r="H927" s="17"/>
      <c r="I927" s="1" t="str">
        <f t="shared" si="43"/>
        <v/>
      </c>
      <c r="J927" s="1" t="str">
        <f t="shared" si="42"/>
        <v/>
      </c>
      <c r="K927" s="1">
        <f t="shared" si="44"/>
        <v>0</v>
      </c>
    </row>
    <row r="928" spans="4:11" ht="15" customHeight="1">
      <c r="D928" s="6" t="s">
        <v>108</v>
      </c>
      <c r="E928" s="7"/>
      <c r="F928" s="7"/>
      <c r="G928" s="17" t="s">
        <v>181</v>
      </c>
      <c r="H928" s="17">
        <v>2</v>
      </c>
      <c r="I928" s="1">
        <f t="shared" si="43"/>
        <v>-1</v>
      </c>
      <c r="J928" s="1">
        <f t="shared" si="42"/>
        <v>-0.35940254426644458</v>
      </c>
      <c r="K928" s="1">
        <f t="shared" si="44"/>
        <v>0.4103651002923045</v>
      </c>
    </row>
    <row r="929" spans="4:11" ht="15.75" thickBot="1">
      <c r="D929" s="8"/>
      <c r="E929" s="15" t="s">
        <v>24</v>
      </c>
      <c r="F929" s="15" t="s">
        <v>26</v>
      </c>
      <c r="G929" s="17" t="s">
        <v>178</v>
      </c>
      <c r="H929" s="17"/>
      <c r="I929" s="1" t="str">
        <f t="shared" si="43"/>
        <v/>
      </c>
      <c r="J929" s="1" t="str">
        <f t="shared" si="42"/>
        <v/>
      </c>
      <c r="K929" s="1">
        <f t="shared" si="44"/>
        <v>0</v>
      </c>
    </row>
    <row r="930" spans="4:11" ht="15" customHeight="1">
      <c r="D930" s="6" t="s">
        <v>109</v>
      </c>
      <c r="E930" s="7"/>
      <c r="F930" s="7"/>
      <c r="G930" s="17" t="s">
        <v>180</v>
      </c>
      <c r="H930" s="17">
        <v>0</v>
      </c>
      <c r="I930" s="1">
        <f t="shared" si="43"/>
        <v>2</v>
      </c>
      <c r="J930" s="1">
        <f t="shared" si="42"/>
        <v>0.50915636669607522</v>
      </c>
      <c r="K930" s="1">
        <f t="shared" si="44"/>
        <v>2.2226147389628474</v>
      </c>
    </row>
    <row r="931" spans="4:11" ht="15.75" thickBot="1">
      <c r="D931" s="8"/>
      <c r="E931" s="15" t="s">
        <v>18</v>
      </c>
      <c r="F931" s="15" t="s">
        <v>36</v>
      </c>
      <c r="G931" s="17" t="s">
        <v>178</v>
      </c>
      <c r="H931" s="17"/>
      <c r="I931" s="1" t="str">
        <f t="shared" si="43"/>
        <v/>
      </c>
      <c r="J931" s="1" t="str">
        <f t="shared" si="42"/>
        <v/>
      </c>
      <c r="K931" s="1">
        <f t="shared" si="44"/>
        <v>0</v>
      </c>
    </row>
    <row r="932" spans="4:11" ht="15" customHeight="1">
      <c r="D932" s="6" t="s">
        <v>109</v>
      </c>
      <c r="E932" s="7"/>
      <c r="F932" s="7"/>
      <c r="G932" s="17" t="s">
        <v>182</v>
      </c>
      <c r="H932" s="17">
        <v>2</v>
      </c>
      <c r="I932" s="1">
        <f t="shared" si="43"/>
        <v>1</v>
      </c>
      <c r="J932" s="1">
        <f t="shared" si="42"/>
        <v>-0.35969302829535366</v>
      </c>
      <c r="K932" s="1">
        <f t="shared" si="44"/>
        <v>1.8487651311949893</v>
      </c>
    </row>
    <row r="933" spans="4:11" ht="15.75" thickBot="1">
      <c r="D933" s="8"/>
      <c r="E933" s="15" t="s">
        <v>2</v>
      </c>
      <c r="F933" s="15" t="s">
        <v>23</v>
      </c>
      <c r="G933" s="17" t="s">
        <v>178</v>
      </c>
      <c r="H933" s="17"/>
      <c r="I933" s="1" t="str">
        <f t="shared" si="43"/>
        <v/>
      </c>
      <c r="J933" s="1" t="str">
        <f t="shared" si="42"/>
        <v/>
      </c>
      <c r="K933" s="1">
        <f t="shared" si="44"/>
        <v>0</v>
      </c>
    </row>
    <row r="934" spans="4:11" ht="15" customHeight="1">
      <c r="D934" s="6" t="s">
        <v>109</v>
      </c>
      <c r="E934" s="7"/>
      <c r="F934" s="7"/>
      <c r="G934" s="17" t="s">
        <v>180</v>
      </c>
      <c r="H934" s="17">
        <v>0</v>
      </c>
      <c r="I934" s="1">
        <f t="shared" si="43"/>
        <v>2</v>
      </c>
      <c r="J934" s="1">
        <f t="shared" si="42"/>
        <v>-0.24882105680957523</v>
      </c>
      <c r="K934" s="1">
        <f t="shared" si="44"/>
        <v>5.0571961455501349</v>
      </c>
    </row>
    <row r="935" spans="4:11" ht="15.75" thickBot="1">
      <c r="D935" s="8"/>
      <c r="E935" s="15" t="s">
        <v>21</v>
      </c>
      <c r="F935" s="15" t="s">
        <v>3</v>
      </c>
      <c r="G935" s="17" t="s">
        <v>178</v>
      </c>
      <c r="H935" s="17"/>
      <c r="I935" s="1" t="str">
        <f t="shared" si="43"/>
        <v/>
      </c>
      <c r="J935" s="1" t="str">
        <f t="shared" si="42"/>
        <v/>
      </c>
      <c r="K935" s="1">
        <f t="shared" si="44"/>
        <v>0</v>
      </c>
    </row>
    <row r="936" spans="4:11" ht="15" customHeight="1">
      <c r="D936" s="6" t="s">
        <v>110</v>
      </c>
      <c r="E936" s="7"/>
      <c r="F936" s="7"/>
      <c r="G936" s="17" t="s">
        <v>180</v>
      </c>
      <c r="H936" s="17">
        <v>1</v>
      </c>
      <c r="I936" s="1">
        <f t="shared" si="43"/>
        <v>1</v>
      </c>
      <c r="J936" s="1">
        <f t="shared" si="42"/>
        <v>1.0367981855523567E-2</v>
      </c>
      <c r="K936" s="1">
        <f t="shared" si="44"/>
        <v>0.97937153133670929</v>
      </c>
    </row>
    <row r="937" spans="4:11" ht="30.75" thickBot="1">
      <c r="D937" s="8"/>
      <c r="E937" s="15" t="s">
        <v>14</v>
      </c>
      <c r="F937" s="15" t="s">
        <v>1</v>
      </c>
      <c r="G937" s="17" t="s">
        <v>178</v>
      </c>
      <c r="H937" s="17"/>
      <c r="I937" s="1" t="str">
        <f t="shared" si="43"/>
        <v/>
      </c>
      <c r="J937" s="1" t="str">
        <f t="shared" si="42"/>
        <v/>
      </c>
      <c r="K937" s="1">
        <f t="shared" si="44"/>
        <v>0</v>
      </c>
    </row>
    <row r="938" spans="4:11" ht="15" customHeight="1">
      <c r="D938" s="6" t="s">
        <v>110</v>
      </c>
      <c r="E938" s="7"/>
      <c r="F938" s="7"/>
      <c r="G938" s="17" t="s">
        <v>179</v>
      </c>
      <c r="H938" s="17">
        <v>1</v>
      </c>
      <c r="I938" s="1">
        <f t="shared" si="43"/>
        <v>-1</v>
      </c>
      <c r="J938" s="1">
        <f t="shared" si="42"/>
        <v>-0.31049188590658616</v>
      </c>
      <c r="K938" s="1">
        <f t="shared" si="44"/>
        <v>0.47542143940065618</v>
      </c>
    </row>
    <row r="939" spans="4:11" ht="15.75" thickBot="1">
      <c r="D939" s="8"/>
      <c r="E939" s="15" t="s">
        <v>22</v>
      </c>
      <c r="F939" s="15" t="s">
        <v>11</v>
      </c>
      <c r="G939" s="17" t="s">
        <v>178</v>
      </c>
      <c r="H939" s="17"/>
      <c r="I939" s="1" t="str">
        <f t="shared" si="43"/>
        <v/>
      </c>
      <c r="J939" s="1" t="str">
        <f t="shared" si="42"/>
        <v/>
      </c>
      <c r="K939" s="1">
        <f t="shared" si="44"/>
        <v>0</v>
      </c>
    </row>
    <row r="940" spans="4:11" ht="15" customHeight="1">
      <c r="D940" s="6" t="s">
        <v>110</v>
      </c>
      <c r="E940" s="7"/>
      <c r="F940" s="7"/>
      <c r="G940" s="17" t="s">
        <v>181</v>
      </c>
      <c r="H940" s="17">
        <v>4</v>
      </c>
      <c r="I940" s="1">
        <f t="shared" si="43"/>
        <v>-3</v>
      </c>
      <c r="J940" s="1">
        <f t="shared" si="42"/>
        <v>-0.18294794693026972</v>
      </c>
      <c r="K940" s="1">
        <f t="shared" si="44"/>
        <v>7.9357822697043821</v>
      </c>
    </row>
    <row r="941" spans="4:11" ht="15.75" thickBot="1">
      <c r="D941" s="8"/>
      <c r="E941" s="15" t="s">
        <v>0</v>
      </c>
      <c r="F941" s="15" t="s">
        <v>28</v>
      </c>
      <c r="G941" s="17" t="s">
        <v>178</v>
      </c>
      <c r="H941" s="17"/>
      <c r="I941" s="1" t="str">
        <f t="shared" si="43"/>
        <v/>
      </c>
      <c r="J941" s="1" t="str">
        <f t="shared" si="42"/>
        <v/>
      </c>
      <c r="K941" s="1">
        <f t="shared" si="44"/>
        <v>0</v>
      </c>
    </row>
    <row r="942" spans="4:11" ht="15" customHeight="1">
      <c r="D942" s="6" t="s">
        <v>110</v>
      </c>
      <c r="E942" s="7"/>
      <c r="F942" s="7"/>
      <c r="G942" s="17" t="s">
        <v>185</v>
      </c>
      <c r="H942" s="17">
        <v>4</v>
      </c>
      <c r="I942" s="1">
        <f t="shared" si="43"/>
        <v>1</v>
      </c>
      <c r="J942" s="1">
        <f t="shared" si="42"/>
        <v>0.73147673429045312</v>
      </c>
      <c r="K942" s="1">
        <f t="shared" si="44"/>
        <v>7.2104744227319911E-2</v>
      </c>
    </row>
    <row r="943" spans="4:11" ht="15.75" thickBot="1">
      <c r="D943" s="8"/>
      <c r="E943" s="15" t="s">
        <v>12</v>
      </c>
      <c r="F943" s="15" t="s">
        <v>7</v>
      </c>
      <c r="G943" s="17" t="s">
        <v>178</v>
      </c>
      <c r="H943" s="17"/>
      <c r="I943" s="1" t="str">
        <f t="shared" si="43"/>
        <v/>
      </c>
      <c r="J943" s="1" t="str">
        <f t="shared" si="42"/>
        <v/>
      </c>
      <c r="K943" s="1">
        <f t="shared" si="44"/>
        <v>0</v>
      </c>
    </row>
    <row r="944" spans="4:11" ht="15" customHeight="1">
      <c r="D944" s="6" t="s">
        <v>110</v>
      </c>
      <c r="E944" s="7"/>
      <c r="F944" s="7"/>
      <c r="G944" s="17" t="s">
        <v>180</v>
      </c>
      <c r="H944" s="17">
        <v>1</v>
      </c>
      <c r="I944" s="1">
        <f t="shared" si="43"/>
        <v>1</v>
      </c>
      <c r="J944" s="1">
        <f t="shared" si="42"/>
        <v>-0.86768942536534155</v>
      </c>
      <c r="K944" s="1">
        <f t="shared" si="44"/>
        <v>3.4882637896215196</v>
      </c>
    </row>
    <row r="945" spans="4:11" ht="15.75" thickBot="1">
      <c r="D945" s="8"/>
      <c r="E945" s="15" t="s">
        <v>10</v>
      </c>
      <c r="F945" s="15" t="s">
        <v>443</v>
      </c>
      <c r="G945" s="17" t="s">
        <v>178</v>
      </c>
      <c r="H945" s="17"/>
      <c r="I945" s="1" t="str">
        <f t="shared" si="43"/>
        <v/>
      </c>
      <c r="J945" s="1" t="str">
        <f t="shared" si="42"/>
        <v/>
      </c>
      <c r="K945" s="1">
        <f t="shared" si="44"/>
        <v>0</v>
      </c>
    </row>
    <row r="946" spans="4:11" ht="15" customHeight="1">
      <c r="D946" s="6" t="s">
        <v>110</v>
      </c>
      <c r="E946" s="7"/>
      <c r="F946" s="7"/>
      <c r="G946" s="17" t="s">
        <v>184</v>
      </c>
      <c r="H946" s="17">
        <v>6</v>
      </c>
      <c r="I946" s="1">
        <f t="shared" si="43"/>
        <v>-2</v>
      </c>
      <c r="J946" s="1">
        <f t="shared" si="42"/>
        <v>0.41314403931424692</v>
      </c>
      <c r="K946" s="1">
        <f t="shared" si="44"/>
        <v>5.8232641544778794</v>
      </c>
    </row>
    <row r="947" spans="4:11" ht="15.75" thickBot="1">
      <c r="D947" s="8"/>
      <c r="E947" s="15" t="s">
        <v>39</v>
      </c>
      <c r="F947" s="15" t="s">
        <v>34</v>
      </c>
      <c r="G947" s="17" t="s">
        <v>178</v>
      </c>
      <c r="H947" s="17"/>
      <c r="I947" s="1" t="str">
        <f t="shared" si="43"/>
        <v/>
      </c>
      <c r="J947" s="1" t="str">
        <f t="shared" si="42"/>
        <v/>
      </c>
      <c r="K947" s="1">
        <f t="shared" si="44"/>
        <v>0</v>
      </c>
    </row>
    <row r="948" spans="4:11" ht="15" customHeight="1">
      <c r="D948" s="6" t="s">
        <v>110</v>
      </c>
      <c r="E948" s="7"/>
      <c r="F948" s="7"/>
      <c r="G948" s="17" t="s">
        <v>182</v>
      </c>
      <c r="H948" s="17">
        <v>4</v>
      </c>
      <c r="I948" s="1">
        <f t="shared" si="43"/>
        <v>-1</v>
      </c>
      <c r="J948" s="1">
        <f t="shared" si="42"/>
        <v>-0.84629732002076707</v>
      </c>
      <c r="K948" s="1">
        <f t="shared" si="44"/>
        <v>2.362451383279849E-2</v>
      </c>
    </row>
    <row r="949" spans="4:11" ht="15.75" thickBot="1">
      <c r="D949" s="8"/>
      <c r="E949" s="15" t="s">
        <v>24</v>
      </c>
      <c r="F949" s="15" t="s">
        <v>33</v>
      </c>
      <c r="G949" s="17" t="s">
        <v>178</v>
      </c>
      <c r="H949" s="17"/>
      <c r="I949" s="1" t="str">
        <f t="shared" si="43"/>
        <v/>
      </c>
      <c r="J949" s="1" t="str">
        <f t="shared" si="42"/>
        <v/>
      </c>
      <c r="K949" s="1">
        <f t="shared" si="44"/>
        <v>0</v>
      </c>
    </row>
    <row r="950" spans="4:11" ht="15" customHeight="1">
      <c r="D950" s="6" t="s">
        <v>111</v>
      </c>
      <c r="E950" s="7"/>
      <c r="F950" s="7"/>
      <c r="G950" s="17" t="s">
        <v>180</v>
      </c>
      <c r="H950" s="17">
        <v>3</v>
      </c>
      <c r="I950" s="1">
        <f t="shared" si="43"/>
        <v>-1</v>
      </c>
      <c r="J950" s="1">
        <f t="shared" si="42"/>
        <v>0.89296901030817821</v>
      </c>
      <c r="K950" s="1">
        <f t="shared" si="44"/>
        <v>3.5833316739871237</v>
      </c>
    </row>
    <row r="951" spans="4:11" ht="15.75" thickBot="1">
      <c r="D951" s="8"/>
      <c r="E951" s="15" t="s">
        <v>37</v>
      </c>
      <c r="F951" s="15" t="s">
        <v>36</v>
      </c>
      <c r="G951" s="17" t="s">
        <v>178</v>
      </c>
      <c r="H951" s="17"/>
      <c r="I951" s="1" t="str">
        <f t="shared" si="43"/>
        <v/>
      </c>
      <c r="J951" s="1" t="str">
        <f t="shared" si="42"/>
        <v/>
      </c>
      <c r="K951" s="1">
        <f t="shared" si="44"/>
        <v>0</v>
      </c>
    </row>
    <row r="952" spans="4:11" ht="18" customHeight="1">
      <c r="D952" s="6" t="s">
        <v>111</v>
      </c>
      <c r="E952" s="7"/>
      <c r="F952" s="7"/>
      <c r="G952" s="17" t="s">
        <v>180</v>
      </c>
      <c r="H952" s="17">
        <v>6</v>
      </c>
      <c r="I952" s="1">
        <f t="shared" si="43"/>
        <v>-4</v>
      </c>
      <c r="J952" s="1">
        <f t="shared" si="42"/>
        <v>-0.68022042637045388</v>
      </c>
      <c r="K952" s="1">
        <f t="shared" si="44"/>
        <v>11.02093641748797</v>
      </c>
    </row>
    <row r="953" spans="4:11" ht="15.75" thickBot="1">
      <c r="D953" s="8"/>
      <c r="E953" s="15" t="s">
        <v>10</v>
      </c>
      <c r="F953" s="15" t="s">
        <v>18</v>
      </c>
      <c r="G953" s="17" t="s">
        <v>178</v>
      </c>
      <c r="H953" s="17"/>
      <c r="I953" s="1" t="str">
        <f t="shared" si="43"/>
        <v/>
      </c>
      <c r="J953" s="1" t="str">
        <f t="shared" si="42"/>
        <v/>
      </c>
      <c r="K953" s="1">
        <f t="shared" si="44"/>
        <v>0</v>
      </c>
    </row>
    <row r="954" spans="4:11" ht="15" customHeight="1">
      <c r="D954" s="6" t="s">
        <v>111</v>
      </c>
      <c r="E954" s="7"/>
      <c r="F954" s="7"/>
      <c r="G954" s="17" t="s">
        <v>180</v>
      </c>
      <c r="H954" s="17">
        <v>1</v>
      </c>
      <c r="I954" s="1">
        <f t="shared" si="43"/>
        <v>1</v>
      </c>
      <c r="J954" s="1">
        <f t="shared" si="42"/>
        <v>0.41467964137967783</v>
      </c>
      <c r="K954" s="1">
        <f t="shared" si="44"/>
        <v>0.34259992221542257</v>
      </c>
    </row>
    <row r="955" spans="4:11" ht="15.75" thickBot="1">
      <c r="D955" s="8"/>
      <c r="E955" s="15" t="s">
        <v>41</v>
      </c>
      <c r="F955" s="15" t="s">
        <v>13</v>
      </c>
      <c r="G955" s="17" t="s">
        <v>178</v>
      </c>
      <c r="H955" s="17"/>
      <c r="I955" s="1" t="str">
        <f t="shared" si="43"/>
        <v/>
      </c>
      <c r="J955" s="1" t="str">
        <f t="shared" si="42"/>
        <v/>
      </c>
      <c r="K955" s="1">
        <f t="shared" si="44"/>
        <v>0</v>
      </c>
    </row>
    <row r="956" spans="4:11" ht="15" customHeight="1">
      <c r="D956" s="6" t="s">
        <v>111</v>
      </c>
      <c r="E956" s="7"/>
      <c r="F956" s="7"/>
      <c r="G956" s="17" t="s">
        <v>181</v>
      </c>
      <c r="H956" s="17">
        <v>2</v>
      </c>
      <c r="I956" s="1">
        <f t="shared" si="43"/>
        <v>-1</v>
      </c>
      <c r="J956" s="1">
        <f t="shared" si="42"/>
        <v>-0.1411098527931216</v>
      </c>
      <c r="K956" s="1">
        <f t="shared" si="44"/>
        <v>0.73769228496905326</v>
      </c>
    </row>
    <row r="957" spans="4:11" ht="15.75" thickBot="1">
      <c r="D957" s="8"/>
      <c r="E957" s="15" t="s">
        <v>2</v>
      </c>
      <c r="F957" s="15" t="s">
        <v>25</v>
      </c>
      <c r="G957" s="17" t="s">
        <v>178</v>
      </c>
      <c r="H957" s="17"/>
      <c r="I957" s="1" t="str">
        <f t="shared" si="43"/>
        <v/>
      </c>
      <c r="J957" s="1" t="str">
        <f t="shared" si="42"/>
        <v/>
      </c>
      <c r="K957" s="1">
        <f t="shared" si="44"/>
        <v>0</v>
      </c>
    </row>
    <row r="958" spans="4:11" ht="18" customHeight="1">
      <c r="D958" s="6" t="s">
        <v>111</v>
      </c>
      <c r="E958" s="7"/>
      <c r="F958" s="7"/>
      <c r="G958" s="17" t="s">
        <v>180</v>
      </c>
      <c r="H958" s="17">
        <v>1</v>
      </c>
      <c r="I958" s="1">
        <f t="shared" si="43"/>
        <v>1</v>
      </c>
      <c r="J958" s="1">
        <f t="shared" si="42"/>
        <v>-0.36035400474453638</v>
      </c>
      <c r="K958" s="1">
        <f t="shared" si="44"/>
        <v>1.8505630182244981</v>
      </c>
    </row>
    <row r="959" spans="4:11" ht="15.75" thickBot="1">
      <c r="D959" s="8"/>
      <c r="E959" s="15" t="s">
        <v>21</v>
      </c>
      <c r="F959" s="15" t="s">
        <v>4</v>
      </c>
      <c r="G959" s="17" t="s">
        <v>178</v>
      </c>
      <c r="H959" s="17"/>
      <c r="I959" s="1" t="str">
        <f t="shared" si="43"/>
        <v/>
      </c>
      <c r="J959" s="1" t="str">
        <f t="shared" si="42"/>
        <v/>
      </c>
      <c r="K959" s="1">
        <f t="shared" si="44"/>
        <v>0</v>
      </c>
    </row>
    <row r="960" spans="4:11" ht="15" customHeight="1">
      <c r="D960" s="6" t="s">
        <v>112</v>
      </c>
      <c r="E960" s="7"/>
      <c r="F960" s="7"/>
      <c r="G960" s="17" t="s">
        <v>180</v>
      </c>
      <c r="H960" s="17">
        <v>4</v>
      </c>
      <c r="I960" s="1">
        <f t="shared" si="43"/>
        <v>-2</v>
      </c>
      <c r="J960" s="1">
        <f t="shared" si="42"/>
        <v>-0.62259631031723472</v>
      </c>
      <c r="K960" s="1">
        <f t="shared" si="44"/>
        <v>1.8972409243516954</v>
      </c>
    </row>
    <row r="961" spans="4:11" ht="15.75" thickBot="1">
      <c r="D961" s="8"/>
      <c r="E961" s="15" t="s">
        <v>26</v>
      </c>
      <c r="F961" s="15" t="s">
        <v>34</v>
      </c>
      <c r="G961" s="17" t="s">
        <v>178</v>
      </c>
      <c r="H961" s="17"/>
      <c r="I961" s="1" t="str">
        <f t="shared" si="43"/>
        <v/>
      </c>
      <c r="J961" s="1" t="str">
        <f t="shared" si="42"/>
        <v/>
      </c>
      <c r="K961" s="1">
        <f t="shared" si="44"/>
        <v>0</v>
      </c>
    </row>
    <row r="962" spans="4:11" ht="15" customHeight="1">
      <c r="D962" s="6" t="s">
        <v>112</v>
      </c>
      <c r="E962" s="7"/>
      <c r="F962" s="7"/>
      <c r="G962" s="17" t="s">
        <v>185</v>
      </c>
      <c r="H962" s="17">
        <v>1</v>
      </c>
      <c r="I962" s="1">
        <f t="shared" si="43"/>
        <v>4</v>
      </c>
      <c r="J962" s="1">
        <f t="shared" si="42"/>
        <v>1.3143933718196479</v>
      </c>
      <c r="K962" s="1">
        <f t="shared" si="44"/>
        <v>7.2124829613262404</v>
      </c>
    </row>
    <row r="963" spans="4:11" ht="15.75" thickBot="1">
      <c r="D963" s="8"/>
      <c r="E963" s="15" t="s">
        <v>22</v>
      </c>
      <c r="F963" s="15" t="s">
        <v>8</v>
      </c>
      <c r="G963" s="17" t="s">
        <v>178</v>
      </c>
      <c r="H963" s="17"/>
      <c r="I963" s="1" t="str">
        <f t="shared" si="43"/>
        <v/>
      </c>
      <c r="J963" s="1" t="str">
        <f t="shared" ref="J963:J1026" si="45">IF(F964="","",VLOOKUP(F964,$A$2:$B$31,2)+$B$33-VLOOKUP(E964,$A$2:$B$31,2))</f>
        <v/>
      </c>
      <c r="K963" s="1">
        <f t="shared" si="44"/>
        <v>0</v>
      </c>
    </row>
    <row r="964" spans="4:11" ht="15" customHeight="1">
      <c r="D964" s="6" t="s">
        <v>112</v>
      </c>
      <c r="E964" s="7"/>
      <c r="F964" s="7"/>
      <c r="G964" s="17" t="s">
        <v>186</v>
      </c>
      <c r="H964" s="17">
        <v>4</v>
      </c>
      <c r="I964" s="1">
        <f t="shared" ref="I964:I1027" si="46">IF(G964="","",G964-H964)</f>
        <v>3</v>
      </c>
      <c r="J964" s="1">
        <f t="shared" si="45"/>
        <v>0.2786189080401158</v>
      </c>
      <c r="K964" s="1">
        <f t="shared" ref="K964:K1027" si="47">IF(J964="",0,(I964-J964)^2)</f>
        <v>7.4059150476767721</v>
      </c>
    </row>
    <row r="965" spans="4:11" ht="15.75" thickBot="1">
      <c r="D965" s="8"/>
      <c r="E965" s="15" t="s">
        <v>1</v>
      </c>
      <c r="F965" s="15" t="s">
        <v>0</v>
      </c>
      <c r="G965" s="17" t="s">
        <v>178</v>
      </c>
      <c r="H965" s="17"/>
      <c r="I965" s="1" t="str">
        <f t="shared" si="46"/>
        <v/>
      </c>
      <c r="J965" s="1" t="str">
        <f t="shared" si="45"/>
        <v/>
      </c>
      <c r="K965" s="1">
        <f t="shared" si="47"/>
        <v>0</v>
      </c>
    </row>
    <row r="966" spans="4:11" ht="15" customHeight="1">
      <c r="D966" s="6" t="s">
        <v>112</v>
      </c>
      <c r="E966" s="7"/>
      <c r="F966" s="7"/>
      <c r="G966" s="17" t="s">
        <v>181</v>
      </c>
      <c r="H966" s="17">
        <v>4</v>
      </c>
      <c r="I966" s="1">
        <f t="shared" si="46"/>
        <v>-3</v>
      </c>
      <c r="J966" s="1">
        <f t="shared" si="45"/>
        <v>-0.18746899899488767</v>
      </c>
      <c r="K966" s="1">
        <f t="shared" si="47"/>
        <v>7.9103306316148192</v>
      </c>
    </row>
    <row r="967" spans="4:11" ht="15.75" thickBot="1">
      <c r="D967" s="8"/>
      <c r="E967" s="15" t="s">
        <v>18</v>
      </c>
      <c r="F967" s="15" t="s">
        <v>443</v>
      </c>
      <c r="G967" s="17" t="s">
        <v>178</v>
      </c>
      <c r="H967" s="17"/>
      <c r="I967" s="1" t="str">
        <f t="shared" si="46"/>
        <v/>
      </c>
      <c r="J967" s="1" t="str">
        <f t="shared" si="45"/>
        <v/>
      </c>
      <c r="K967" s="1">
        <f t="shared" si="47"/>
        <v>0</v>
      </c>
    </row>
    <row r="968" spans="4:11" ht="15" customHeight="1">
      <c r="D968" s="6" t="s">
        <v>112</v>
      </c>
      <c r="E968" s="7"/>
      <c r="F968" s="7"/>
      <c r="G968" s="17" t="s">
        <v>184</v>
      </c>
      <c r="H968" s="17">
        <v>0</v>
      </c>
      <c r="I968" s="1">
        <f t="shared" si="46"/>
        <v>4</v>
      </c>
      <c r="J968" s="1">
        <f t="shared" si="45"/>
        <v>0.79073428264888435</v>
      </c>
      <c r="K968" s="1">
        <f t="shared" si="47"/>
        <v>10.299386444565171</v>
      </c>
    </row>
    <row r="969" spans="4:11" ht="15.75" thickBot="1">
      <c r="D969" s="8"/>
      <c r="E969" s="15" t="s">
        <v>12</v>
      </c>
      <c r="F969" s="15" t="s">
        <v>36</v>
      </c>
      <c r="G969" s="17" t="s">
        <v>178</v>
      </c>
      <c r="H969" s="17"/>
      <c r="I969" s="1" t="str">
        <f t="shared" si="46"/>
        <v/>
      </c>
      <c r="J969" s="1" t="str">
        <f t="shared" si="45"/>
        <v/>
      </c>
      <c r="K969" s="1">
        <f t="shared" si="47"/>
        <v>0</v>
      </c>
    </row>
    <row r="970" spans="4:11" ht="15" customHeight="1">
      <c r="D970" s="6" t="s">
        <v>112</v>
      </c>
      <c r="E970" s="7"/>
      <c r="F970" s="7"/>
      <c r="G970" s="17" t="s">
        <v>181</v>
      </c>
      <c r="H970" s="17">
        <v>3</v>
      </c>
      <c r="I970" s="1">
        <f t="shared" si="46"/>
        <v>-2</v>
      </c>
      <c r="J970" s="1">
        <f t="shared" si="45"/>
        <v>1.0964853179160627E-3</v>
      </c>
      <c r="K970" s="1">
        <f t="shared" si="47"/>
        <v>4.0043871435517167</v>
      </c>
    </row>
    <row r="971" spans="4:11" ht="15.75" thickBot="1">
      <c r="D971" s="8"/>
      <c r="E971" s="15" t="s">
        <v>37</v>
      </c>
      <c r="F971" s="15" t="s">
        <v>41</v>
      </c>
      <c r="G971" s="17" t="s">
        <v>178</v>
      </c>
      <c r="H971" s="17"/>
      <c r="I971" s="1" t="str">
        <f t="shared" si="46"/>
        <v/>
      </c>
      <c r="J971" s="1" t="str">
        <f t="shared" si="45"/>
        <v/>
      </c>
      <c r="K971" s="1">
        <f t="shared" si="47"/>
        <v>0</v>
      </c>
    </row>
    <row r="972" spans="4:11" ht="15" customHeight="1">
      <c r="D972" s="6" t="s">
        <v>112</v>
      </c>
      <c r="E972" s="7"/>
      <c r="F972" s="7"/>
      <c r="G972" s="17" t="s">
        <v>181</v>
      </c>
      <c r="H972" s="17">
        <v>3</v>
      </c>
      <c r="I972" s="1">
        <f t="shared" si="46"/>
        <v>-2</v>
      </c>
      <c r="J972" s="1">
        <f t="shared" si="45"/>
        <v>-0.53776565017153644</v>
      </c>
      <c r="K972" s="1">
        <f t="shared" si="47"/>
        <v>2.1381292938182694</v>
      </c>
    </row>
    <row r="973" spans="4:11" ht="15.75" thickBot="1">
      <c r="D973" s="8"/>
      <c r="E973" s="15" t="s">
        <v>14</v>
      </c>
      <c r="F973" s="15" t="s">
        <v>11</v>
      </c>
      <c r="G973" s="17" t="s">
        <v>178</v>
      </c>
      <c r="H973" s="17"/>
      <c r="I973" s="1" t="str">
        <f t="shared" si="46"/>
        <v/>
      </c>
      <c r="J973" s="1" t="str">
        <f t="shared" si="45"/>
        <v/>
      </c>
      <c r="K973" s="1">
        <f t="shared" si="47"/>
        <v>0</v>
      </c>
    </row>
    <row r="974" spans="4:11" ht="15" customHeight="1">
      <c r="D974" s="6" t="s">
        <v>112</v>
      </c>
      <c r="E974" s="7"/>
      <c r="F974" s="7"/>
      <c r="G974" s="17" t="s">
        <v>182</v>
      </c>
      <c r="H974" s="17">
        <v>2</v>
      </c>
      <c r="I974" s="1">
        <f t="shared" si="46"/>
        <v>1</v>
      </c>
      <c r="J974" s="1">
        <f t="shared" si="45"/>
        <v>0.90759281447076035</v>
      </c>
      <c r="K974" s="1">
        <f t="shared" si="47"/>
        <v>8.5390879374353194E-3</v>
      </c>
    </row>
    <row r="975" spans="4:11" ht="15.75" thickBot="1">
      <c r="D975" s="8"/>
      <c r="E975" s="15" t="s">
        <v>38</v>
      </c>
      <c r="F975" s="15" t="s">
        <v>28</v>
      </c>
      <c r="G975" s="17" t="s">
        <v>178</v>
      </c>
      <c r="H975" s="17"/>
      <c r="I975" s="1" t="str">
        <f t="shared" si="46"/>
        <v/>
      </c>
      <c r="J975" s="1" t="str">
        <f t="shared" si="45"/>
        <v/>
      </c>
      <c r="K975" s="1">
        <f t="shared" si="47"/>
        <v>0</v>
      </c>
    </row>
    <row r="976" spans="4:11" ht="15" customHeight="1">
      <c r="D976" s="6" t="s">
        <v>112</v>
      </c>
      <c r="E976" s="7"/>
      <c r="F976" s="7"/>
      <c r="G976" s="17" t="s">
        <v>180</v>
      </c>
      <c r="H976" s="17">
        <v>3</v>
      </c>
      <c r="I976" s="1">
        <f t="shared" si="46"/>
        <v>-1</v>
      </c>
      <c r="J976" s="1">
        <f t="shared" si="45"/>
        <v>0.83958926795708066</v>
      </c>
      <c r="K976" s="1">
        <f t="shared" si="47"/>
        <v>3.384088674782868</v>
      </c>
    </row>
    <row r="977" spans="4:11" ht="15.75" thickBot="1">
      <c r="D977" s="8"/>
      <c r="E977" s="15" t="s">
        <v>20</v>
      </c>
      <c r="F977" s="15" t="s">
        <v>7</v>
      </c>
      <c r="G977" s="17" t="s">
        <v>178</v>
      </c>
      <c r="H977" s="17"/>
      <c r="I977" s="1" t="str">
        <f t="shared" si="46"/>
        <v/>
      </c>
      <c r="J977" s="1" t="str">
        <f t="shared" si="45"/>
        <v/>
      </c>
      <c r="K977" s="1">
        <f t="shared" si="47"/>
        <v>0</v>
      </c>
    </row>
    <row r="978" spans="4:11" ht="15" customHeight="1">
      <c r="D978" s="6" t="s">
        <v>112</v>
      </c>
      <c r="E978" s="7"/>
      <c r="F978" s="7"/>
      <c r="G978" s="17" t="s">
        <v>183</v>
      </c>
      <c r="H978" s="17">
        <v>5</v>
      </c>
      <c r="I978" s="1">
        <f t="shared" si="46"/>
        <v>1</v>
      </c>
      <c r="J978" s="1">
        <f t="shared" si="45"/>
        <v>-9.3578982560558188E-3</v>
      </c>
      <c r="K978" s="1">
        <f t="shared" si="47"/>
        <v>1.0188033667718823</v>
      </c>
    </row>
    <row r="979" spans="4:11" ht="15.75" thickBot="1">
      <c r="D979" s="8"/>
      <c r="E979" s="15" t="s">
        <v>19</v>
      </c>
      <c r="F979" s="15" t="s">
        <v>23</v>
      </c>
      <c r="G979" s="17" t="s">
        <v>178</v>
      </c>
      <c r="H979" s="17"/>
      <c r="I979" s="1" t="str">
        <f t="shared" si="46"/>
        <v/>
      </c>
      <c r="J979" s="1" t="str">
        <f t="shared" si="45"/>
        <v/>
      </c>
      <c r="K979" s="1">
        <f t="shared" si="47"/>
        <v>0</v>
      </c>
    </row>
    <row r="980" spans="4:11" ht="15" customHeight="1">
      <c r="D980" s="6" t="s">
        <v>112</v>
      </c>
      <c r="E980" s="7"/>
      <c r="F980" s="7"/>
      <c r="G980" s="17" t="s">
        <v>180</v>
      </c>
      <c r="H980" s="17">
        <v>3</v>
      </c>
      <c r="I980" s="1">
        <f t="shared" si="46"/>
        <v>-1</v>
      </c>
      <c r="J980" s="1">
        <f t="shared" si="45"/>
        <v>0.11153294793496116</v>
      </c>
      <c r="K980" s="1">
        <f t="shared" si="47"/>
        <v>1.235505494344985</v>
      </c>
    </row>
    <row r="981" spans="4:11" ht="15.75" thickBot="1">
      <c r="D981" s="8"/>
      <c r="E981" s="15" t="s">
        <v>4</v>
      </c>
      <c r="F981" s="15" t="s">
        <v>3</v>
      </c>
      <c r="G981" s="17" t="s">
        <v>178</v>
      </c>
      <c r="H981" s="17"/>
      <c r="I981" s="1" t="str">
        <f t="shared" si="46"/>
        <v/>
      </c>
      <c r="J981" s="1" t="str">
        <f t="shared" si="45"/>
        <v/>
      </c>
      <c r="K981" s="1">
        <f t="shared" si="47"/>
        <v>0</v>
      </c>
    </row>
    <row r="982" spans="4:11" ht="18" customHeight="1">
      <c r="D982" s="6" t="s">
        <v>112</v>
      </c>
      <c r="E982" s="7"/>
      <c r="F982" s="7"/>
      <c r="G982" s="17" t="s">
        <v>180</v>
      </c>
      <c r="H982" s="17">
        <v>3</v>
      </c>
      <c r="I982" s="1">
        <f t="shared" si="46"/>
        <v>-1</v>
      </c>
      <c r="J982" s="1">
        <f t="shared" si="45"/>
        <v>0.54884557387715915</v>
      </c>
      <c r="K982" s="1">
        <f t="shared" si="47"/>
        <v>2.3989226117188664</v>
      </c>
    </row>
    <row r="983" spans="4:11" ht="15.75" thickBot="1">
      <c r="D983" s="8"/>
      <c r="E983" s="15" t="s">
        <v>39</v>
      </c>
      <c r="F983" s="15" t="s">
        <v>33</v>
      </c>
      <c r="G983" s="17" t="s">
        <v>178</v>
      </c>
      <c r="H983" s="17"/>
      <c r="I983" s="1" t="str">
        <f t="shared" si="46"/>
        <v/>
      </c>
      <c r="J983" s="1" t="str">
        <f t="shared" si="45"/>
        <v/>
      </c>
      <c r="K983" s="1">
        <f t="shared" si="47"/>
        <v>0</v>
      </c>
    </row>
    <row r="984" spans="4:11" ht="15" customHeight="1">
      <c r="D984" s="6" t="s">
        <v>113</v>
      </c>
      <c r="E984" s="7"/>
      <c r="F984" s="7"/>
      <c r="G984" s="17" t="s">
        <v>180</v>
      </c>
      <c r="H984" s="17">
        <v>1</v>
      </c>
      <c r="I984" s="1">
        <f t="shared" si="46"/>
        <v>1</v>
      </c>
      <c r="J984" s="1">
        <f t="shared" si="45"/>
        <v>-0.1596004658607626</v>
      </c>
      <c r="K984" s="1">
        <f t="shared" si="47"/>
        <v>1.3446732404244977</v>
      </c>
    </row>
    <row r="985" spans="4:11" ht="15.75" thickBot="1">
      <c r="D985" s="8"/>
      <c r="E985" s="15" t="s">
        <v>22</v>
      </c>
      <c r="F985" s="15" t="s">
        <v>13</v>
      </c>
      <c r="G985" s="17" t="s">
        <v>178</v>
      </c>
      <c r="H985" s="17"/>
      <c r="I985" s="1" t="str">
        <f t="shared" si="46"/>
        <v/>
      </c>
      <c r="J985" s="1" t="str">
        <f t="shared" si="45"/>
        <v/>
      </c>
      <c r="K985" s="1">
        <f t="shared" si="47"/>
        <v>0</v>
      </c>
    </row>
    <row r="986" spans="4:11" ht="15" customHeight="1">
      <c r="D986" s="6" t="s">
        <v>113</v>
      </c>
      <c r="E986" s="7"/>
      <c r="F986" s="7"/>
      <c r="G986" s="17" t="s">
        <v>183</v>
      </c>
      <c r="H986" s="17">
        <v>5</v>
      </c>
      <c r="I986" s="1">
        <f t="shared" si="46"/>
        <v>1</v>
      </c>
      <c r="J986" s="1">
        <f t="shared" si="45"/>
        <v>0.80887745301087932</v>
      </c>
      <c r="K986" s="1">
        <f t="shared" si="47"/>
        <v>3.6527827967608645E-2</v>
      </c>
    </row>
    <row r="987" spans="4:11" ht="15.75" thickBot="1">
      <c r="D987" s="8"/>
      <c r="E987" s="15" t="s">
        <v>21</v>
      </c>
      <c r="F987" s="15" t="s">
        <v>24</v>
      </c>
      <c r="G987" s="17" t="s">
        <v>178</v>
      </c>
      <c r="H987" s="17"/>
      <c r="I987" s="1" t="str">
        <f t="shared" si="46"/>
        <v/>
      </c>
      <c r="J987" s="1" t="str">
        <f t="shared" si="45"/>
        <v/>
      </c>
      <c r="K987" s="1">
        <f t="shared" si="47"/>
        <v>0</v>
      </c>
    </row>
    <row r="988" spans="4:11" ht="18" customHeight="1">
      <c r="D988" s="6" t="s">
        <v>113</v>
      </c>
      <c r="E988" s="7"/>
      <c r="F988" s="7"/>
      <c r="G988" s="17" t="s">
        <v>182</v>
      </c>
      <c r="H988" s="17">
        <v>4</v>
      </c>
      <c r="I988" s="1">
        <f t="shared" si="46"/>
        <v>-1</v>
      </c>
      <c r="J988" s="1">
        <f t="shared" si="45"/>
        <v>-1.410012734304658</v>
      </c>
      <c r="K988" s="1">
        <f t="shared" si="47"/>
        <v>0.16811044229198208</v>
      </c>
    </row>
    <row r="989" spans="4:11" ht="15.75" thickBot="1">
      <c r="D989" s="8"/>
      <c r="E989" s="15" t="s">
        <v>8</v>
      </c>
      <c r="F989" s="15" t="s">
        <v>2</v>
      </c>
      <c r="G989" s="17" t="s">
        <v>178</v>
      </c>
      <c r="H989" s="17"/>
      <c r="I989" s="1" t="str">
        <f t="shared" si="46"/>
        <v/>
      </c>
      <c r="J989" s="1" t="str">
        <f t="shared" si="45"/>
        <v/>
      </c>
      <c r="K989" s="1">
        <f t="shared" si="47"/>
        <v>0</v>
      </c>
    </row>
    <row r="990" spans="4:11" ht="15" customHeight="1">
      <c r="D990" s="6" t="s">
        <v>113</v>
      </c>
      <c r="E990" s="7"/>
      <c r="F990" s="7"/>
      <c r="G990" s="17" t="s">
        <v>179</v>
      </c>
      <c r="H990" s="17">
        <v>1</v>
      </c>
      <c r="I990" s="1">
        <f t="shared" si="46"/>
        <v>-1</v>
      </c>
      <c r="J990" s="1">
        <f t="shared" si="45"/>
        <v>-0.90759281447076035</v>
      </c>
      <c r="K990" s="1">
        <f t="shared" si="47"/>
        <v>8.5390879374353194E-3</v>
      </c>
    </row>
    <row r="991" spans="4:11" ht="15.75" thickBot="1">
      <c r="D991" s="8"/>
      <c r="E991" s="15" t="s">
        <v>28</v>
      </c>
      <c r="F991" s="15" t="s">
        <v>38</v>
      </c>
      <c r="G991" s="17" t="s">
        <v>178</v>
      </c>
      <c r="H991" s="17"/>
      <c r="I991" s="1" t="str">
        <f t="shared" si="46"/>
        <v/>
      </c>
      <c r="J991" s="1" t="str">
        <f t="shared" si="45"/>
        <v/>
      </c>
      <c r="K991" s="1">
        <f t="shared" si="47"/>
        <v>0</v>
      </c>
    </row>
    <row r="992" spans="4:11" ht="15" customHeight="1">
      <c r="D992" s="6" t="s">
        <v>113</v>
      </c>
      <c r="E992" s="7"/>
      <c r="F992" s="7"/>
      <c r="G992" s="17" t="s">
        <v>179</v>
      </c>
      <c r="H992" s="17">
        <v>4</v>
      </c>
      <c r="I992" s="1">
        <f t="shared" si="46"/>
        <v>-4</v>
      </c>
      <c r="J992" s="1">
        <f t="shared" si="45"/>
        <v>-1.0975150527262798</v>
      </c>
      <c r="K992" s="1">
        <f t="shared" si="47"/>
        <v>8.4244188691505304</v>
      </c>
    </row>
    <row r="993" spans="4:11" ht="15.75" thickBot="1">
      <c r="D993" s="8"/>
      <c r="E993" s="15" t="s">
        <v>0</v>
      </c>
      <c r="F993" s="15" t="s">
        <v>20</v>
      </c>
      <c r="G993" s="17" t="s">
        <v>178</v>
      </c>
      <c r="H993" s="17"/>
      <c r="I993" s="1" t="str">
        <f t="shared" si="46"/>
        <v/>
      </c>
      <c r="J993" s="1" t="str">
        <f t="shared" si="45"/>
        <v/>
      </c>
      <c r="K993" s="1">
        <f t="shared" si="47"/>
        <v>0</v>
      </c>
    </row>
    <row r="994" spans="4:11" ht="15" customHeight="1">
      <c r="D994" s="6" t="s">
        <v>113</v>
      </c>
      <c r="E994" s="7"/>
      <c r="F994" s="7"/>
      <c r="G994" s="17" t="s">
        <v>184</v>
      </c>
      <c r="H994" s="17">
        <v>3</v>
      </c>
      <c r="I994" s="1">
        <f t="shared" si="46"/>
        <v>1</v>
      </c>
      <c r="J994" s="1">
        <f t="shared" si="45"/>
        <v>-0.47437096139860557</v>
      </c>
      <c r="K994" s="1">
        <f t="shared" si="47"/>
        <v>2.1737697318154483</v>
      </c>
    </row>
    <row r="995" spans="4:11" ht="15.75" thickBot="1">
      <c r="D995" s="8"/>
      <c r="E995" s="15" t="s">
        <v>1</v>
      </c>
      <c r="F995" s="15" t="s">
        <v>25</v>
      </c>
      <c r="G995" s="17" t="s">
        <v>178</v>
      </c>
      <c r="H995" s="17"/>
      <c r="I995" s="1" t="str">
        <f t="shared" si="46"/>
        <v/>
      </c>
      <c r="J995" s="1" t="str">
        <f t="shared" si="45"/>
        <v/>
      </c>
      <c r="K995" s="1">
        <f t="shared" si="47"/>
        <v>0</v>
      </c>
    </row>
    <row r="996" spans="4:11" ht="15" customHeight="1">
      <c r="D996" s="6" t="s">
        <v>114</v>
      </c>
      <c r="E996" s="7"/>
      <c r="F996" s="7"/>
      <c r="G996" s="17" t="s">
        <v>181</v>
      </c>
      <c r="H996" s="17">
        <v>2</v>
      </c>
      <c r="I996" s="1">
        <f t="shared" si="46"/>
        <v>-1</v>
      </c>
      <c r="J996" s="1">
        <f t="shared" si="45"/>
        <v>-0.28157791595280912</v>
      </c>
      <c r="K996" s="1">
        <f t="shared" si="47"/>
        <v>0.51613029084670903</v>
      </c>
    </row>
    <row r="997" spans="4:11" ht="30.75" thickBot="1">
      <c r="D997" s="8"/>
      <c r="E997" s="15" t="s">
        <v>18</v>
      </c>
      <c r="F997" s="15" t="s">
        <v>12</v>
      </c>
      <c r="G997" s="17" t="s">
        <v>178</v>
      </c>
      <c r="H997" s="17"/>
      <c r="I997" s="1" t="str">
        <f t="shared" si="46"/>
        <v/>
      </c>
      <c r="J997" s="1" t="str">
        <f t="shared" si="45"/>
        <v/>
      </c>
      <c r="K997" s="1">
        <f t="shared" si="47"/>
        <v>0</v>
      </c>
    </row>
    <row r="998" spans="4:11" ht="15" customHeight="1">
      <c r="D998" s="6" t="s">
        <v>114</v>
      </c>
      <c r="E998" s="7"/>
      <c r="F998" s="7"/>
      <c r="G998" s="17" t="s">
        <v>185</v>
      </c>
      <c r="H998" s="17">
        <v>1</v>
      </c>
      <c r="I998" s="1">
        <f t="shared" si="46"/>
        <v>4</v>
      </c>
      <c r="J998" s="1">
        <f t="shared" si="45"/>
        <v>0.70428936191569846</v>
      </c>
      <c r="K998" s="1">
        <f t="shared" si="47"/>
        <v>10.861708609982035</v>
      </c>
    </row>
    <row r="999" spans="4:11" ht="15.75" thickBot="1">
      <c r="D999" s="8"/>
      <c r="E999" s="15" t="s">
        <v>19</v>
      </c>
      <c r="F999" s="15" t="s">
        <v>7</v>
      </c>
      <c r="G999" s="17" t="s">
        <v>178</v>
      </c>
      <c r="H999" s="17"/>
      <c r="I999" s="1" t="str">
        <f t="shared" si="46"/>
        <v/>
      </c>
      <c r="J999" s="1" t="str">
        <f t="shared" si="45"/>
        <v/>
      </c>
      <c r="K999" s="1">
        <f t="shared" si="47"/>
        <v>0</v>
      </c>
    </row>
    <row r="1000" spans="4:11" ht="15" customHeight="1">
      <c r="D1000" s="6" t="s">
        <v>114</v>
      </c>
      <c r="E1000" s="7"/>
      <c r="F1000" s="7"/>
      <c r="G1000" s="17" t="s">
        <v>182</v>
      </c>
      <c r="H1000" s="17">
        <v>4</v>
      </c>
      <c r="I1000" s="1">
        <f t="shared" si="46"/>
        <v>-1</v>
      </c>
      <c r="J1000" s="1">
        <f t="shared" si="45"/>
        <v>0.53776565017153644</v>
      </c>
      <c r="K1000" s="1">
        <f t="shared" si="47"/>
        <v>2.3647231948474881</v>
      </c>
    </row>
    <row r="1001" spans="4:11" ht="15.75" thickBot="1">
      <c r="D1001" s="8"/>
      <c r="E1001" s="15" t="s">
        <v>11</v>
      </c>
      <c r="F1001" s="15" t="s">
        <v>14</v>
      </c>
      <c r="G1001" s="17" t="s">
        <v>178</v>
      </c>
      <c r="H1001" s="17"/>
      <c r="I1001" s="1" t="str">
        <f t="shared" si="46"/>
        <v/>
      </c>
      <c r="J1001" s="1" t="str">
        <f t="shared" si="45"/>
        <v/>
      </c>
      <c r="K1001" s="1">
        <f t="shared" si="47"/>
        <v>0</v>
      </c>
    </row>
    <row r="1002" spans="4:11" ht="15" customHeight="1">
      <c r="D1002" s="6" t="s">
        <v>114</v>
      </c>
      <c r="E1002" s="7"/>
      <c r="F1002" s="7"/>
      <c r="G1002" s="17" t="s">
        <v>181</v>
      </c>
      <c r="H1002" s="17">
        <v>7</v>
      </c>
      <c r="I1002" s="1">
        <f t="shared" si="46"/>
        <v>-6</v>
      </c>
      <c r="J1002" s="1">
        <f t="shared" si="45"/>
        <v>-0.69829596555400997</v>
      </c>
      <c r="K1002" s="1">
        <f t="shared" si="47"/>
        <v>28.108065668860888</v>
      </c>
    </row>
    <row r="1003" spans="4:11" ht="15.75" thickBot="1">
      <c r="D1003" s="8"/>
      <c r="E1003" s="15" t="s">
        <v>26</v>
      </c>
      <c r="F1003" s="15" t="s">
        <v>3</v>
      </c>
      <c r="G1003" s="17" t="s">
        <v>178</v>
      </c>
      <c r="H1003" s="17"/>
      <c r="I1003" s="1" t="str">
        <f t="shared" si="46"/>
        <v/>
      </c>
      <c r="J1003" s="1" t="str">
        <f t="shared" si="45"/>
        <v/>
      </c>
      <c r="K1003" s="1">
        <f t="shared" si="47"/>
        <v>0</v>
      </c>
    </row>
    <row r="1004" spans="4:11" ht="18" customHeight="1">
      <c r="D1004" s="6" t="s">
        <v>114</v>
      </c>
      <c r="E1004" s="7"/>
      <c r="F1004" s="7"/>
      <c r="G1004" s="17" t="s">
        <v>180</v>
      </c>
      <c r="H1004" s="17">
        <v>3</v>
      </c>
      <c r="I1004" s="1">
        <f t="shared" si="46"/>
        <v>-1</v>
      </c>
      <c r="J1004" s="1">
        <f t="shared" si="45"/>
        <v>0.4868947757543225</v>
      </c>
      <c r="K1004" s="1">
        <f t="shared" si="47"/>
        <v>2.210856074165497</v>
      </c>
    </row>
    <row r="1005" spans="4:11" ht="15.75" thickBot="1">
      <c r="D1005" s="8"/>
      <c r="E1005" s="15" t="s">
        <v>33</v>
      </c>
      <c r="F1005" s="15" t="s">
        <v>10</v>
      </c>
      <c r="G1005" s="17" t="s">
        <v>178</v>
      </c>
      <c r="H1005" s="17"/>
      <c r="I1005" s="1" t="str">
        <f t="shared" si="46"/>
        <v/>
      </c>
      <c r="J1005" s="1" t="str">
        <f t="shared" si="45"/>
        <v/>
      </c>
      <c r="K1005" s="1">
        <f t="shared" si="47"/>
        <v>0</v>
      </c>
    </row>
    <row r="1006" spans="4:11" ht="15" customHeight="1">
      <c r="D1006" s="6" t="s">
        <v>114</v>
      </c>
      <c r="E1006" s="7"/>
      <c r="F1006" s="7"/>
      <c r="G1006" s="17" t="s">
        <v>184</v>
      </c>
      <c r="H1006" s="17">
        <v>3</v>
      </c>
      <c r="I1006" s="1">
        <f t="shared" si="46"/>
        <v>1</v>
      </c>
      <c r="J1006" s="1">
        <f t="shared" si="45"/>
        <v>0.1872326031717364</v>
      </c>
      <c r="K1006" s="1">
        <f t="shared" si="47"/>
        <v>0.66059084134699209</v>
      </c>
    </row>
    <row r="1007" spans="4:11" ht="15.75" thickBot="1">
      <c r="D1007" s="8"/>
      <c r="E1007" s="15" t="s">
        <v>4</v>
      </c>
      <c r="F1007" s="15" t="s">
        <v>34</v>
      </c>
      <c r="G1007" s="17" t="s">
        <v>178</v>
      </c>
      <c r="H1007" s="17"/>
      <c r="I1007" s="1" t="str">
        <f t="shared" si="46"/>
        <v/>
      </c>
      <c r="J1007" s="1" t="str">
        <f t="shared" si="45"/>
        <v/>
      </c>
      <c r="K1007" s="1">
        <f t="shared" si="47"/>
        <v>0</v>
      </c>
    </row>
    <row r="1008" spans="4:11" ht="18" customHeight="1">
      <c r="D1008" s="6" t="s">
        <v>115</v>
      </c>
      <c r="E1008" s="7"/>
      <c r="F1008" s="7"/>
      <c r="G1008" s="17" t="s">
        <v>182</v>
      </c>
      <c r="H1008" s="17">
        <v>5</v>
      </c>
      <c r="I1008" s="1">
        <f t="shared" si="46"/>
        <v>-2</v>
      </c>
      <c r="J1008" s="1">
        <f t="shared" si="45"/>
        <v>0.35033513003929784</v>
      </c>
      <c r="K1008" s="1">
        <f t="shared" si="47"/>
        <v>5.5240752234968431</v>
      </c>
    </row>
    <row r="1009" spans="4:11" ht="15.75" thickBot="1">
      <c r="D1009" s="8"/>
      <c r="E1009" s="15" t="s">
        <v>19</v>
      </c>
      <c r="F1009" s="15" t="s">
        <v>2</v>
      </c>
      <c r="G1009" s="17" t="s">
        <v>178</v>
      </c>
      <c r="H1009" s="17"/>
      <c r="I1009" s="1" t="str">
        <f t="shared" si="46"/>
        <v/>
      </c>
      <c r="J1009" s="1" t="str">
        <f t="shared" si="45"/>
        <v/>
      </c>
      <c r="K1009" s="1">
        <f t="shared" si="47"/>
        <v>0</v>
      </c>
    </row>
    <row r="1010" spans="4:11" ht="15" customHeight="1">
      <c r="D1010" s="6" t="s">
        <v>115</v>
      </c>
      <c r="E1010" s="7"/>
      <c r="F1010" s="7"/>
      <c r="G1010" s="17" t="s">
        <v>180</v>
      </c>
      <c r="H1010" s="17">
        <v>1</v>
      </c>
      <c r="I1010" s="1">
        <f t="shared" si="46"/>
        <v>1</v>
      </c>
      <c r="J1010" s="1">
        <f t="shared" si="45"/>
        <v>-1.5720289480498195E-2</v>
      </c>
      <c r="K1010" s="1">
        <f t="shared" si="47"/>
        <v>1.0316877064623471</v>
      </c>
    </row>
    <row r="1011" spans="4:11" ht="15.75" thickBot="1">
      <c r="D1011" s="8"/>
      <c r="E1011" s="15" t="s">
        <v>28</v>
      </c>
      <c r="F1011" s="15" t="s">
        <v>36</v>
      </c>
      <c r="G1011" s="17" t="s">
        <v>178</v>
      </c>
      <c r="H1011" s="17"/>
      <c r="I1011" s="1" t="str">
        <f t="shared" si="46"/>
        <v/>
      </c>
      <c r="J1011" s="1" t="str">
        <f t="shared" si="45"/>
        <v/>
      </c>
      <c r="K1011" s="1">
        <f t="shared" si="47"/>
        <v>0</v>
      </c>
    </row>
    <row r="1012" spans="4:11" ht="15" customHeight="1">
      <c r="D1012" s="6" t="s">
        <v>115</v>
      </c>
      <c r="E1012" s="7"/>
      <c r="F1012" s="7"/>
      <c r="G1012" s="17" t="s">
        <v>182</v>
      </c>
      <c r="H1012" s="17">
        <v>1</v>
      </c>
      <c r="I1012" s="1">
        <f t="shared" si="46"/>
        <v>2</v>
      </c>
      <c r="J1012" s="1">
        <f t="shared" si="45"/>
        <v>-0.19524715929929926</v>
      </c>
      <c r="K1012" s="1">
        <f t="shared" si="47"/>
        <v>4.8191100904116428</v>
      </c>
    </row>
    <row r="1013" spans="4:11" ht="15.75" thickBot="1">
      <c r="D1013" s="8"/>
      <c r="E1013" s="15" t="s">
        <v>443</v>
      </c>
      <c r="F1013" s="15" t="s">
        <v>41</v>
      </c>
      <c r="G1013" s="17" t="s">
        <v>178</v>
      </c>
      <c r="H1013" s="17"/>
      <c r="I1013" s="1" t="str">
        <f t="shared" si="46"/>
        <v/>
      </c>
      <c r="J1013" s="1" t="str">
        <f t="shared" si="45"/>
        <v/>
      </c>
      <c r="K1013" s="1">
        <f t="shared" si="47"/>
        <v>0</v>
      </c>
    </row>
    <row r="1014" spans="4:11" ht="15" customHeight="1">
      <c r="D1014" s="6" t="s">
        <v>115</v>
      </c>
      <c r="E1014" s="7"/>
      <c r="F1014" s="7"/>
      <c r="G1014" s="17" t="s">
        <v>180</v>
      </c>
      <c r="H1014" s="17">
        <v>4</v>
      </c>
      <c r="I1014" s="1">
        <f t="shared" si="46"/>
        <v>-2</v>
      </c>
      <c r="J1014" s="1">
        <f t="shared" si="45"/>
        <v>-0.1011382423413778</v>
      </c>
      <c r="K1014" s="1">
        <f t="shared" si="47"/>
        <v>3.605675974698392</v>
      </c>
    </row>
    <row r="1015" spans="4:11" ht="15.75" thickBot="1">
      <c r="D1015" s="8"/>
      <c r="E1015" s="15" t="s">
        <v>12</v>
      </c>
      <c r="F1015" s="15" t="s">
        <v>38</v>
      </c>
      <c r="G1015" s="17" t="s">
        <v>178</v>
      </c>
      <c r="H1015" s="17"/>
      <c r="I1015" s="1" t="str">
        <f t="shared" si="46"/>
        <v/>
      </c>
      <c r="J1015" s="1" t="str">
        <f t="shared" si="45"/>
        <v/>
      </c>
      <c r="K1015" s="1">
        <f t="shared" si="47"/>
        <v>0</v>
      </c>
    </row>
    <row r="1016" spans="4:11" ht="15" customHeight="1">
      <c r="D1016" s="6" t="s">
        <v>115</v>
      </c>
      <c r="E1016" s="7"/>
      <c r="F1016" s="7"/>
      <c r="G1016" s="17" t="s">
        <v>185</v>
      </c>
      <c r="H1016" s="17">
        <v>2</v>
      </c>
      <c r="I1016" s="1">
        <f t="shared" si="46"/>
        <v>3</v>
      </c>
      <c r="J1016" s="1">
        <f t="shared" si="45"/>
        <v>-0.69295413690083763</v>
      </c>
      <c r="K1016" s="1">
        <f t="shared" si="47"/>
        <v>13.63791025725301</v>
      </c>
    </row>
    <row r="1017" spans="4:11" ht="15.75" thickBot="1">
      <c r="D1017" s="8"/>
      <c r="E1017" s="15" t="s">
        <v>1</v>
      </c>
      <c r="F1017" s="15" t="s">
        <v>23</v>
      </c>
      <c r="G1017" s="17" t="s">
        <v>178</v>
      </c>
      <c r="H1017" s="17"/>
      <c r="I1017" s="1" t="str">
        <f t="shared" si="46"/>
        <v/>
      </c>
      <c r="J1017" s="1" t="str">
        <f t="shared" si="45"/>
        <v/>
      </c>
      <c r="K1017" s="1">
        <f t="shared" si="47"/>
        <v>0</v>
      </c>
    </row>
    <row r="1018" spans="4:11" ht="18" customHeight="1">
      <c r="D1018" s="6" t="s">
        <v>115</v>
      </c>
      <c r="E1018" s="7"/>
      <c r="F1018" s="7"/>
      <c r="G1018" s="17" t="s">
        <v>184</v>
      </c>
      <c r="H1018" s="17">
        <v>0</v>
      </c>
      <c r="I1018" s="1">
        <f t="shared" si="46"/>
        <v>4</v>
      </c>
      <c r="J1018" s="1">
        <f t="shared" si="45"/>
        <v>-0.47707908548082401</v>
      </c>
      <c r="K1018" s="1">
        <f t="shared" si="47"/>
        <v>20.044237137649812</v>
      </c>
    </row>
    <row r="1019" spans="4:11" ht="15.75" thickBot="1">
      <c r="D1019" s="8"/>
      <c r="E1019" s="15" t="s">
        <v>0</v>
      </c>
      <c r="F1019" s="15" t="s">
        <v>21</v>
      </c>
      <c r="G1019" s="17" t="s">
        <v>178</v>
      </c>
      <c r="H1019" s="17"/>
      <c r="I1019" s="1" t="str">
        <f t="shared" si="46"/>
        <v/>
      </c>
      <c r="J1019" s="1" t="str">
        <f t="shared" si="45"/>
        <v/>
      </c>
      <c r="K1019" s="1">
        <f t="shared" si="47"/>
        <v>0</v>
      </c>
    </row>
    <row r="1020" spans="4:11" ht="18" customHeight="1">
      <c r="D1020" s="6" t="s">
        <v>115</v>
      </c>
      <c r="E1020" s="7"/>
      <c r="F1020" s="7"/>
      <c r="G1020" s="17" t="s">
        <v>182</v>
      </c>
      <c r="H1020" s="17">
        <v>6</v>
      </c>
      <c r="I1020" s="1">
        <f t="shared" si="46"/>
        <v>-3</v>
      </c>
      <c r="J1020" s="1">
        <f t="shared" si="45"/>
        <v>-1.4739938376804105</v>
      </c>
      <c r="K1020" s="1">
        <f t="shared" si="47"/>
        <v>2.3286948074373615</v>
      </c>
    </row>
    <row r="1021" spans="4:11" ht="15.75" thickBot="1">
      <c r="D1021" s="8"/>
      <c r="E1021" s="15" t="s">
        <v>8</v>
      </c>
      <c r="F1021" s="15" t="s">
        <v>13</v>
      </c>
      <c r="G1021" s="17" t="s">
        <v>178</v>
      </c>
      <c r="H1021" s="17"/>
      <c r="I1021" s="1" t="str">
        <f t="shared" si="46"/>
        <v/>
      </c>
      <c r="J1021" s="1" t="str">
        <f t="shared" si="45"/>
        <v/>
      </c>
      <c r="K1021" s="1">
        <f t="shared" si="47"/>
        <v>0</v>
      </c>
    </row>
    <row r="1022" spans="4:11" ht="15" customHeight="1">
      <c r="D1022" s="6" t="s">
        <v>115</v>
      </c>
      <c r="E1022" s="7"/>
      <c r="F1022" s="7"/>
      <c r="G1022" s="17" t="s">
        <v>182</v>
      </c>
      <c r="H1022" s="17">
        <v>4</v>
      </c>
      <c r="I1022" s="1">
        <f t="shared" si="46"/>
        <v>-1</v>
      </c>
      <c r="J1022" s="1">
        <f t="shared" si="45"/>
        <v>-0.26488470665177033</v>
      </c>
      <c r="K1022" s="1">
        <f t="shared" si="47"/>
        <v>0.54039449451445376</v>
      </c>
    </row>
    <row r="1023" spans="4:11" ht="15.75" thickBot="1">
      <c r="D1023" s="8"/>
      <c r="E1023" s="15" t="s">
        <v>11</v>
      </c>
      <c r="F1023" s="15" t="s">
        <v>37</v>
      </c>
      <c r="G1023" s="17" t="s">
        <v>178</v>
      </c>
      <c r="H1023" s="17"/>
      <c r="I1023" s="1" t="str">
        <f t="shared" si="46"/>
        <v/>
      </c>
      <c r="J1023" s="1" t="str">
        <f t="shared" si="45"/>
        <v/>
      </c>
      <c r="K1023" s="1">
        <f t="shared" si="47"/>
        <v>0</v>
      </c>
    </row>
    <row r="1024" spans="4:11" ht="15" customHeight="1">
      <c r="D1024" s="6" t="s">
        <v>115</v>
      </c>
      <c r="E1024" s="7"/>
      <c r="F1024" s="7"/>
      <c r="G1024" s="17" t="s">
        <v>185</v>
      </c>
      <c r="H1024" s="17">
        <v>1</v>
      </c>
      <c r="I1024" s="1">
        <f t="shared" si="46"/>
        <v>4</v>
      </c>
      <c r="J1024" s="1">
        <f t="shared" si="45"/>
        <v>0.35940254426644458</v>
      </c>
      <c r="K1024" s="1">
        <f t="shared" si="47"/>
        <v>13.253949834693637</v>
      </c>
    </row>
    <row r="1025" spans="4:11" ht="15.75" thickBot="1">
      <c r="D1025" s="8"/>
      <c r="E1025" s="15" t="s">
        <v>26</v>
      </c>
      <c r="F1025" s="15" t="s">
        <v>24</v>
      </c>
      <c r="G1025" s="17" t="s">
        <v>178</v>
      </c>
      <c r="H1025" s="17"/>
      <c r="I1025" s="1" t="str">
        <f t="shared" si="46"/>
        <v/>
      </c>
      <c r="J1025" s="1" t="str">
        <f t="shared" si="45"/>
        <v/>
      </c>
      <c r="K1025" s="1">
        <f t="shared" si="47"/>
        <v>0</v>
      </c>
    </row>
    <row r="1026" spans="4:11" ht="15" customHeight="1">
      <c r="D1026" s="6" t="s">
        <v>115</v>
      </c>
      <c r="E1026" s="7"/>
      <c r="F1026" s="7"/>
      <c r="G1026" s="17" t="s">
        <v>179</v>
      </c>
      <c r="H1026" s="17">
        <v>5</v>
      </c>
      <c r="I1026" s="1">
        <f t="shared" si="46"/>
        <v>-5</v>
      </c>
      <c r="J1026" s="1">
        <f t="shared" si="45"/>
        <v>0.54708387220728127</v>
      </c>
      <c r="K1026" s="1">
        <f t="shared" si="47"/>
        <v>30.770139485302124</v>
      </c>
    </row>
    <row r="1027" spans="4:11" ht="15.75" thickBot="1">
      <c r="D1027" s="8"/>
      <c r="E1027" s="15" t="s">
        <v>39</v>
      </c>
      <c r="F1027" s="15" t="s">
        <v>22</v>
      </c>
      <c r="G1027" s="17" t="s">
        <v>178</v>
      </c>
      <c r="H1027" s="17"/>
      <c r="I1027" s="1" t="str">
        <f t="shared" si="46"/>
        <v/>
      </c>
      <c r="J1027" s="1" t="str">
        <f t="shared" ref="J1027:J1090" si="48">IF(F1028="","",VLOOKUP(F1028,$A$2:$B$31,2)+$B$33-VLOOKUP(E1028,$A$2:$B$31,2))</f>
        <v/>
      </c>
      <c r="K1027" s="1">
        <f t="shared" si="47"/>
        <v>0</v>
      </c>
    </row>
    <row r="1028" spans="4:11" ht="18" customHeight="1">
      <c r="D1028" s="6" t="s">
        <v>115</v>
      </c>
      <c r="E1028" s="7"/>
      <c r="F1028" s="7"/>
      <c r="G1028" s="17" t="s">
        <v>185</v>
      </c>
      <c r="H1028" s="17">
        <v>1</v>
      </c>
      <c r="I1028" s="1">
        <f t="shared" ref="I1028:I1091" si="49">IF(G1028="","",G1028-H1028)</f>
        <v>4</v>
      </c>
      <c r="J1028" s="1">
        <f t="shared" si="48"/>
        <v>-0.34452518328755843</v>
      </c>
      <c r="K1028" s="1">
        <f t="shared" ref="K1028:K1091" si="50">IF(J1028="",0,(I1028-J1028)^2)</f>
        <v>18.874899068219793</v>
      </c>
    </row>
    <row r="1029" spans="4:11" ht="15.75" thickBot="1">
      <c r="D1029" s="8"/>
      <c r="E1029" s="15" t="s">
        <v>25</v>
      </c>
      <c r="F1029" s="15" t="s">
        <v>20</v>
      </c>
      <c r="G1029" s="17" t="s">
        <v>178</v>
      </c>
      <c r="H1029" s="17"/>
      <c r="I1029" s="1" t="str">
        <f t="shared" si="49"/>
        <v/>
      </c>
      <c r="J1029" s="1" t="str">
        <f t="shared" si="48"/>
        <v/>
      </c>
      <c r="K1029" s="1">
        <f t="shared" si="50"/>
        <v>0</v>
      </c>
    </row>
    <row r="1030" spans="4:11" ht="15" customHeight="1">
      <c r="D1030" s="6" t="s">
        <v>116</v>
      </c>
      <c r="E1030" s="7"/>
      <c r="F1030" s="7"/>
      <c r="G1030" s="17" t="s">
        <v>182</v>
      </c>
      <c r="H1030" s="17">
        <v>4</v>
      </c>
      <c r="I1030" s="1">
        <f t="shared" si="49"/>
        <v>-1</v>
      </c>
      <c r="J1030" s="1">
        <f t="shared" si="48"/>
        <v>1.8886734790600883</v>
      </c>
      <c r="K1030" s="1">
        <f t="shared" si="50"/>
        <v>8.3444344686251153</v>
      </c>
    </row>
    <row r="1031" spans="4:11" ht="15.75" thickBot="1">
      <c r="D1031" s="8"/>
      <c r="E1031" s="15" t="s">
        <v>41</v>
      </c>
      <c r="F1031" s="15" t="s">
        <v>8</v>
      </c>
      <c r="G1031" s="17" t="s">
        <v>178</v>
      </c>
      <c r="H1031" s="17"/>
      <c r="I1031" s="1" t="str">
        <f t="shared" si="49"/>
        <v/>
      </c>
      <c r="J1031" s="1" t="str">
        <f t="shared" si="48"/>
        <v/>
      </c>
      <c r="K1031" s="1">
        <f t="shared" si="50"/>
        <v>0</v>
      </c>
    </row>
    <row r="1032" spans="4:11" ht="18" customHeight="1">
      <c r="D1032" s="6" t="s">
        <v>116</v>
      </c>
      <c r="E1032" s="7"/>
      <c r="F1032" s="7"/>
      <c r="G1032" s="17" t="s">
        <v>182</v>
      </c>
      <c r="H1032" s="17">
        <v>2</v>
      </c>
      <c r="I1032" s="1">
        <f t="shared" si="49"/>
        <v>1</v>
      </c>
      <c r="J1032" s="1">
        <f t="shared" si="48"/>
        <v>-3.1963483085490907E-2</v>
      </c>
      <c r="K1032" s="1">
        <f t="shared" si="50"/>
        <v>1.0649486304219382</v>
      </c>
    </row>
    <row r="1033" spans="4:11" ht="15.75" thickBot="1">
      <c r="D1033" s="8"/>
      <c r="E1033" s="15" t="s">
        <v>13</v>
      </c>
      <c r="F1033" s="15" t="s">
        <v>18</v>
      </c>
      <c r="G1033" s="17" t="s">
        <v>178</v>
      </c>
      <c r="H1033" s="17"/>
      <c r="I1033" s="1" t="str">
        <f t="shared" si="49"/>
        <v/>
      </c>
      <c r="J1033" s="1" t="str">
        <f t="shared" si="48"/>
        <v/>
      </c>
      <c r="K1033" s="1">
        <f t="shared" si="50"/>
        <v>0</v>
      </c>
    </row>
    <row r="1034" spans="4:11" ht="15" customHeight="1">
      <c r="D1034" s="6" t="s">
        <v>116</v>
      </c>
      <c r="E1034" s="7"/>
      <c r="F1034" s="7"/>
      <c r="G1034" s="17" t="s">
        <v>181</v>
      </c>
      <c r="H1034" s="17">
        <v>2</v>
      </c>
      <c r="I1034" s="1">
        <f t="shared" si="49"/>
        <v>-1</v>
      </c>
      <c r="J1034" s="1">
        <f t="shared" si="48"/>
        <v>-0.90868929978867641</v>
      </c>
      <c r="K1034" s="1">
        <f t="shared" si="50"/>
        <v>8.3376439730822108E-3</v>
      </c>
    </row>
    <row r="1035" spans="4:11" ht="15.75" thickBot="1">
      <c r="D1035" s="8"/>
      <c r="E1035" s="15" t="s">
        <v>28</v>
      </c>
      <c r="F1035" s="15" t="s">
        <v>37</v>
      </c>
      <c r="G1035" s="17" t="s">
        <v>178</v>
      </c>
      <c r="H1035" s="17"/>
      <c r="I1035" s="1" t="str">
        <f t="shared" si="49"/>
        <v/>
      </c>
      <c r="J1035" s="1" t="str">
        <f t="shared" si="48"/>
        <v/>
      </c>
      <c r="K1035" s="1">
        <f t="shared" si="50"/>
        <v>0</v>
      </c>
    </row>
    <row r="1036" spans="4:11" ht="15" customHeight="1">
      <c r="D1036" s="6" t="s">
        <v>116</v>
      </c>
      <c r="E1036" s="7"/>
      <c r="F1036" s="7"/>
      <c r="G1036" s="17" t="s">
        <v>181</v>
      </c>
      <c r="H1036" s="17">
        <v>3</v>
      </c>
      <c r="I1036" s="1">
        <f t="shared" si="49"/>
        <v>-2</v>
      </c>
      <c r="J1036" s="1">
        <f t="shared" si="48"/>
        <v>-0.89187252499026215</v>
      </c>
      <c r="K1036" s="1">
        <f t="shared" si="50"/>
        <v>1.2279465008714572</v>
      </c>
    </row>
    <row r="1037" spans="4:11" ht="15.75" thickBot="1">
      <c r="D1037" s="8"/>
      <c r="E1037" s="15" t="s">
        <v>36</v>
      </c>
      <c r="F1037" s="15" t="s">
        <v>38</v>
      </c>
      <c r="G1037" s="17" t="s">
        <v>178</v>
      </c>
      <c r="H1037" s="17"/>
      <c r="I1037" s="1" t="str">
        <f t="shared" si="49"/>
        <v/>
      </c>
      <c r="J1037" s="1" t="str">
        <f t="shared" si="48"/>
        <v/>
      </c>
      <c r="K1037" s="1">
        <f t="shared" si="50"/>
        <v>0</v>
      </c>
    </row>
    <row r="1038" spans="4:11" ht="15" customHeight="1">
      <c r="D1038" s="6" t="s">
        <v>116</v>
      </c>
      <c r="E1038" s="7"/>
      <c r="F1038" s="7"/>
      <c r="G1038" s="17" t="s">
        <v>180</v>
      </c>
      <c r="H1038" s="17">
        <v>6</v>
      </c>
      <c r="I1038" s="1">
        <f t="shared" si="49"/>
        <v>-4</v>
      </c>
      <c r="J1038" s="1">
        <f t="shared" si="48"/>
        <v>0.35395423187640063</v>
      </c>
      <c r="K1038" s="1">
        <f t="shared" si="50"/>
        <v>18.956917453274418</v>
      </c>
    </row>
    <row r="1039" spans="4:11" ht="15.75" thickBot="1">
      <c r="D1039" s="8"/>
      <c r="E1039" s="15" t="s">
        <v>2</v>
      </c>
      <c r="F1039" s="15" t="s">
        <v>7</v>
      </c>
      <c r="G1039" s="17" t="s">
        <v>178</v>
      </c>
      <c r="H1039" s="17"/>
      <c r="I1039" s="1" t="str">
        <f t="shared" si="49"/>
        <v/>
      </c>
      <c r="J1039" s="1" t="str">
        <f t="shared" si="48"/>
        <v/>
      </c>
      <c r="K1039" s="1">
        <f t="shared" si="50"/>
        <v>0</v>
      </c>
    </row>
    <row r="1040" spans="4:11" ht="15" customHeight="1">
      <c r="D1040" s="6" t="s">
        <v>116</v>
      </c>
      <c r="E1040" s="7"/>
      <c r="F1040" s="7"/>
      <c r="G1040" s="17" t="s">
        <v>184</v>
      </c>
      <c r="H1040" s="17">
        <v>3</v>
      </c>
      <c r="I1040" s="1">
        <f t="shared" si="49"/>
        <v>1</v>
      </c>
      <c r="J1040" s="1">
        <f t="shared" si="48"/>
        <v>-0.21858317550223205</v>
      </c>
      <c r="K1040" s="1">
        <f t="shared" si="50"/>
        <v>1.4849449556171037</v>
      </c>
    </row>
    <row r="1041" spans="4:11" ht="15.75" thickBot="1">
      <c r="D1041" s="8"/>
      <c r="E1041" s="15" t="s">
        <v>25</v>
      </c>
      <c r="F1041" s="15" t="s">
        <v>23</v>
      </c>
      <c r="G1041" s="17" t="s">
        <v>178</v>
      </c>
      <c r="H1041" s="17"/>
      <c r="I1041" s="1" t="str">
        <f t="shared" si="49"/>
        <v/>
      </c>
      <c r="J1041" s="1" t="str">
        <f t="shared" si="48"/>
        <v/>
      </c>
      <c r="K1041" s="1">
        <f t="shared" si="50"/>
        <v>0</v>
      </c>
    </row>
    <row r="1042" spans="4:11" ht="15" customHeight="1">
      <c r="D1042" s="6" t="s">
        <v>116</v>
      </c>
      <c r="E1042" s="7"/>
      <c r="F1042" s="7"/>
      <c r="G1042" s="17" t="s">
        <v>182</v>
      </c>
      <c r="H1042" s="17">
        <v>0</v>
      </c>
      <c r="I1042" s="1">
        <f t="shared" si="49"/>
        <v>3</v>
      </c>
      <c r="J1042" s="1">
        <f t="shared" si="48"/>
        <v>0.16264997899247646</v>
      </c>
      <c r="K1042" s="1">
        <f t="shared" si="50"/>
        <v>8.0505551417113939</v>
      </c>
    </row>
    <row r="1043" spans="4:11" ht="15.75" thickBot="1">
      <c r="D1043" s="8"/>
      <c r="E1043" s="15" t="s">
        <v>12</v>
      </c>
      <c r="F1043" s="15" t="s">
        <v>11</v>
      </c>
      <c r="G1043" s="17" t="s">
        <v>178</v>
      </c>
      <c r="H1043" s="17"/>
      <c r="I1043" s="1" t="str">
        <f t="shared" si="49"/>
        <v/>
      </c>
      <c r="J1043" s="1" t="str">
        <f t="shared" si="48"/>
        <v/>
      </c>
      <c r="K1043" s="1">
        <f t="shared" si="50"/>
        <v>0</v>
      </c>
    </row>
    <row r="1044" spans="4:11" ht="18" customHeight="1">
      <c r="D1044" s="6" t="s">
        <v>116</v>
      </c>
      <c r="E1044" s="7"/>
      <c r="F1044" s="7"/>
      <c r="G1044" s="17" t="s">
        <v>184</v>
      </c>
      <c r="H1044" s="17">
        <v>3</v>
      </c>
      <c r="I1044" s="1">
        <f t="shared" si="49"/>
        <v>1</v>
      </c>
      <c r="J1044" s="1">
        <f t="shared" si="48"/>
        <v>-0.58626544088704691</v>
      </c>
      <c r="K1044" s="1">
        <f t="shared" si="50"/>
        <v>2.5162380489525775</v>
      </c>
    </row>
    <row r="1045" spans="4:11" ht="15.75" thickBot="1">
      <c r="D1045" s="8"/>
      <c r="E1045" s="15" t="s">
        <v>21</v>
      </c>
      <c r="F1045" s="15" t="s">
        <v>39</v>
      </c>
      <c r="G1045" s="17" t="s">
        <v>178</v>
      </c>
      <c r="H1045" s="17"/>
      <c r="I1045" s="1" t="str">
        <f t="shared" si="49"/>
        <v/>
      </c>
      <c r="J1045" s="1" t="str">
        <f t="shared" si="48"/>
        <v/>
      </c>
      <c r="K1045" s="1">
        <f t="shared" si="50"/>
        <v>0</v>
      </c>
    </row>
    <row r="1046" spans="4:11" ht="15" customHeight="1">
      <c r="D1046" s="6" t="s">
        <v>116</v>
      </c>
      <c r="E1046" s="7"/>
      <c r="F1046" s="7"/>
      <c r="G1046" s="17" t="s">
        <v>181</v>
      </c>
      <c r="H1046" s="17">
        <v>4</v>
      </c>
      <c r="I1046" s="1">
        <f t="shared" si="49"/>
        <v>-3</v>
      </c>
      <c r="J1046" s="1">
        <f t="shared" si="48"/>
        <v>-0.68359623864478181</v>
      </c>
      <c r="K1046" s="1">
        <f t="shared" si="50"/>
        <v>5.3657263856206026</v>
      </c>
    </row>
    <row r="1047" spans="4:11" ht="15.75" thickBot="1">
      <c r="D1047" s="8"/>
      <c r="E1047" s="15" t="s">
        <v>1</v>
      </c>
      <c r="F1047" s="15" t="s">
        <v>19</v>
      </c>
      <c r="G1047" s="17" t="s">
        <v>178</v>
      </c>
      <c r="H1047" s="17"/>
      <c r="I1047" s="1" t="str">
        <f t="shared" si="49"/>
        <v/>
      </c>
      <c r="J1047" s="1" t="str">
        <f t="shared" si="48"/>
        <v/>
      </c>
      <c r="K1047" s="1">
        <f t="shared" si="50"/>
        <v>0</v>
      </c>
    </row>
    <row r="1048" spans="4:11" ht="18" customHeight="1">
      <c r="D1048" s="6" t="s">
        <v>116</v>
      </c>
      <c r="E1048" s="7"/>
      <c r="F1048" s="7"/>
      <c r="G1048" s="17" t="s">
        <v>181</v>
      </c>
      <c r="H1048" s="17">
        <v>2</v>
      </c>
      <c r="I1048" s="1">
        <f t="shared" si="49"/>
        <v>-1</v>
      </c>
      <c r="J1048" s="1">
        <f t="shared" si="48"/>
        <v>0</v>
      </c>
      <c r="K1048" s="1">
        <f t="shared" si="50"/>
        <v>1</v>
      </c>
    </row>
    <row r="1049" spans="4:11" ht="15.75" thickBot="1">
      <c r="D1049" s="8"/>
      <c r="E1049" s="15" t="s">
        <v>10</v>
      </c>
      <c r="F1049" s="15" t="s">
        <v>26</v>
      </c>
      <c r="G1049" s="17" t="s">
        <v>178</v>
      </c>
      <c r="H1049" s="17"/>
      <c r="I1049" s="1" t="str">
        <f t="shared" si="49"/>
        <v/>
      </c>
      <c r="J1049" s="1" t="str">
        <f t="shared" si="48"/>
        <v/>
      </c>
      <c r="K1049" s="1">
        <f t="shared" si="50"/>
        <v>0</v>
      </c>
    </row>
    <row r="1050" spans="4:11" ht="15" customHeight="1">
      <c r="D1050" s="6" t="s">
        <v>116</v>
      </c>
      <c r="E1050" s="7"/>
      <c r="F1050" s="7"/>
      <c r="G1050" s="17" t="s">
        <v>185</v>
      </c>
      <c r="H1050" s="17">
        <v>2</v>
      </c>
      <c r="I1050" s="1">
        <f t="shared" si="49"/>
        <v>3</v>
      </c>
      <c r="J1050" s="1">
        <f t="shared" si="48"/>
        <v>0.58125439856569017</v>
      </c>
      <c r="K1050" s="1">
        <f t="shared" si="50"/>
        <v>5.8503302844578213</v>
      </c>
    </row>
    <row r="1051" spans="4:11" ht="15.75" thickBot="1">
      <c r="D1051" s="8"/>
      <c r="E1051" s="15" t="s">
        <v>20</v>
      </c>
      <c r="F1051" s="15" t="s">
        <v>22</v>
      </c>
      <c r="G1051" s="17" t="s">
        <v>178</v>
      </c>
      <c r="H1051" s="17"/>
      <c r="I1051" s="1" t="str">
        <f t="shared" si="49"/>
        <v/>
      </c>
      <c r="J1051" s="1" t="str">
        <f t="shared" si="48"/>
        <v/>
      </c>
      <c r="K1051" s="1">
        <f t="shared" si="50"/>
        <v>0</v>
      </c>
    </row>
    <row r="1052" spans="4:11" ht="15" customHeight="1">
      <c r="D1052" s="6" t="s">
        <v>116</v>
      </c>
      <c r="E1052" s="7"/>
      <c r="F1052" s="7"/>
      <c r="G1052" s="17" t="s">
        <v>181</v>
      </c>
      <c r="H1052" s="17">
        <v>4</v>
      </c>
      <c r="I1052" s="1">
        <f t="shared" si="49"/>
        <v>-3</v>
      </c>
      <c r="J1052" s="1">
        <f t="shared" si="48"/>
        <v>-1.1692314577554157</v>
      </c>
      <c r="K1052" s="1">
        <f t="shared" si="50"/>
        <v>3.3517134552723604</v>
      </c>
    </row>
    <row r="1053" spans="4:11" ht="15.75" thickBot="1">
      <c r="D1053" s="8"/>
      <c r="E1053" s="15" t="s">
        <v>24</v>
      </c>
      <c r="F1053" s="15" t="s">
        <v>4</v>
      </c>
      <c r="G1053" s="17" t="s">
        <v>178</v>
      </c>
      <c r="H1053" s="17"/>
      <c r="I1053" s="1" t="str">
        <f t="shared" si="49"/>
        <v/>
      </c>
      <c r="J1053" s="1" t="str">
        <f t="shared" si="48"/>
        <v/>
      </c>
      <c r="K1053" s="1">
        <f t="shared" si="50"/>
        <v>0</v>
      </c>
    </row>
    <row r="1054" spans="4:11" ht="15" customHeight="1">
      <c r="D1054" s="6" t="s">
        <v>116</v>
      </c>
      <c r="E1054" s="7"/>
      <c r="F1054" s="7"/>
      <c r="G1054" s="17" t="s">
        <v>181</v>
      </c>
      <c r="H1054" s="17">
        <v>3</v>
      </c>
      <c r="I1054" s="1">
        <f t="shared" si="49"/>
        <v>-2</v>
      </c>
      <c r="J1054" s="1">
        <f t="shared" si="48"/>
        <v>-0.13570153456291223</v>
      </c>
      <c r="K1054" s="1">
        <f t="shared" si="50"/>
        <v>3.4756087682310803</v>
      </c>
    </row>
    <row r="1055" spans="4:11" ht="15.75" thickBot="1">
      <c r="D1055" s="8"/>
      <c r="E1055" s="15" t="s">
        <v>33</v>
      </c>
      <c r="F1055" s="15" t="s">
        <v>34</v>
      </c>
      <c r="G1055" s="17" t="s">
        <v>178</v>
      </c>
      <c r="H1055" s="17"/>
      <c r="I1055" s="1" t="str">
        <f t="shared" si="49"/>
        <v/>
      </c>
      <c r="J1055" s="1" t="str">
        <f t="shared" si="48"/>
        <v/>
      </c>
      <c r="K1055" s="1">
        <f t="shared" si="50"/>
        <v>0</v>
      </c>
    </row>
    <row r="1056" spans="4:11" ht="18" customHeight="1">
      <c r="D1056" s="6" t="s">
        <v>117</v>
      </c>
      <c r="E1056" s="7"/>
      <c r="F1056" s="7"/>
      <c r="G1056" s="17" t="s">
        <v>184</v>
      </c>
      <c r="H1056" s="17">
        <v>6</v>
      </c>
      <c r="I1056" s="1">
        <f t="shared" si="49"/>
        <v>-2</v>
      </c>
      <c r="J1056" s="1">
        <f t="shared" si="48"/>
        <v>-0.28898688989563937</v>
      </c>
      <c r="K1056" s="1">
        <f t="shared" si="50"/>
        <v>2.9275658629489971</v>
      </c>
    </row>
    <row r="1057" spans="4:11" ht="15.75" thickBot="1">
      <c r="D1057" s="8"/>
      <c r="E1057" s="15" t="s">
        <v>0</v>
      </c>
      <c r="F1057" s="15" t="s">
        <v>14</v>
      </c>
      <c r="G1057" s="17" t="s">
        <v>178</v>
      </c>
      <c r="H1057" s="17"/>
      <c r="I1057" s="1" t="str">
        <f t="shared" si="49"/>
        <v/>
      </c>
      <c r="J1057" s="1" t="str">
        <f t="shared" si="48"/>
        <v/>
      </c>
      <c r="K1057" s="1">
        <f t="shared" si="50"/>
        <v>0</v>
      </c>
    </row>
    <row r="1058" spans="4:11" ht="15" customHeight="1">
      <c r="D1058" s="6" t="s">
        <v>117</v>
      </c>
      <c r="E1058" s="7"/>
      <c r="F1058" s="7"/>
      <c r="G1058" s="17" t="s">
        <v>181</v>
      </c>
      <c r="H1058" s="17">
        <v>2</v>
      </c>
      <c r="I1058" s="1">
        <f t="shared" si="49"/>
        <v>-1</v>
      </c>
      <c r="J1058" s="1">
        <f t="shared" si="48"/>
        <v>0.69829596555400997</v>
      </c>
      <c r="K1058" s="1">
        <f t="shared" si="50"/>
        <v>2.884209186617027</v>
      </c>
    </row>
    <row r="1059" spans="4:11" ht="15.75" thickBot="1">
      <c r="D1059" s="8"/>
      <c r="E1059" s="15" t="s">
        <v>3</v>
      </c>
      <c r="F1059" s="15" t="s">
        <v>10</v>
      </c>
      <c r="G1059" s="17" t="s">
        <v>178</v>
      </c>
      <c r="H1059" s="17"/>
      <c r="I1059" s="1" t="str">
        <f t="shared" si="49"/>
        <v/>
      </c>
      <c r="J1059" s="1" t="str">
        <f t="shared" si="48"/>
        <v/>
      </c>
      <c r="K1059" s="1">
        <f t="shared" si="50"/>
        <v>0</v>
      </c>
    </row>
    <row r="1060" spans="4:11" ht="18" customHeight="1">
      <c r="D1060" s="6" t="s">
        <v>118</v>
      </c>
      <c r="E1060" s="7"/>
      <c r="F1060" s="7"/>
      <c r="G1060" s="17" t="s">
        <v>180</v>
      </c>
      <c r="H1060" s="17">
        <v>5</v>
      </c>
      <c r="I1060" s="1">
        <f t="shared" si="49"/>
        <v>-3</v>
      </c>
      <c r="J1060" s="1">
        <f t="shared" si="48"/>
        <v>6.3981103375752468E-2</v>
      </c>
      <c r="K1060" s="1">
        <f t="shared" si="50"/>
        <v>9.3879802018436944</v>
      </c>
    </row>
    <row r="1061" spans="4:11" ht="15.75" thickBot="1">
      <c r="D1061" s="8"/>
      <c r="E1061" s="15" t="s">
        <v>13</v>
      </c>
      <c r="F1061" s="15" t="s">
        <v>2</v>
      </c>
      <c r="G1061" s="17" t="s">
        <v>178</v>
      </c>
      <c r="H1061" s="17"/>
      <c r="I1061" s="1" t="str">
        <f t="shared" si="49"/>
        <v/>
      </c>
      <c r="J1061" s="1" t="str">
        <f t="shared" si="48"/>
        <v/>
      </c>
      <c r="K1061" s="1">
        <f t="shared" si="50"/>
        <v>0</v>
      </c>
    </row>
    <row r="1062" spans="4:11" ht="15" customHeight="1">
      <c r="D1062" s="6" t="s">
        <v>118</v>
      </c>
      <c r="E1062" s="7"/>
      <c r="F1062" s="7"/>
      <c r="G1062" s="17" t="s">
        <v>181</v>
      </c>
      <c r="H1062" s="17">
        <v>3</v>
      </c>
      <c r="I1062" s="1">
        <f t="shared" si="49"/>
        <v>-2</v>
      </c>
      <c r="J1062" s="1">
        <f t="shared" si="48"/>
        <v>0.62808430365640788</v>
      </c>
      <c r="K1062" s="1">
        <f t="shared" si="50"/>
        <v>6.9068271071251859</v>
      </c>
    </row>
    <row r="1063" spans="4:11" ht="15.75" thickBot="1">
      <c r="D1063" s="8"/>
      <c r="E1063" s="15" t="s">
        <v>11</v>
      </c>
      <c r="F1063" s="15" t="s">
        <v>36</v>
      </c>
      <c r="G1063" s="17" t="s">
        <v>178</v>
      </c>
      <c r="H1063" s="17"/>
      <c r="I1063" s="1" t="str">
        <f t="shared" si="49"/>
        <v/>
      </c>
      <c r="J1063" s="1" t="str">
        <f t="shared" si="48"/>
        <v/>
      </c>
      <c r="K1063" s="1">
        <f t="shared" si="50"/>
        <v>0</v>
      </c>
    </row>
    <row r="1064" spans="4:11" ht="15" customHeight="1">
      <c r="D1064" s="6" t="s">
        <v>118</v>
      </c>
      <c r="E1064" s="7"/>
      <c r="F1064" s="7"/>
      <c r="G1064" s="17" t="s">
        <v>182</v>
      </c>
      <c r="H1064" s="17">
        <v>4</v>
      </c>
      <c r="I1064" s="1">
        <f t="shared" si="49"/>
        <v>-1</v>
      </c>
      <c r="J1064" s="1">
        <f t="shared" si="48"/>
        <v>-0.1011382423413778</v>
      </c>
      <c r="K1064" s="1">
        <f t="shared" si="50"/>
        <v>0.80795245938114768</v>
      </c>
    </row>
    <row r="1065" spans="4:11" ht="15.75" thickBot="1">
      <c r="D1065" s="8"/>
      <c r="E1065" s="15" t="s">
        <v>12</v>
      </c>
      <c r="F1065" s="15" t="s">
        <v>41</v>
      </c>
      <c r="G1065" s="17" t="s">
        <v>178</v>
      </c>
      <c r="H1065" s="17"/>
      <c r="I1065" s="1" t="str">
        <f t="shared" si="49"/>
        <v/>
      </c>
      <c r="J1065" s="1" t="str">
        <f t="shared" si="48"/>
        <v/>
      </c>
      <c r="K1065" s="1">
        <f t="shared" si="50"/>
        <v>0</v>
      </c>
    </row>
    <row r="1066" spans="4:11" ht="15" customHeight="1">
      <c r="D1066" s="6" t="s">
        <v>118</v>
      </c>
      <c r="E1066" s="7"/>
      <c r="F1066" s="7"/>
      <c r="G1066" s="17" t="s">
        <v>182</v>
      </c>
      <c r="H1066" s="17">
        <v>1</v>
      </c>
      <c r="I1066" s="1">
        <f t="shared" si="49"/>
        <v>2</v>
      </c>
      <c r="J1066" s="1">
        <f t="shared" si="48"/>
        <v>0.71234565517146109</v>
      </c>
      <c r="K1066" s="1">
        <f t="shared" si="50"/>
        <v>1.6580537117558138</v>
      </c>
    </row>
    <row r="1067" spans="4:11" ht="15.75" thickBot="1">
      <c r="D1067" s="8"/>
      <c r="E1067" s="15" t="s">
        <v>443</v>
      </c>
      <c r="F1067" s="15" t="s">
        <v>28</v>
      </c>
      <c r="G1067" s="17" t="s">
        <v>178</v>
      </c>
      <c r="H1067" s="17"/>
      <c r="I1067" s="1" t="str">
        <f t="shared" si="49"/>
        <v/>
      </c>
      <c r="J1067" s="1" t="str">
        <f t="shared" si="48"/>
        <v/>
      </c>
      <c r="K1067" s="1">
        <f t="shared" si="50"/>
        <v>0</v>
      </c>
    </row>
    <row r="1068" spans="4:11" ht="18" customHeight="1">
      <c r="D1068" s="6" t="s">
        <v>118</v>
      </c>
      <c r="E1068" s="7"/>
      <c r="F1068" s="7"/>
      <c r="G1068" s="17" t="s">
        <v>180</v>
      </c>
      <c r="H1068" s="17">
        <v>5</v>
      </c>
      <c r="I1068" s="1">
        <f t="shared" si="49"/>
        <v>-3</v>
      </c>
      <c r="J1068" s="1">
        <f t="shared" si="48"/>
        <v>-1.5059573207659014</v>
      </c>
      <c r="K1068" s="1">
        <f t="shared" si="50"/>
        <v>2.2321635273730038</v>
      </c>
    </row>
    <row r="1069" spans="4:11" ht="15.75" thickBot="1">
      <c r="D1069" s="8"/>
      <c r="E1069" s="15" t="s">
        <v>8</v>
      </c>
      <c r="F1069" s="15" t="s">
        <v>18</v>
      </c>
      <c r="G1069" s="17" t="s">
        <v>178</v>
      </c>
      <c r="H1069" s="17"/>
      <c r="I1069" s="1" t="str">
        <f t="shared" si="49"/>
        <v/>
      </c>
      <c r="J1069" s="1" t="str">
        <f t="shared" si="48"/>
        <v/>
      </c>
      <c r="K1069" s="1">
        <f t="shared" si="50"/>
        <v>0</v>
      </c>
    </row>
    <row r="1070" spans="4:11" ht="15" customHeight="1">
      <c r="D1070" s="6" t="s">
        <v>118</v>
      </c>
      <c r="E1070" s="7"/>
      <c r="F1070" s="7"/>
      <c r="G1070" s="17" t="s">
        <v>180</v>
      </c>
      <c r="H1070" s="17">
        <v>3</v>
      </c>
      <c r="I1070" s="1">
        <f t="shared" si="49"/>
        <v>-1</v>
      </c>
      <c r="J1070" s="1">
        <f t="shared" si="48"/>
        <v>-1.0916372467189461</v>
      </c>
      <c r="K1070" s="1">
        <f t="shared" si="50"/>
        <v>8.3973849862290038E-3</v>
      </c>
    </row>
    <row r="1071" spans="4:11" ht="15.75" thickBot="1">
      <c r="D1071" s="8"/>
      <c r="E1071" s="15" t="s">
        <v>0</v>
      </c>
      <c r="F1071" s="15" t="s">
        <v>37</v>
      </c>
      <c r="G1071" s="17" t="s">
        <v>178</v>
      </c>
      <c r="H1071" s="17"/>
      <c r="I1071" s="1" t="str">
        <f t="shared" si="49"/>
        <v/>
      </c>
      <c r="J1071" s="1" t="str">
        <f t="shared" si="48"/>
        <v/>
      </c>
      <c r="K1071" s="1">
        <f t="shared" si="50"/>
        <v>0</v>
      </c>
    </row>
    <row r="1072" spans="4:11" ht="15" customHeight="1">
      <c r="D1072" s="6" t="s">
        <v>118</v>
      </c>
      <c r="E1072" s="7"/>
      <c r="F1072" s="7"/>
      <c r="G1072" s="17" t="s">
        <v>179</v>
      </c>
      <c r="H1072" s="17">
        <v>3</v>
      </c>
      <c r="I1072" s="1">
        <f t="shared" si="49"/>
        <v>-3</v>
      </c>
      <c r="J1072" s="1">
        <f t="shared" si="48"/>
        <v>-0.54708387220728127</v>
      </c>
      <c r="K1072" s="1">
        <f t="shared" si="50"/>
        <v>6.0167975299856256</v>
      </c>
    </row>
    <row r="1073" spans="4:11" ht="15.75" thickBot="1">
      <c r="D1073" s="8"/>
      <c r="E1073" s="15" t="s">
        <v>22</v>
      </c>
      <c r="F1073" s="15" t="s">
        <v>39</v>
      </c>
      <c r="G1073" s="17" t="s">
        <v>178</v>
      </c>
      <c r="H1073" s="17"/>
      <c r="I1073" s="1" t="str">
        <f t="shared" si="49"/>
        <v/>
      </c>
      <c r="J1073" s="1" t="str">
        <f t="shared" si="48"/>
        <v/>
      </c>
      <c r="K1073" s="1">
        <f t="shared" si="50"/>
        <v>0</v>
      </c>
    </row>
    <row r="1074" spans="4:11" ht="15" customHeight="1">
      <c r="D1074" s="6" t="s">
        <v>118</v>
      </c>
      <c r="E1074" s="7"/>
      <c r="F1074" s="7"/>
      <c r="G1074" s="17" t="s">
        <v>182</v>
      </c>
      <c r="H1074" s="17">
        <v>2</v>
      </c>
      <c r="I1074" s="1">
        <f t="shared" si="49"/>
        <v>1</v>
      </c>
      <c r="J1074" s="1">
        <f t="shared" si="48"/>
        <v>0.21858317550223205</v>
      </c>
      <c r="K1074" s="1">
        <f t="shared" si="50"/>
        <v>0.6106122536081755</v>
      </c>
    </row>
    <row r="1075" spans="4:11" ht="15.75" thickBot="1">
      <c r="D1075" s="8"/>
      <c r="E1075" s="15" t="s">
        <v>23</v>
      </c>
      <c r="F1075" s="15" t="s">
        <v>25</v>
      </c>
      <c r="G1075" s="17" t="s">
        <v>178</v>
      </c>
      <c r="H1075" s="17"/>
      <c r="I1075" s="1" t="str">
        <f t="shared" si="49"/>
        <v/>
      </c>
      <c r="J1075" s="1" t="str">
        <f t="shared" si="48"/>
        <v/>
      </c>
      <c r="K1075" s="1">
        <f t="shared" si="50"/>
        <v>0</v>
      </c>
    </row>
    <row r="1076" spans="4:11" ht="18" customHeight="1">
      <c r="D1076" s="6" t="s">
        <v>118</v>
      </c>
      <c r="E1076" s="7"/>
      <c r="F1076" s="7"/>
      <c r="G1076" s="17" t="s">
        <v>184</v>
      </c>
      <c r="H1076" s="17">
        <v>5</v>
      </c>
      <c r="I1076" s="1">
        <f t="shared" si="49"/>
        <v>-1</v>
      </c>
      <c r="J1076" s="1">
        <f t="shared" si="48"/>
        <v>-0.1352999060413822</v>
      </c>
      <c r="K1076" s="1">
        <f t="shared" si="50"/>
        <v>0.74770625249204248</v>
      </c>
    </row>
    <row r="1077" spans="4:11" ht="15.75" thickBot="1">
      <c r="D1077" s="8"/>
      <c r="E1077" s="15" t="s">
        <v>19</v>
      </c>
      <c r="F1077" s="15" t="s">
        <v>20</v>
      </c>
      <c r="G1077" s="17" t="s">
        <v>178</v>
      </c>
      <c r="H1077" s="17"/>
      <c r="I1077" s="1" t="str">
        <f t="shared" si="49"/>
        <v/>
      </c>
      <c r="J1077" s="1" t="str">
        <f t="shared" si="48"/>
        <v/>
      </c>
      <c r="K1077" s="1">
        <f t="shared" si="50"/>
        <v>0</v>
      </c>
    </row>
    <row r="1078" spans="4:11" ht="15" customHeight="1">
      <c r="D1078" s="6" t="s">
        <v>118</v>
      </c>
      <c r="E1078" s="7"/>
      <c r="F1078" s="7"/>
      <c r="G1078" s="17" t="s">
        <v>180</v>
      </c>
      <c r="H1078" s="17">
        <v>3</v>
      </c>
      <c r="I1078" s="1">
        <f t="shared" si="49"/>
        <v>-1</v>
      </c>
      <c r="J1078" s="1">
        <f t="shared" si="48"/>
        <v>0.61346167592020606</v>
      </c>
      <c r="K1078" s="1">
        <f t="shared" si="50"/>
        <v>2.6032585796632399</v>
      </c>
    </row>
    <row r="1079" spans="4:11" ht="15.75" thickBot="1">
      <c r="D1079" s="8"/>
      <c r="E1079" s="15" t="s">
        <v>38</v>
      </c>
      <c r="F1079" s="15" t="s">
        <v>21</v>
      </c>
      <c r="G1079" s="17" t="s">
        <v>178</v>
      </c>
      <c r="H1079" s="17"/>
      <c r="I1079" s="1" t="str">
        <f t="shared" si="49"/>
        <v/>
      </c>
      <c r="J1079" s="1" t="str">
        <f t="shared" si="48"/>
        <v/>
      </c>
      <c r="K1079" s="1">
        <f t="shared" si="50"/>
        <v>0</v>
      </c>
    </row>
    <row r="1080" spans="4:11" ht="15" customHeight="1">
      <c r="D1080" s="6" t="s">
        <v>118</v>
      </c>
      <c r="E1080" s="7"/>
      <c r="F1080" s="7"/>
      <c r="G1080" s="17" t="s">
        <v>181</v>
      </c>
      <c r="H1080" s="17">
        <v>2</v>
      </c>
      <c r="I1080" s="1">
        <f t="shared" si="49"/>
        <v>-1</v>
      </c>
      <c r="J1080" s="1">
        <f t="shared" si="48"/>
        <v>-0.1872326031717364</v>
      </c>
      <c r="K1080" s="1">
        <f t="shared" si="50"/>
        <v>0.66059084134699209</v>
      </c>
    </row>
    <row r="1081" spans="4:11" ht="15.75" thickBot="1">
      <c r="D1081" s="8"/>
      <c r="E1081" s="15" t="s">
        <v>34</v>
      </c>
      <c r="F1081" s="15" t="s">
        <v>4</v>
      </c>
      <c r="G1081" s="17" t="s">
        <v>178</v>
      </c>
      <c r="H1081" s="17"/>
      <c r="I1081" s="1" t="str">
        <f t="shared" si="49"/>
        <v/>
      </c>
      <c r="J1081" s="1" t="str">
        <f t="shared" si="48"/>
        <v/>
      </c>
      <c r="K1081" s="1">
        <f t="shared" si="50"/>
        <v>0</v>
      </c>
    </row>
    <row r="1082" spans="4:11" ht="15" customHeight="1">
      <c r="D1082" s="6" t="s">
        <v>118</v>
      </c>
      <c r="E1082" s="7"/>
      <c r="F1082" s="7"/>
      <c r="G1082" s="17" t="s">
        <v>180</v>
      </c>
      <c r="H1082" s="17">
        <v>4</v>
      </c>
      <c r="I1082" s="1">
        <f t="shared" si="49"/>
        <v>-2</v>
      </c>
      <c r="J1082" s="1">
        <f t="shared" si="48"/>
        <v>0.25101473130372653</v>
      </c>
      <c r="K1082" s="1">
        <f t="shared" si="50"/>
        <v>5.0670673205463883</v>
      </c>
    </row>
    <row r="1083" spans="4:11" ht="15.75" thickBot="1">
      <c r="D1083" s="8"/>
      <c r="E1083" s="15" t="s">
        <v>1</v>
      </c>
      <c r="F1083" s="15" t="s">
        <v>26</v>
      </c>
      <c r="G1083" s="17" t="s">
        <v>178</v>
      </c>
      <c r="H1083" s="17"/>
      <c r="I1083" s="1" t="str">
        <f t="shared" si="49"/>
        <v/>
      </c>
      <c r="J1083" s="1" t="str">
        <f t="shared" si="48"/>
        <v/>
      </c>
      <c r="K1083" s="1">
        <f t="shared" si="50"/>
        <v>0</v>
      </c>
    </row>
    <row r="1084" spans="4:11" ht="18" customHeight="1">
      <c r="D1084" s="6" t="s">
        <v>119</v>
      </c>
      <c r="E1084" s="7"/>
      <c r="F1084" s="7"/>
      <c r="G1084" s="17" t="s">
        <v>180</v>
      </c>
      <c r="H1084" s="17">
        <v>1</v>
      </c>
      <c r="I1084" s="1">
        <f t="shared" si="49"/>
        <v>1</v>
      </c>
      <c r="J1084" s="1">
        <f t="shared" si="48"/>
        <v>0.60630671220609145</v>
      </c>
      <c r="K1084" s="1">
        <f t="shared" si="50"/>
        <v>0.15499440485397731</v>
      </c>
    </row>
    <row r="1085" spans="4:11" ht="15.75" thickBot="1">
      <c r="D1085" s="8"/>
      <c r="E1085" s="15" t="s">
        <v>443</v>
      </c>
      <c r="F1085" s="15" t="s">
        <v>14</v>
      </c>
      <c r="G1085" s="17" t="s">
        <v>178</v>
      </c>
      <c r="H1085" s="17"/>
      <c r="I1085" s="1" t="str">
        <f t="shared" si="49"/>
        <v/>
      </c>
      <c r="J1085" s="1" t="str">
        <f t="shared" si="48"/>
        <v/>
      </c>
      <c r="K1085" s="1">
        <f t="shared" si="50"/>
        <v>0</v>
      </c>
    </row>
    <row r="1086" spans="4:11" ht="15" customHeight="1">
      <c r="D1086" s="6" t="s">
        <v>119</v>
      </c>
      <c r="E1086" s="7"/>
      <c r="F1086" s="7"/>
      <c r="G1086" s="17" t="s">
        <v>180</v>
      </c>
      <c r="H1086" s="17">
        <v>3</v>
      </c>
      <c r="I1086" s="1">
        <f t="shared" si="49"/>
        <v>-1</v>
      </c>
      <c r="J1086" s="1">
        <f t="shared" si="48"/>
        <v>0.10112937968297331</v>
      </c>
      <c r="K1086" s="1">
        <f t="shared" si="50"/>
        <v>1.2124859108010095</v>
      </c>
    </row>
    <row r="1087" spans="4:11" ht="15.75" thickBot="1">
      <c r="D1087" s="8"/>
      <c r="E1087" s="15" t="s">
        <v>39</v>
      </c>
      <c r="F1087" s="15" t="s">
        <v>19</v>
      </c>
      <c r="G1087" s="17" t="s">
        <v>178</v>
      </c>
      <c r="H1087" s="17"/>
      <c r="I1087" s="1" t="str">
        <f t="shared" si="49"/>
        <v/>
      </c>
      <c r="J1087" s="1" t="str">
        <f t="shared" si="48"/>
        <v/>
      </c>
      <c r="K1087" s="1">
        <f t="shared" si="50"/>
        <v>0</v>
      </c>
    </row>
    <row r="1088" spans="4:11" ht="15" customHeight="1">
      <c r="D1088" s="6" t="s">
        <v>119</v>
      </c>
      <c r="E1088" s="7"/>
      <c r="F1088" s="7"/>
      <c r="G1088" s="17" t="s">
        <v>180</v>
      </c>
      <c r="H1088" s="17">
        <v>3</v>
      </c>
      <c r="I1088" s="1">
        <f t="shared" si="49"/>
        <v>-1</v>
      </c>
      <c r="J1088" s="1">
        <f t="shared" si="48"/>
        <v>0.9819988545836793</v>
      </c>
      <c r="K1088" s="1">
        <f t="shared" si="50"/>
        <v>3.9283194595710169</v>
      </c>
    </row>
    <row r="1089" spans="4:11" ht="15.75" thickBot="1">
      <c r="D1089" s="8"/>
      <c r="E1089" s="15" t="s">
        <v>34</v>
      </c>
      <c r="F1089" s="15" t="s">
        <v>24</v>
      </c>
      <c r="G1089" s="17" t="s">
        <v>178</v>
      </c>
      <c r="H1089" s="17"/>
      <c r="I1089" s="1" t="str">
        <f t="shared" si="49"/>
        <v/>
      </c>
      <c r="J1089" s="1" t="str">
        <f t="shared" si="48"/>
        <v/>
      </c>
      <c r="K1089" s="1">
        <f t="shared" si="50"/>
        <v>0</v>
      </c>
    </row>
    <row r="1090" spans="4:11" ht="15" customHeight="1">
      <c r="D1090" s="6" t="s">
        <v>119</v>
      </c>
      <c r="E1090" s="7"/>
      <c r="F1090" s="7"/>
      <c r="G1090" s="17" t="s">
        <v>182</v>
      </c>
      <c r="H1090" s="17">
        <v>1</v>
      </c>
      <c r="I1090" s="1">
        <f t="shared" si="49"/>
        <v>2</v>
      </c>
      <c r="J1090" s="1">
        <f t="shared" si="48"/>
        <v>0.21140118979968747</v>
      </c>
      <c r="K1090" s="1">
        <f t="shared" si="50"/>
        <v>3.1990857038499736</v>
      </c>
    </row>
    <row r="1091" spans="4:11" ht="15.75" thickBot="1">
      <c r="D1091" s="8"/>
      <c r="E1091" s="15" t="s">
        <v>3</v>
      </c>
      <c r="F1091" s="15" t="s">
        <v>33</v>
      </c>
      <c r="G1091" s="17" t="s">
        <v>178</v>
      </c>
      <c r="H1091" s="17"/>
      <c r="I1091" s="1" t="str">
        <f t="shared" si="49"/>
        <v/>
      </c>
      <c r="J1091" s="1" t="str">
        <f t="shared" ref="J1091:J1154" si="51">IF(F1092="","",VLOOKUP(F1092,$A$2:$B$31,2)+$B$33-VLOOKUP(E1092,$A$2:$B$31,2))</f>
        <v/>
      </c>
      <c r="K1091" s="1">
        <f t="shared" si="50"/>
        <v>0</v>
      </c>
    </row>
    <row r="1092" spans="4:11" ht="15" customHeight="1">
      <c r="D1092" s="6" t="s">
        <v>120</v>
      </c>
      <c r="E1092" s="7"/>
      <c r="F1092" s="7"/>
      <c r="G1092" s="17" t="s">
        <v>185</v>
      </c>
      <c r="H1092" s="17">
        <v>2</v>
      </c>
      <c r="I1092" s="1">
        <f t="shared" ref="I1092:I1155" si="52">IF(G1092="","",G1092-H1092)</f>
        <v>3</v>
      </c>
      <c r="J1092" s="1">
        <f t="shared" si="51"/>
        <v>0.3375508919623087</v>
      </c>
      <c r="K1092" s="1">
        <f t="shared" ref="K1092:K1155" si="53">IF(J1092="",0,(I1092-J1092)^2)</f>
        <v>7.0886352528906977</v>
      </c>
    </row>
    <row r="1093" spans="4:11" ht="15.75" thickBot="1">
      <c r="D1093" s="8"/>
      <c r="E1093" s="15" t="s">
        <v>41</v>
      </c>
      <c r="F1093" s="15" t="s">
        <v>25</v>
      </c>
      <c r="G1093" s="17" t="s">
        <v>178</v>
      </c>
      <c r="H1093" s="17"/>
      <c r="I1093" s="1" t="str">
        <f t="shared" si="52"/>
        <v/>
      </c>
      <c r="J1093" s="1" t="str">
        <f t="shared" si="51"/>
        <v/>
      </c>
      <c r="K1093" s="1">
        <f t="shared" si="53"/>
        <v>0</v>
      </c>
    </row>
    <row r="1094" spans="4:11" ht="15" customHeight="1">
      <c r="D1094" s="6" t="s">
        <v>120</v>
      </c>
      <c r="E1094" s="7"/>
      <c r="F1094" s="7"/>
      <c r="G1094" s="17" t="s">
        <v>185</v>
      </c>
      <c r="H1094" s="17">
        <v>1</v>
      </c>
      <c r="I1094" s="1">
        <f t="shared" si="52"/>
        <v>4</v>
      </c>
      <c r="J1094" s="1">
        <f t="shared" si="51"/>
        <v>1.8897699643780044</v>
      </c>
      <c r="K1094" s="1">
        <f t="shared" si="53"/>
        <v>4.453070803241209</v>
      </c>
    </row>
    <row r="1095" spans="4:11" ht="15.75" thickBot="1">
      <c r="D1095" s="8"/>
      <c r="E1095" s="15" t="s">
        <v>37</v>
      </c>
      <c r="F1095" s="15" t="s">
        <v>8</v>
      </c>
      <c r="G1095" s="17" t="s">
        <v>178</v>
      </c>
      <c r="H1095" s="17"/>
      <c r="I1095" s="1" t="str">
        <f t="shared" si="52"/>
        <v/>
      </c>
      <c r="J1095" s="1" t="str">
        <f t="shared" si="51"/>
        <v/>
      </c>
      <c r="K1095" s="1">
        <f t="shared" si="53"/>
        <v>0</v>
      </c>
    </row>
    <row r="1096" spans="4:11" ht="15" customHeight="1">
      <c r="D1096" s="6" t="s">
        <v>120</v>
      </c>
      <c r="E1096" s="7"/>
      <c r="F1096" s="7"/>
      <c r="G1096" s="17" t="s">
        <v>185</v>
      </c>
      <c r="H1096" s="17">
        <v>2</v>
      </c>
      <c r="I1096" s="1">
        <f t="shared" si="52"/>
        <v>3</v>
      </c>
      <c r="J1096" s="1">
        <f t="shared" si="51"/>
        <v>0.8015538715053907</v>
      </c>
      <c r="K1096" s="1">
        <f t="shared" si="53"/>
        <v>4.8331653798929359</v>
      </c>
    </row>
    <row r="1097" spans="4:11" ht="15.75" thickBot="1">
      <c r="D1097" s="8"/>
      <c r="E1097" s="15" t="s">
        <v>38</v>
      </c>
      <c r="F1097" s="15" t="s">
        <v>14</v>
      </c>
      <c r="G1097" s="17" t="s">
        <v>178</v>
      </c>
      <c r="H1097" s="17"/>
      <c r="I1097" s="1" t="str">
        <f t="shared" si="52"/>
        <v/>
      </c>
      <c r="J1097" s="1" t="str">
        <f t="shared" si="51"/>
        <v/>
      </c>
      <c r="K1097" s="1">
        <f t="shared" si="53"/>
        <v>0</v>
      </c>
    </row>
    <row r="1098" spans="4:11" ht="18" customHeight="1">
      <c r="D1098" s="6" t="s">
        <v>120</v>
      </c>
      <c r="E1098" s="7"/>
      <c r="F1098" s="7"/>
      <c r="G1098" s="17" t="s">
        <v>184</v>
      </c>
      <c r="H1098" s="17">
        <v>3</v>
      </c>
      <c r="I1098" s="1">
        <f t="shared" si="52"/>
        <v>1</v>
      </c>
      <c r="J1098" s="1">
        <f t="shared" si="51"/>
        <v>-0.61188001664559977</v>
      </c>
      <c r="K1098" s="1">
        <f t="shared" si="53"/>
        <v>2.5981571880614189</v>
      </c>
    </row>
    <row r="1099" spans="4:11" ht="15.75" thickBot="1">
      <c r="D1099" s="8"/>
      <c r="E1099" s="15" t="s">
        <v>0</v>
      </c>
      <c r="F1099" s="15" t="s">
        <v>2</v>
      </c>
      <c r="G1099" s="17" t="s">
        <v>178</v>
      </c>
      <c r="H1099" s="17"/>
      <c r="I1099" s="1" t="str">
        <f t="shared" si="52"/>
        <v/>
      </c>
      <c r="J1099" s="1" t="str">
        <f t="shared" si="51"/>
        <v/>
      </c>
      <c r="K1099" s="1">
        <f t="shared" si="53"/>
        <v>0</v>
      </c>
    </row>
    <row r="1100" spans="4:11" ht="15" customHeight="1">
      <c r="D1100" s="6" t="s">
        <v>120</v>
      </c>
      <c r="E1100" s="7"/>
      <c r="F1100" s="7"/>
      <c r="G1100" s="17" t="s">
        <v>181</v>
      </c>
      <c r="H1100" s="17">
        <v>2</v>
      </c>
      <c r="I1100" s="1">
        <f t="shared" si="52"/>
        <v>-1</v>
      </c>
      <c r="J1100" s="1">
        <f t="shared" si="51"/>
        <v>-0.64380459313690608</v>
      </c>
      <c r="K1100" s="1">
        <f t="shared" si="53"/>
        <v>0.12687516787036501</v>
      </c>
    </row>
    <row r="1101" spans="4:11" ht="15.75" thickBot="1">
      <c r="D1101" s="8"/>
      <c r="E1101" s="15" t="s">
        <v>28</v>
      </c>
      <c r="F1101" s="15" t="s">
        <v>11</v>
      </c>
      <c r="G1101" s="17" t="s">
        <v>178</v>
      </c>
      <c r="H1101" s="17"/>
      <c r="I1101" s="1" t="str">
        <f t="shared" si="52"/>
        <v/>
      </c>
      <c r="J1101" s="1" t="str">
        <f t="shared" si="51"/>
        <v/>
      </c>
      <c r="K1101" s="1">
        <f t="shared" si="53"/>
        <v>0</v>
      </c>
    </row>
    <row r="1102" spans="4:11" ht="15" customHeight="1">
      <c r="D1102" s="6" t="s">
        <v>120</v>
      </c>
      <c r="E1102" s="7"/>
      <c r="F1102" s="7"/>
      <c r="G1102" s="17" t="s">
        <v>181</v>
      </c>
      <c r="H1102" s="17">
        <v>3</v>
      </c>
      <c r="I1102" s="1">
        <f t="shared" si="52"/>
        <v>-2</v>
      </c>
      <c r="J1102" s="1">
        <f t="shared" si="51"/>
        <v>0.71364726017175428</v>
      </c>
      <c r="K1102" s="1">
        <f t="shared" si="53"/>
        <v>7.3638814526376688</v>
      </c>
    </row>
    <row r="1103" spans="4:11" ht="15.75" thickBot="1">
      <c r="D1103" s="8"/>
      <c r="E1103" s="15" t="s">
        <v>23</v>
      </c>
      <c r="F1103" s="15" t="s">
        <v>7</v>
      </c>
      <c r="G1103" s="17" t="s">
        <v>178</v>
      </c>
      <c r="H1103" s="17"/>
      <c r="I1103" s="1" t="str">
        <f t="shared" si="52"/>
        <v/>
      </c>
      <c r="J1103" s="1" t="str">
        <f t="shared" si="51"/>
        <v/>
      </c>
      <c r="K1103" s="1">
        <f t="shared" si="53"/>
        <v>0</v>
      </c>
    </row>
    <row r="1104" spans="4:11" ht="15" customHeight="1">
      <c r="D1104" s="6" t="s">
        <v>120</v>
      </c>
      <c r="E1104" s="7"/>
      <c r="F1104" s="7"/>
      <c r="G1104" s="17" t="s">
        <v>181</v>
      </c>
      <c r="H1104" s="17">
        <v>3</v>
      </c>
      <c r="I1104" s="1">
        <f t="shared" si="52"/>
        <v>-2</v>
      </c>
      <c r="J1104" s="1">
        <f t="shared" si="51"/>
        <v>-0.47719288361058432</v>
      </c>
      <c r="K1104" s="1">
        <f t="shared" si="53"/>
        <v>2.3189415137262475</v>
      </c>
    </row>
    <row r="1105" spans="4:11" ht="15.75" thickBot="1">
      <c r="D1105" s="8"/>
      <c r="E1105" s="15" t="s">
        <v>36</v>
      </c>
      <c r="F1105" s="15" t="s">
        <v>13</v>
      </c>
      <c r="G1105" s="17" t="s">
        <v>178</v>
      </c>
      <c r="H1105" s="17"/>
      <c r="I1105" s="1" t="str">
        <f t="shared" si="52"/>
        <v/>
      </c>
      <c r="J1105" s="1" t="str">
        <f t="shared" si="51"/>
        <v/>
      </c>
      <c r="K1105" s="1">
        <f t="shared" si="53"/>
        <v>0</v>
      </c>
    </row>
    <row r="1106" spans="4:11" ht="18" customHeight="1">
      <c r="D1106" s="6" t="s">
        <v>120</v>
      </c>
      <c r="E1106" s="7"/>
      <c r="F1106" s="7"/>
      <c r="G1106" s="17" t="s">
        <v>182</v>
      </c>
      <c r="H1106" s="17">
        <v>0</v>
      </c>
      <c r="I1106" s="1">
        <f t="shared" si="52"/>
        <v>3</v>
      </c>
      <c r="J1106" s="1">
        <f t="shared" si="51"/>
        <v>0.4868947757543225</v>
      </c>
      <c r="K1106" s="1">
        <f t="shared" si="53"/>
        <v>6.3156978681309166</v>
      </c>
    </row>
    <row r="1107" spans="4:11" ht="15.75" thickBot="1">
      <c r="D1107" s="8"/>
      <c r="E1107" s="15" t="s">
        <v>33</v>
      </c>
      <c r="F1107" s="15" t="s">
        <v>10</v>
      </c>
      <c r="G1107" s="17" t="s">
        <v>178</v>
      </c>
      <c r="H1107" s="17"/>
      <c r="I1107" s="1" t="str">
        <f t="shared" si="52"/>
        <v/>
      </c>
      <c r="J1107" s="1" t="str">
        <f t="shared" si="51"/>
        <v/>
      </c>
      <c r="K1107" s="1">
        <f t="shared" si="53"/>
        <v>0</v>
      </c>
    </row>
    <row r="1108" spans="4:11" ht="18" customHeight="1">
      <c r="D1108" s="6" t="s">
        <v>120</v>
      </c>
      <c r="E1108" s="7"/>
      <c r="F1108" s="7"/>
      <c r="G1108" s="17" t="s">
        <v>179</v>
      </c>
      <c r="H1108" s="17">
        <v>6</v>
      </c>
      <c r="I1108" s="1">
        <f t="shared" si="52"/>
        <v>-6</v>
      </c>
      <c r="J1108" s="1">
        <f t="shared" si="51"/>
        <v>-0.44947490874443474</v>
      </c>
      <c r="K1108" s="1">
        <f t="shared" si="53"/>
        <v>30.808328788657601</v>
      </c>
    </row>
    <row r="1109" spans="4:11" ht="15.75" thickBot="1">
      <c r="D1109" s="8"/>
      <c r="E1109" s="15" t="s">
        <v>26</v>
      </c>
      <c r="F1109" s="15" t="s">
        <v>21</v>
      </c>
      <c r="G1109" s="17" t="s">
        <v>178</v>
      </c>
      <c r="H1109" s="17"/>
      <c r="I1109" s="1" t="str">
        <f t="shared" si="52"/>
        <v/>
      </c>
      <c r="J1109" s="1" t="str">
        <f t="shared" si="51"/>
        <v/>
      </c>
      <c r="K1109" s="1">
        <f t="shared" si="53"/>
        <v>0</v>
      </c>
    </row>
    <row r="1110" spans="4:11" ht="15" customHeight="1">
      <c r="D1110" s="6" t="s">
        <v>120</v>
      </c>
      <c r="E1110" s="7"/>
      <c r="F1110" s="7"/>
      <c r="G1110" s="17" t="s">
        <v>182</v>
      </c>
      <c r="H1110" s="17">
        <v>4</v>
      </c>
      <c r="I1110" s="1">
        <f t="shared" si="52"/>
        <v>-1</v>
      </c>
      <c r="J1110" s="1">
        <f t="shared" si="51"/>
        <v>-0.23764174612047384</v>
      </c>
      <c r="K1110" s="1">
        <f t="shared" si="53"/>
        <v>0.58119010725824005</v>
      </c>
    </row>
    <row r="1111" spans="4:11" ht="15.75" thickBot="1">
      <c r="D1111" s="8"/>
      <c r="E1111" s="15" t="s">
        <v>1</v>
      </c>
      <c r="F1111" s="15" t="s">
        <v>22</v>
      </c>
      <c r="G1111" s="17" t="s">
        <v>178</v>
      </c>
      <c r="H1111" s="17"/>
      <c r="I1111" s="1" t="str">
        <f t="shared" si="52"/>
        <v/>
      </c>
      <c r="J1111" s="1" t="str">
        <f t="shared" si="51"/>
        <v/>
      </c>
      <c r="K1111" s="1">
        <f t="shared" si="53"/>
        <v>0</v>
      </c>
    </row>
    <row r="1112" spans="4:11" ht="15" customHeight="1">
      <c r="D1112" s="6" t="s">
        <v>120</v>
      </c>
      <c r="E1112" s="7"/>
      <c r="F1112" s="7"/>
      <c r="G1112" s="17" t="s">
        <v>182</v>
      </c>
      <c r="H1112" s="17">
        <v>4</v>
      </c>
      <c r="I1112" s="1">
        <f t="shared" si="52"/>
        <v>-1</v>
      </c>
      <c r="J1112" s="1">
        <f t="shared" si="51"/>
        <v>-1.1692314577554157</v>
      </c>
      <c r="K1112" s="1">
        <f t="shared" si="53"/>
        <v>2.8639286294023049E-2</v>
      </c>
    </row>
    <row r="1113" spans="4:11" ht="15.75" thickBot="1">
      <c r="D1113" s="8"/>
      <c r="E1113" s="16" t="s">
        <v>24</v>
      </c>
      <c r="F1113" s="16" t="s">
        <v>4</v>
      </c>
      <c r="G1113" s="17" t="s">
        <v>178</v>
      </c>
      <c r="H1113" s="17"/>
      <c r="I1113" s="1" t="str">
        <f t="shared" si="52"/>
        <v/>
      </c>
      <c r="J1113" s="1" t="str">
        <f t="shared" si="51"/>
        <v/>
      </c>
      <c r="K1113" s="1">
        <f t="shared" si="53"/>
        <v>0</v>
      </c>
    </row>
    <row r="1114" spans="4:11" ht="15" customHeight="1">
      <c r="D1114" s="6" t="s">
        <v>121</v>
      </c>
      <c r="E1114" s="12"/>
      <c r="F1114" s="12"/>
      <c r="G1114" s="17" t="s">
        <v>180</v>
      </c>
      <c r="H1114" s="17">
        <v>3</v>
      </c>
      <c r="I1114" s="1">
        <f t="shared" si="52"/>
        <v>-1</v>
      </c>
      <c r="J1114" s="1">
        <f t="shared" si="51"/>
        <v>0.10811253366662754</v>
      </c>
      <c r="K1114" s="1">
        <f t="shared" si="53"/>
        <v>1.2279133872690728</v>
      </c>
    </row>
    <row r="1115" spans="4:11" ht="30.75" thickBot="1">
      <c r="D1115" s="8"/>
      <c r="E1115" s="15" t="s">
        <v>20</v>
      </c>
      <c r="F1115" s="15" t="s">
        <v>12</v>
      </c>
      <c r="G1115" s="17"/>
      <c r="H1115" s="17"/>
      <c r="I1115" s="1" t="str">
        <f t="shared" si="52"/>
        <v/>
      </c>
      <c r="J1115" s="1" t="str">
        <f t="shared" si="51"/>
        <v/>
      </c>
      <c r="K1115" s="1">
        <f t="shared" si="53"/>
        <v>0</v>
      </c>
    </row>
    <row r="1116" spans="4:11" ht="15" customHeight="1">
      <c r="D1116" s="14" t="s">
        <v>121</v>
      </c>
      <c r="E1116" s="7"/>
      <c r="F1116" s="7"/>
      <c r="G1116" s="17">
        <v>3</v>
      </c>
      <c r="H1116" s="17">
        <v>2</v>
      </c>
      <c r="I1116" s="1">
        <f t="shared" si="52"/>
        <v>1</v>
      </c>
      <c r="J1116" s="1">
        <f t="shared" si="51"/>
        <v>-7.5699655236775243E-2</v>
      </c>
      <c r="K1116" s="1">
        <f t="shared" si="53"/>
        <v>1.157129748276517</v>
      </c>
    </row>
    <row r="1117" spans="4:11" ht="15.75" thickBot="1">
      <c r="D1117" s="8"/>
      <c r="E1117" s="15" t="s">
        <v>34</v>
      </c>
      <c r="F1117" s="15" t="s">
        <v>3</v>
      </c>
      <c r="G1117" s="17"/>
      <c r="H1117" s="17"/>
      <c r="I1117" s="1" t="str">
        <f t="shared" si="52"/>
        <v/>
      </c>
      <c r="J1117" s="1" t="str">
        <f t="shared" si="51"/>
        <v/>
      </c>
      <c r="K1117" s="1">
        <f t="shared" si="53"/>
        <v>0</v>
      </c>
    </row>
    <row r="1118" spans="4:11" ht="18" customHeight="1">
      <c r="D1118" s="6" t="s">
        <v>122</v>
      </c>
      <c r="E1118" s="7"/>
      <c r="F1118" s="7"/>
      <c r="G1118" s="17" t="s">
        <v>180</v>
      </c>
      <c r="H1118" s="17">
        <v>0</v>
      </c>
      <c r="I1118" s="1">
        <f t="shared" si="52"/>
        <v>2</v>
      </c>
      <c r="J1118" s="1">
        <f t="shared" si="51"/>
        <v>1.0871196075546976</v>
      </c>
      <c r="K1118" s="1">
        <f t="shared" si="53"/>
        <v>0.83335061091108931</v>
      </c>
    </row>
    <row r="1119" spans="4:11" ht="15.75" thickBot="1">
      <c r="D1119" s="8"/>
      <c r="E1119" s="15" t="s">
        <v>14</v>
      </c>
      <c r="F1119" s="15" t="s">
        <v>8</v>
      </c>
      <c r="G1119" s="17" t="s">
        <v>178</v>
      </c>
      <c r="H1119" s="17"/>
      <c r="I1119" s="1" t="str">
        <f t="shared" si="52"/>
        <v/>
      </c>
      <c r="J1119" s="1" t="str">
        <f t="shared" si="51"/>
        <v/>
      </c>
      <c r="K1119" s="1">
        <f t="shared" si="53"/>
        <v>0</v>
      </c>
    </row>
    <row r="1120" spans="4:11" ht="15" customHeight="1">
      <c r="D1120" s="6" t="s">
        <v>122</v>
      </c>
      <c r="E1120" s="7"/>
      <c r="F1120" s="7"/>
      <c r="G1120" s="17" t="s">
        <v>184</v>
      </c>
      <c r="H1120" s="17">
        <v>2</v>
      </c>
      <c r="I1120" s="1">
        <f t="shared" si="52"/>
        <v>2</v>
      </c>
      <c r="J1120" s="1">
        <f t="shared" si="51"/>
        <v>0.69662536569096289</v>
      </c>
      <c r="K1120" s="1">
        <f t="shared" si="53"/>
        <v>1.6987854373602163</v>
      </c>
    </row>
    <row r="1121" spans="4:11" ht="15.75" thickBot="1">
      <c r="D1121" s="8"/>
      <c r="E1121" s="15" t="s">
        <v>443</v>
      </c>
      <c r="F1121" s="15" t="s">
        <v>36</v>
      </c>
      <c r="G1121" s="17" t="s">
        <v>178</v>
      </c>
      <c r="H1121" s="17"/>
      <c r="I1121" s="1" t="str">
        <f t="shared" si="52"/>
        <v/>
      </c>
      <c r="J1121" s="1" t="str">
        <f t="shared" si="51"/>
        <v/>
      </c>
      <c r="K1121" s="1">
        <f t="shared" si="53"/>
        <v>0</v>
      </c>
    </row>
    <row r="1122" spans="4:11" ht="15" customHeight="1">
      <c r="D1122" s="6" t="s">
        <v>122</v>
      </c>
      <c r="E1122" s="7"/>
      <c r="F1122" s="7"/>
      <c r="G1122" s="17" t="s">
        <v>182</v>
      </c>
      <c r="H1122" s="17">
        <v>6</v>
      </c>
      <c r="I1122" s="1">
        <f t="shared" si="52"/>
        <v>-3</v>
      </c>
      <c r="J1122" s="1">
        <f t="shared" si="51"/>
        <v>0.26488470665177033</v>
      </c>
      <c r="K1122" s="1">
        <f t="shared" si="53"/>
        <v>10.659472147728616</v>
      </c>
    </row>
    <row r="1123" spans="4:11" ht="15.75" thickBot="1">
      <c r="D1123" s="8"/>
      <c r="E1123" s="15" t="s">
        <v>37</v>
      </c>
      <c r="F1123" s="15" t="s">
        <v>11</v>
      </c>
      <c r="G1123" s="17" t="s">
        <v>178</v>
      </c>
      <c r="H1123" s="17"/>
      <c r="I1123" s="1" t="str">
        <f t="shared" si="52"/>
        <v/>
      </c>
      <c r="J1123" s="1" t="str">
        <f t="shared" si="51"/>
        <v/>
      </c>
      <c r="K1123" s="1">
        <f t="shared" si="53"/>
        <v>0</v>
      </c>
    </row>
    <row r="1124" spans="4:11" ht="15" customHeight="1">
      <c r="D1124" s="6" t="s">
        <v>122</v>
      </c>
      <c r="E1124" s="7"/>
      <c r="F1124" s="7"/>
      <c r="G1124" s="17" t="s">
        <v>181</v>
      </c>
      <c r="H1124" s="17">
        <v>2</v>
      </c>
      <c r="I1124" s="1">
        <f t="shared" si="52"/>
        <v>-1</v>
      </c>
      <c r="J1124" s="1">
        <f t="shared" si="51"/>
        <v>9.5670961109846075E-2</v>
      </c>
      <c r="K1124" s="1">
        <f t="shared" si="53"/>
        <v>1.2004948550193739</v>
      </c>
    </row>
    <row r="1125" spans="4:11" ht="15.75" thickBot="1">
      <c r="D1125" s="8"/>
      <c r="E1125" s="15" t="s">
        <v>1</v>
      </c>
      <c r="F1125" s="15" t="s">
        <v>28</v>
      </c>
      <c r="G1125" s="17" t="s">
        <v>178</v>
      </c>
      <c r="H1125" s="17"/>
      <c r="I1125" s="1" t="str">
        <f t="shared" si="52"/>
        <v/>
      </c>
      <c r="J1125" s="1" t="str">
        <f t="shared" si="51"/>
        <v/>
      </c>
      <c r="K1125" s="1">
        <f t="shared" si="53"/>
        <v>0</v>
      </c>
    </row>
    <row r="1126" spans="4:11" ht="15" customHeight="1">
      <c r="D1126" s="6" t="s">
        <v>122</v>
      </c>
      <c r="E1126" s="7"/>
      <c r="F1126" s="7"/>
      <c r="G1126" s="17" t="s">
        <v>181</v>
      </c>
      <c r="H1126" s="17">
        <v>3</v>
      </c>
      <c r="I1126" s="1">
        <f t="shared" si="52"/>
        <v>-2</v>
      </c>
      <c r="J1126" s="1">
        <f t="shared" si="51"/>
        <v>-0.97157304494095342</v>
      </c>
      <c r="K1126" s="1">
        <f t="shared" si="53"/>
        <v>1.0576620018920222</v>
      </c>
    </row>
    <row r="1127" spans="4:11" ht="15.75" thickBot="1">
      <c r="D1127" s="8"/>
      <c r="E1127" s="15" t="s">
        <v>0</v>
      </c>
      <c r="F1127" s="15" t="s">
        <v>23</v>
      </c>
      <c r="G1127" s="17" t="s">
        <v>178</v>
      </c>
      <c r="H1127" s="17"/>
      <c r="I1127" s="1" t="str">
        <f t="shared" si="52"/>
        <v/>
      </c>
      <c r="J1127" s="1" t="str">
        <f t="shared" si="51"/>
        <v/>
      </c>
      <c r="K1127" s="1">
        <f t="shared" si="53"/>
        <v>0</v>
      </c>
    </row>
    <row r="1128" spans="4:11" ht="15" customHeight="1">
      <c r="D1128" s="6" t="s">
        <v>122</v>
      </c>
      <c r="E1128" s="7"/>
      <c r="F1128" s="7"/>
      <c r="G1128" s="17" t="s">
        <v>181</v>
      </c>
      <c r="H1128" s="17">
        <v>2</v>
      </c>
      <c r="I1128" s="1">
        <f t="shared" si="52"/>
        <v>-1</v>
      </c>
      <c r="J1128" s="1">
        <f t="shared" si="51"/>
        <v>-0.84805902169064495</v>
      </c>
      <c r="K1128" s="1">
        <f t="shared" si="53"/>
        <v>2.3086060889603899E-2</v>
      </c>
    </row>
    <row r="1129" spans="4:11" ht="15.75" thickBot="1">
      <c r="D1129" s="8"/>
      <c r="E1129" s="15" t="s">
        <v>24</v>
      </c>
      <c r="F1129" s="15" t="s">
        <v>22</v>
      </c>
      <c r="G1129" s="17" t="s">
        <v>178</v>
      </c>
      <c r="H1129" s="17"/>
      <c r="I1129" s="1" t="str">
        <f t="shared" si="52"/>
        <v/>
      </c>
      <c r="J1129" s="1" t="str">
        <f t="shared" si="51"/>
        <v/>
      </c>
      <c r="K1129" s="1">
        <f t="shared" si="53"/>
        <v>0</v>
      </c>
    </row>
    <row r="1130" spans="4:11" ht="15" customHeight="1">
      <c r="D1130" s="6" t="s">
        <v>122</v>
      </c>
      <c r="E1130" s="7"/>
      <c r="F1130" s="7"/>
      <c r="G1130" s="17" t="s">
        <v>180</v>
      </c>
      <c r="H1130" s="17">
        <v>1</v>
      </c>
      <c r="I1130" s="1">
        <f t="shared" si="52"/>
        <v>1</v>
      </c>
      <c r="J1130" s="1">
        <f t="shared" si="51"/>
        <v>0.25310767117566968</v>
      </c>
      <c r="K1130" s="1">
        <f t="shared" si="53"/>
        <v>0.55784815085663153</v>
      </c>
    </row>
    <row r="1131" spans="4:11" ht="15.75" thickBot="1">
      <c r="D1131" s="8"/>
      <c r="E1131" s="15" t="s">
        <v>41</v>
      </c>
      <c r="F1131" s="15" t="s">
        <v>4</v>
      </c>
      <c r="G1131" s="17" t="s">
        <v>178</v>
      </c>
      <c r="H1131" s="17"/>
      <c r="I1131" s="1" t="str">
        <f t="shared" si="52"/>
        <v/>
      </c>
      <c r="J1131" s="1" t="str">
        <f t="shared" si="51"/>
        <v/>
      </c>
      <c r="K1131" s="1">
        <f t="shared" si="53"/>
        <v>0</v>
      </c>
    </row>
    <row r="1132" spans="4:11" ht="18" customHeight="1">
      <c r="D1132" s="6" t="s">
        <v>122</v>
      </c>
      <c r="E1132" s="7"/>
      <c r="F1132" s="7"/>
      <c r="G1132" s="17" t="s">
        <v>182</v>
      </c>
      <c r="H1132" s="17">
        <v>4</v>
      </c>
      <c r="I1132" s="1">
        <f t="shared" si="52"/>
        <v>-1</v>
      </c>
      <c r="J1132" s="1">
        <f t="shared" si="51"/>
        <v>1.0357403496314816</v>
      </c>
      <c r="K1132" s="1">
        <f t="shared" si="53"/>
        <v>4.1442387711177071</v>
      </c>
    </row>
    <row r="1133" spans="4:11" ht="15.75" thickBot="1">
      <c r="D1133" s="8"/>
      <c r="E1133" s="15" t="s">
        <v>39</v>
      </c>
      <c r="F1133" s="15" t="s">
        <v>10</v>
      </c>
      <c r="G1133" s="17" t="s">
        <v>178</v>
      </c>
      <c r="H1133" s="17"/>
      <c r="I1133" s="1" t="str">
        <f t="shared" si="52"/>
        <v/>
      </c>
      <c r="J1133" s="1" t="str">
        <f t="shared" si="51"/>
        <v/>
      </c>
      <c r="K1133" s="1">
        <f t="shared" si="53"/>
        <v>0</v>
      </c>
    </row>
    <row r="1134" spans="4:11" ht="18" customHeight="1">
      <c r="D1134" s="6" t="s">
        <v>123</v>
      </c>
      <c r="E1134" s="7"/>
      <c r="F1134" s="7"/>
      <c r="G1134" s="17" t="s">
        <v>182</v>
      </c>
      <c r="H1134" s="17">
        <v>2</v>
      </c>
      <c r="I1134" s="1">
        <f t="shared" si="52"/>
        <v>1</v>
      </c>
      <c r="J1134" s="1">
        <f t="shared" si="51"/>
        <v>9.5944586461243375E-2</v>
      </c>
      <c r="K1134" s="1">
        <f t="shared" si="53"/>
        <v>0.8173161907487323</v>
      </c>
    </row>
    <row r="1135" spans="4:11" ht="15.75" thickBot="1">
      <c r="D1135" s="8"/>
      <c r="E1135" s="15" t="s">
        <v>18</v>
      </c>
      <c r="F1135" s="15" t="s">
        <v>2</v>
      </c>
      <c r="G1135" s="17" t="s">
        <v>178</v>
      </c>
      <c r="H1135" s="17"/>
      <c r="I1135" s="1" t="str">
        <f t="shared" si="52"/>
        <v/>
      </c>
      <c r="J1135" s="1" t="str">
        <f t="shared" si="51"/>
        <v/>
      </c>
      <c r="K1135" s="1">
        <f t="shared" si="53"/>
        <v>0</v>
      </c>
    </row>
    <row r="1136" spans="4:11" ht="15" customHeight="1">
      <c r="D1136" s="6" t="s">
        <v>123</v>
      </c>
      <c r="E1136" s="7"/>
      <c r="F1136" s="7"/>
      <c r="G1136" s="17" t="s">
        <v>186</v>
      </c>
      <c r="H1136" s="17">
        <v>6</v>
      </c>
      <c r="I1136" s="1">
        <f t="shared" si="52"/>
        <v>1</v>
      </c>
      <c r="J1136" s="1">
        <f t="shared" si="51"/>
        <v>0.31201465963127362</v>
      </c>
      <c r="K1136" s="1">
        <f t="shared" si="53"/>
        <v>0.47332382856227229</v>
      </c>
    </row>
    <row r="1137" spans="4:11" ht="15.75" thickBot="1">
      <c r="D1137" s="8"/>
      <c r="E1137" s="15" t="s">
        <v>19</v>
      </c>
      <c r="F1137" s="15" t="s">
        <v>34</v>
      </c>
      <c r="G1137" s="17" t="s">
        <v>178</v>
      </c>
      <c r="H1137" s="17"/>
      <c r="I1137" s="1" t="str">
        <f t="shared" si="52"/>
        <v/>
      </c>
      <c r="J1137" s="1" t="str">
        <f t="shared" si="51"/>
        <v/>
      </c>
      <c r="K1137" s="1">
        <f t="shared" si="53"/>
        <v>0</v>
      </c>
    </row>
    <row r="1138" spans="4:11" ht="15" customHeight="1">
      <c r="D1138" s="6" t="s">
        <v>123</v>
      </c>
      <c r="E1138" s="7"/>
      <c r="F1138" s="7"/>
      <c r="G1138" s="17" t="s">
        <v>180</v>
      </c>
      <c r="H1138" s="17">
        <v>5</v>
      </c>
      <c r="I1138" s="1">
        <f t="shared" si="52"/>
        <v>-3</v>
      </c>
      <c r="J1138" s="1">
        <f t="shared" si="51"/>
        <v>7.995067162934788E-2</v>
      </c>
      <c r="K1138" s="1">
        <f t="shared" si="53"/>
        <v>9.4860961396700709</v>
      </c>
    </row>
    <row r="1139" spans="4:11" ht="15.75" thickBot="1">
      <c r="D1139" s="8"/>
      <c r="E1139" s="15" t="s">
        <v>1</v>
      </c>
      <c r="F1139" s="15" t="s">
        <v>36</v>
      </c>
      <c r="G1139" s="17" t="s">
        <v>178</v>
      </c>
      <c r="H1139" s="17"/>
      <c r="I1139" s="1" t="str">
        <f t="shared" si="52"/>
        <v/>
      </c>
      <c r="J1139" s="1" t="str">
        <f t="shared" si="51"/>
        <v/>
      </c>
      <c r="K1139" s="1">
        <f t="shared" si="53"/>
        <v>0</v>
      </c>
    </row>
    <row r="1140" spans="4:11" ht="15" customHeight="1">
      <c r="D1140" s="6" t="s">
        <v>123</v>
      </c>
      <c r="E1140" s="7"/>
      <c r="F1140" s="7"/>
      <c r="G1140" s="17" t="s">
        <v>181</v>
      </c>
      <c r="H1140" s="17">
        <v>6</v>
      </c>
      <c r="I1140" s="1">
        <f t="shared" si="52"/>
        <v>-5</v>
      </c>
      <c r="J1140" s="1">
        <f t="shared" si="51"/>
        <v>-1.8886734790600883</v>
      </c>
      <c r="K1140" s="1">
        <f t="shared" si="53"/>
        <v>9.6803527199040555</v>
      </c>
    </row>
    <row r="1141" spans="4:11" ht="15.75" thickBot="1">
      <c r="D1141" s="8"/>
      <c r="E1141" s="15" t="s">
        <v>8</v>
      </c>
      <c r="F1141" s="15" t="s">
        <v>38</v>
      </c>
      <c r="G1141" s="17" t="s">
        <v>178</v>
      </c>
      <c r="H1141" s="17"/>
      <c r="I1141" s="1" t="str">
        <f t="shared" si="52"/>
        <v/>
      </c>
      <c r="J1141" s="1" t="str">
        <f t="shared" si="51"/>
        <v/>
      </c>
      <c r="K1141" s="1">
        <f t="shared" si="53"/>
        <v>0</v>
      </c>
    </row>
    <row r="1142" spans="4:11" ht="15" customHeight="1">
      <c r="D1142" s="6" t="s">
        <v>123</v>
      </c>
      <c r="E1142" s="7"/>
      <c r="F1142" s="7"/>
      <c r="G1142" s="17" t="s">
        <v>184</v>
      </c>
      <c r="H1142" s="17">
        <v>1</v>
      </c>
      <c r="I1142" s="1">
        <f t="shared" si="52"/>
        <v>3</v>
      </c>
      <c r="J1142" s="1">
        <f t="shared" si="51"/>
        <v>6.8541062034555011E-2</v>
      </c>
      <c r="K1142" s="1">
        <f t="shared" si="53"/>
        <v>8.5934515049774944</v>
      </c>
    </row>
    <row r="1143" spans="4:11" ht="15.75" thickBot="1">
      <c r="D1143" s="8"/>
      <c r="E1143" s="15" t="s">
        <v>443</v>
      </c>
      <c r="F1143" s="15" t="s">
        <v>11</v>
      </c>
      <c r="G1143" s="17" t="s">
        <v>178</v>
      </c>
      <c r="H1143" s="17"/>
      <c r="I1143" s="1" t="str">
        <f t="shared" si="52"/>
        <v/>
      </c>
      <c r="J1143" s="1" t="str">
        <f t="shared" si="51"/>
        <v/>
      </c>
      <c r="K1143" s="1">
        <f t="shared" si="53"/>
        <v>0</v>
      </c>
    </row>
    <row r="1144" spans="4:11" ht="15" customHeight="1">
      <c r="D1144" s="6" t="s">
        <v>123</v>
      </c>
      <c r="E1144" s="7"/>
      <c r="F1144" s="7"/>
      <c r="G1144" s="17" t="s">
        <v>181</v>
      </c>
      <c r="H1144" s="17">
        <v>5</v>
      </c>
      <c r="I1144" s="1">
        <f t="shared" si="52"/>
        <v>-4</v>
      </c>
      <c r="J1144" s="1">
        <f t="shared" si="51"/>
        <v>-0.75298986943872137</v>
      </c>
      <c r="K1144" s="1">
        <f t="shared" si="53"/>
        <v>10.543074787967571</v>
      </c>
    </row>
    <row r="1145" spans="4:11" ht="15.75" thickBot="1">
      <c r="D1145" s="8"/>
      <c r="E1145" s="15" t="s">
        <v>0</v>
      </c>
      <c r="F1145" s="15" t="s">
        <v>25</v>
      </c>
      <c r="G1145" s="17" t="s">
        <v>178</v>
      </c>
      <c r="H1145" s="17"/>
      <c r="I1145" s="1" t="str">
        <f t="shared" si="52"/>
        <v/>
      </c>
      <c r="J1145" s="1" t="str">
        <f t="shared" si="51"/>
        <v/>
      </c>
      <c r="K1145" s="1">
        <f t="shared" si="53"/>
        <v>0</v>
      </c>
    </row>
    <row r="1146" spans="4:11" ht="15" customHeight="1">
      <c r="D1146" s="6" t="s">
        <v>123</v>
      </c>
      <c r="E1146" s="7"/>
      <c r="F1146" s="7"/>
      <c r="G1146" s="17" t="s">
        <v>181</v>
      </c>
      <c r="H1146" s="17">
        <v>7</v>
      </c>
      <c r="I1146" s="1">
        <f t="shared" si="52"/>
        <v>-6</v>
      </c>
      <c r="J1146" s="1">
        <f t="shared" si="51"/>
        <v>0.49449395946012942</v>
      </c>
      <c r="K1146" s="1">
        <f t="shared" si="53"/>
        <v>42.178451789464113</v>
      </c>
    </row>
    <row r="1147" spans="4:11" ht="15.75" thickBot="1">
      <c r="D1147" s="8"/>
      <c r="E1147" s="15" t="s">
        <v>23</v>
      </c>
      <c r="F1147" s="15" t="s">
        <v>21</v>
      </c>
      <c r="G1147" s="17" t="s">
        <v>178</v>
      </c>
      <c r="H1147" s="17"/>
      <c r="I1147" s="1" t="str">
        <f t="shared" si="52"/>
        <v/>
      </c>
      <c r="J1147" s="1" t="str">
        <f t="shared" si="51"/>
        <v/>
      </c>
      <c r="K1147" s="1">
        <f t="shared" si="53"/>
        <v>0</v>
      </c>
    </row>
    <row r="1148" spans="4:11" ht="15" customHeight="1">
      <c r="D1148" s="6" t="s">
        <v>123</v>
      </c>
      <c r="E1148" s="7"/>
      <c r="F1148" s="7"/>
      <c r="G1148" s="17" t="s">
        <v>182</v>
      </c>
      <c r="H1148" s="17">
        <v>6</v>
      </c>
      <c r="I1148" s="1">
        <f t="shared" si="52"/>
        <v>-3</v>
      </c>
      <c r="J1148" s="1">
        <f t="shared" si="51"/>
        <v>0.23032160803280988</v>
      </c>
      <c r="K1148" s="1">
        <f t="shared" si="53"/>
        <v>10.434977691323679</v>
      </c>
    </row>
    <row r="1149" spans="4:11" ht="15.75" thickBot="1">
      <c r="D1149" s="8"/>
      <c r="E1149" s="15" t="s">
        <v>7</v>
      </c>
      <c r="F1149" s="15" t="s">
        <v>26</v>
      </c>
      <c r="G1149" s="17" t="s">
        <v>178</v>
      </c>
      <c r="H1149" s="17"/>
      <c r="I1149" s="1" t="str">
        <f t="shared" si="52"/>
        <v/>
      </c>
      <c r="J1149" s="1" t="str">
        <f t="shared" si="51"/>
        <v/>
      </c>
      <c r="K1149" s="1">
        <f t="shared" si="53"/>
        <v>0</v>
      </c>
    </row>
    <row r="1150" spans="4:11" ht="15" customHeight="1">
      <c r="D1150" s="6" t="s">
        <v>123</v>
      </c>
      <c r="E1150" s="7"/>
      <c r="F1150" s="7"/>
      <c r="G1150" s="17" t="s">
        <v>181</v>
      </c>
      <c r="H1150" s="17">
        <v>4</v>
      </c>
      <c r="I1150" s="1">
        <f t="shared" si="52"/>
        <v>-3</v>
      </c>
      <c r="J1150" s="1">
        <f t="shared" si="51"/>
        <v>-5.0039022269046995E-2</v>
      </c>
      <c r="K1150" s="1">
        <f t="shared" si="53"/>
        <v>8.7022697701353611</v>
      </c>
    </row>
    <row r="1151" spans="4:11" ht="15.75" thickBot="1">
      <c r="D1151" s="8"/>
      <c r="E1151" s="15" t="s">
        <v>13</v>
      </c>
      <c r="F1151" s="15" t="s">
        <v>3</v>
      </c>
      <c r="G1151" s="17" t="s">
        <v>178</v>
      </c>
      <c r="H1151" s="17"/>
      <c r="I1151" s="1" t="str">
        <f t="shared" si="52"/>
        <v/>
      </c>
      <c r="J1151" s="1" t="str">
        <f t="shared" si="51"/>
        <v/>
      </c>
      <c r="K1151" s="1">
        <f t="shared" si="53"/>
        <v>0</v>
      </c>
    </row>
    <row r="1152" spans="4:11" ht="18" customHeight="1">
      <c r="D1152" s="6" t="s">
        <v>123</v>
      </c>
      <c r="E1152" s="7"/>
      <c r="F1152" s="7"/>
      <c r="G1152" s="17" t="s">
        <v>186</v>
      </c>
      <c r="H1152" s="17">
        <v>2</v>
      </c>
      <c r="I1152" s="1">
        <f t="shared" si="52"/>
        <v>5</v>
      </c>
      <c r="J1152" s="1">
        <f t="shared" si="51"/>
        <v>0.54884557387715915</v>
      </c>
      <c r="K1152" s="1">
        <f t="shared" si="53"/>
        <v>19.812775725192957</v>
      </c>
    </row>
    <row r="1153" spans="4:11" ht="15.75" thickBot="1">
      <c r="D1153" s="8"/>
      <c r="E1153" s="15" t="s">
        <v>39</v>
      </c>
      <c r="F1153" s="15" t="s">
        <v>33</v>
      </c>
      <c r="G1153" s="17" t="s">
        <v>178</v>
      </c>
      <c r="H1153" s="17"/>
      <c r="I1153" s="1" t="str">
        <f t="shared" si="52"/>
        <v/>
      </c>
      <c r="J1153" s="1" t="str">
        <f t="shared" si="51"/>
        <v/>
      </c>
      <c r="K1153" s="1">
        <f t="shared" si="53"/>
        <v>0</v>
      </c>
    </row>
    <row r="1154" spans="4:11" ht="15" customHeight="1">
      <c r="D1154" s="6" t="s">
        <v>124</v>
      </c>
      <c r="E1154" s="7"/>
      <c r="F1154" s="7"/>
      <c r="G1154" s="17" t="s">
        <v>181</v>
      </c>
      <c r="H1154" s="17">
        <v>2</v>
      </c>
      <c r="I1154" s="1">
        <f t="shared" si="52"/>
        <v>-1</v>
      </c>
      <c r="J1154" s="1">
        <f t="shared" si="51"/>
        <v>0.42893206971533004</v>
      </c>
      <c r="K1154" s="1">
        <f t="shared" si="53"/>
        <v>2.0418468598609367</v>
      </c>
    </row>
    <row r="1155" spans="4:11" ht="15.75" thickBot="1">
      <c r="D1155" s="8"/>
      <c r="E1155" s="15" t="s">
        <v>2</v>
      </c>
      <c r="F1155" s="15" t="s">
        <v>28</v>
      </c>
      <c r="G1155" s="17" t="s">
        <v>178</v>
      </c>
      <c r="H1155" s="17"/>
      <c r="I1155" s="1" t="str">
        <f t="shared" si="52"/>
        <v/>
      </c>
      <c r="J1155" s="1" t="str">
        <f t="shared" ref="J1155:J1218" si="54">IF(F1156="","",VLOOKUP(F1156,$A$2:$B$31,2)+$B$33-VLOOKUP(E1156,$A$2:$B$31,2))</f>
        <v/>
      </c>
      <c r="K1155" s="1">
        <f t="shared" si="53"/>
        <v>0</v>
      </c>
    </row>
    <row r="1156" spans="4:11" ht="15" customHeight="1">
      <c r="D1156" s="6" t="s">
        <v>124</v>
      </c>
      <c r="E1156" s="7"/>
      <c r="F1156" s="7"/>
      <c r="G1156" s="17" t="s">
        <v>182</v>
      </c>
      <c r="H1156" s="17">
        <v>4</v>
      </c>
      <c r="I1156" s="1">
        <f t="shared" ref="I1156:I1219" si="55">IF(G1156="","",G1156-H1156)</f>
        <v>-1</v>
      </c>
      <c r="J1156" s="1">
        <f t="shared" si="54"/>
        <v>-0.7004156291640129</v>
      </c>
      <c r="K1156" s="1">
        <f t="shared" ref="K1156:K1219" si="56">IF(J1156="",0,(I1156-J1156)^2)</f>
        <v>8.9750795249194243E-2</v>
      </c>
    </row>
    <row r="1157" spans="4:11" ht="30.75" thickBot="1">
      <c r="D1157" s="8"/>
      <c r="E1157" s="15" t="s">
        <v>14</v>
      </c>
      <c r="F1157" s="15" t="s">
        <v>12</v>
      </c>
      <c r="G1157" s="17" t="s">
        <v>178</v>
      </c>
      <c r="H1157" s="17"/>
      <c r="I1157" s="1" t="str">
        <f t="shared" si="55"/>
        <v/>
      </c>
      <c r="J1157" s="1" t="str">
        <f t="shared" si="54"/>
        <v/>
      </c>
      <c r="K1157" s="1">
        <f t="shared" si="56"/>
        <v>0</v>
      </c>
    </row>
    <row r="1158" spans="4:11" ht="15" customHeight="1">
      <c r="D1158" s="6" t="s">
        <v>124</v>
      </c>
      <c r="E1158" s="7"/>
      <c r="F1158" s="7"/>
      <c r="G1158" s="17" t="s">
        <v>184</v>
      </c>
      <c r="H1158" s="17">
        <v>2</v>
      </c>
      <c r="I1158" s="1">
        <f t="shared" si="55"/>
        <v>2</v>
      </c>
      <c r="J1158" s="1">
        <f t="shared" si="54"/>
        <v>0.38381264361210299</v>
      </c>
      <c r="K1158" s="1">
        <f t="shared" si="56"/>
        <v>2.6120615709480992</v>
      </c>
    </row>
    <row r="1159" spans="4:11" ht="15.75" thickBot="1">
      <c r="D1159" s="8"/>
      <c r="E1159" s="15" t="s">
        <v>37</v>
      </c>
      <c r="F1159" s="15" t="s">
        <v>18</v>
      </c>
      <c r="G1159" s="17" t="s">
        <v>178</v>
      </c>
      <c r="H1159" s="17"/>
      <c r="I1159" s="1" t="str">
        <f t="shared" si="55"/>
        <v/>
      </c>
      <c r="J1159" s="1" t="str">
        <f t="shared" si="54"/>
        <v/>
      </c>
      <c r="K1159" s="1">
        <f t="shared" si="56"/>
        <v>0</v>
      </c>
    </row>
    <row r="1160" spans="4:11" ht="18" customHeight="1">
      <c r="D1160" s="6" t="s">
        <v>124</v>
      </c>
      <c r="E1160" s="7"/>
      <c r="F1160" s="7"/>
      <c r="G1160" s="17" t="s">
        <v>184</v>
      </c>
      <c r="H1160" s="17">
        <v>5</v>
      </c>
      <c r="I1160" s="1">
        <f t="shared" si="55"/>
        <v>-1</v>
      </c>
      <c r="J1160" s="1">
        <f t="shared" si="54"/>
        <v>-0.6204359672454558</v>
      </c>
      <c r="K1160" s="1">
        <f t="shared" si="56"/>
        <v>0.14406885496089269</v>
      </c>
    </row>
    <row r="1161" spans="4:11" ht="15.75" thickBot="1">
      <c r="D1161" s="8"/>
      <c r="E1161" s="15" t="s">
        <v>21</v>
      </c>
      <c r="F1161" s="15" t="s">
        <v>20</v>
      </c>
      <c r="G1161" s="17" t="s">
        <v>178</v>
      </c>
      <c r="H1161" s="17"/>
      <c r="I1161" s="1" t="str">
        <f t="shared" si="55"/>
        <v/>
      </c>
      <c r="J1161" s="1" t="str">
        <f t="shared" si="54"/>
        <v/>
      </c>
      <c r="K1161" s="1">
        <f t="shared" si="56"/>
        <v>0</v>
      </c>
    </row>
    <row r="1162" spans="4:11" ht="15" customHeight="1">
      <c r="D1162" s="6" t="s">
        <v>124</v>
      </c>
      <c r="E1162" s="7"/>
      <c r="F1162" s="7"/>
      <c r="G1162" s="17" t="s">
        <v>184</v>
      </c>
      <c r="H1162" s="17">
        <v>3</v>
      </c>
      <c r="I1162" s="1">
        <f t="shared" si="55"/>
        <v>1</v>
      </c>
      <c r="J1162" s="1">
        <f t="shared" si="54"/>
        <v>-0.2583348693913905</v>
      </c>
      <c r="K1162" s="1">
        <f t="shared" si="56"/>
        <v>1.5834066435262477</v>
      </c>
    </row>
    <row r="1163" spans="4:11" ht="15.75" thickBot="1">
      <c r="D1163" s="8"/>
      <c r="E1163" s="15" t="s">
        <v>7</v>
      </c>
      <c r="F1163" s="15" t="s">
        <v>22</v>
      </c>
      <c r="G1163" s="17" t="s">
        <v>178</v>
      </c>
      <c r="H1163" s="17"/>
      <c r="I1163" s="1" t="str">
        <f t="shared" si="55"/>
        <v/>
      </c>
      <c r="J1163" s="1" t="str">
        <f t="shared" si="54"/>
        <v/>
      </c>
      <c r="K1163" s="1">
        <f t="shared" si="56"/>
        <v>0</v>
      </c>
    </row>
    <row r="1164" spans="4:11" ht="18" customHeight="1">
      <c r="D1164" s="6" t="s">
        <v>124</v>
      </c>
      <c r="E1164" s="7"/>
      <c r="F1164" s="7"/>
      <c r="G1164" s="17" t="s">
        <v>182</v>
      </c>
      <c r="H1164" s="17">
        <v>4</v>
      </c>
      <c r="I1164" s="1">
        <f t="shared" si="55"/>
        <v>-1</v>
      </c>
      <c r="J1164" s="1">
        <f t="shared" si="54"/>
        <v>0.93461096994850834</v>
      </c>
      <c r="K1164" s="1">
        <f t="shared" si="56"/>
        <v>3.7427196050451084</v>
      </c>
    </row>
    <row r="1165" spans="4:11" ht="15.75" thickBot="1">
      <c r="D1165" s="8"/>
      <c r="E1165" s="15" t="s">
        <v>19</v>
      </c>
      <c r="F1165" s="15" t="s">
        <v>10</v>
      </c>
      <c r="G1165" s="17" t="s">
        <v>178</v>
      </c>
      <c r="H1165" s="17"/>
      <c r="I1165" s="1" t="str">
        <f t="shared" si="55"/>
        <v/>
      </c>
      <c r="J1165" s="1" t="str">
        <f t="shared" si="54"/>
        <v/>
      </c>
      <c r="K1165" s="1">
        <f t="shared" si="56"/>
        <v>0</v>
      </c>
    </row>
    <row r="1166" spans="4:11" ht="15" customHeight="1">
      <c r="D1166" s="6" t="s">
        <v>124</v>
      </c>
      <c r="E1166" s="7"/>
      <c r="F1166" s="7"/>
      <c r="G1166" s="17" t="s">
        <v>180</v>
      </c>
      <c r="H1166" s="17">
        <v>5</v>
      </c>
      <c r="I1166" s="1">
        <f t="shared" si="55"/>
        <v>-3</v>
      </c>
      <c r="J1166" s="1">
        <f t="shared" si="54"/>
        <v>1.4223391289310854</v>
      </c>
      <c r="K1166" s="1">
        <f t="shared" si="56"/>
        <v>19.557083371274953</v>
      </c>
    </row>
    <row r="1167" spans="4:11" ht="15.75" thickBot="1">
      <c r="D1167" s="8"/>
      <c r="E1167" s="15" t="s">
        <v>41</v>
      </c>
      <c r="F1167" s="15" t="s">
        <v>24</v>
      </c>
      <c r="G1167" s="17" t="s">
        <v>178</v>
      </c>
      <c r="H1167" s="17"/>
      <c r="I1167" s="1" t="str">
        <f t="shared" si="55"/>
        <v/>
      </c>
      <c r="J1167" s="1" t="str">
        <f t="shared" si="54"/>
        <v/>
      </c>
      <c r="K1167" s="1">
        <f t="shared" si="56"/>
        <v>0</v>
      </c>
    </row>
    <row r="1168" spans="4:11" ht="15" customHeight="1">
      <c r="D1168" s="6" t="s">
        <v>125</v>
      </c>
      <c r="E1168" s="7"/>
      <c r="F1168" s="7"/>
      <c r="G1168" s="17" t="s">
        <v>182</v>
      </c>
      <c r="H1168" s="17">
        <v>2</v>
      </c>
      <c r="I1168" s="1">
        <f t="shared" si="55"/>
        <v>1</v>
      </c>
      <c r="J1168" s="1">
        <f t="shared" si="54"/>
        <v>-0.23849091694800961</v>
      </c>
      <c r="K1168" s="1">
        <f t="shared" si="56"/>
        <v>1.5338597513627217</v>
      </c>
    </row>
    <row r="1169" spans="4:11" ht="15.75" thickBot="1">
      <c r="D1169" s="8"/>
      <c r="E1169" s="15" t="s">
        <v>33</v>
      </c>
      <c r="F1169" s="15" t="s">
        <v>25</v>
      </c>
      <c r="G1169" s="17" t="s">
        <v>178</v>
      </c>
      <c r="H1169" s="17"/>
      <c r="I1169" s="1" t="str">
        <f t="shared" si="55"/>
        <v/>
      </c>
      <c r="J1169" s="1" t="str">
        <f t="shared" si="54"/>
        <v/>
      </c>
      <c r="K1169" s="1">
        <f t="shared" si="56"/>
        <v>0</v>
      </c>
    </row>
    <row r="1170" spans="4:11" ht="15" customHeight="1">
      <c r="D1170" s="6" t="s">
        <v>126</v>
      </c>
      <c r="E1170" s="7"/>
      <c r="F1170" s="7"/>
      <c r="G1170" s="17" t="s">
        <v>181</v>
      </c>
      <c r="H1170" s="17">
        <v>4</v>
      </c>
      <c r="I1170" s="1">
        <f t="shared" si="55"/>
        <v>-3</v>
      </c>
      <c r="J1170" s="1">
        <f t="shared" si="54"/>
        <v>-0.99680095406982616</v>
      </c>
      <c r="K1170" s="1">
        <f t="shared" si="56"/>
        <v>4.0128064176155585</v>
      </c>
    </row>
    <row r="1171" spans="4:11" ht="15.75" thickBot="1">
      <c r="D1171" s="8"/>
      <c r="E1171" s="15" t="s">
        <v>8</v>
      </c>
      <c r="F1171" s="15" t="s">
        <v>36</v>
      </c>
      <c r="G1171" s="17" t="s">
        <v>178</v>
      </c>
      <c r="H1171" s="17"/>
      <c r="I1171" s="1" t="str">
        <f t="shared" si="55"/>
        <v/>
      </c>
      <c r="J1171" s="1" t="str">
        <f t="shared" si="54"/>
        <v/>
      </c>
      <c r="K1171" s="1">
        <f t="shared" si="56"/>
        <v>0</v>
      </c>
    </row>
    <row r="1172" spans="4:11" ht="15" customHeight="1">
      <c r="D1172" s="6" t="s">
        <v>126</v>
      </c>
      <c r="E1172" s="7"/>
      <c r="F1172" s="7"/>
      <c r="G1172" s="17" t="s">
        <v>181</v>
      </c>
      <c r="H1172" s="17">
        <v>2</v>
      </c>
      <c r="I1172" s="1">
        <f t="shared" si="55"/>
        <v>-1</v>
      </c>
      <c r="J1172" s="1">
        <f t="shared" si="54"/>
        <v>0.42920569506672734</v>
      </c>
      <c r="K1172" s="1">
        <f t="shared" si="56"/>
        <v>2.0426289188111673</v>
      </c>
    </row>
    <row r="1173" spans="4:11" ht="30.75" thickBot="1">
      <c r="D1173" s="8"/>
      <c r="E1173" s="15" t="s">
        <v>18</v>
      </c>
      <c r="F1173" s="15" t="s">
        <v>1</v>
      </c>
      <c r="G1173" s="17" t="s">
        <v>178</v>
      </c>
      <c r="H1173" s="17"/>
      <c r="I1173" s="1" t="str">
        <f t="shared" si="55"/>
        <v/>
      </c>
      <c r="J1173" s="1" t="str">
        <f t="shared" si="54"/>
        <v/>
      </c>
      <c r="K1173" s="1">
        <f t="shared" si="56"/>
        <v>0</v>
      </c>
    </row>
    <row r="1174" spans="4:11" ht="15" customHeight="1">
      <c r="D1174" s="6" t="s">
        <v>126</v>
      </c>
      <c r="E1174" s="7"/>
      <c r="F1174" s="7"/>
      <c r="G1174" s="17" t="s">
        <v>184</v>
      </c>
      <c r="H1174" s="17">
        <v>2</v>
      </c>
      <c r="I1174" s="1">
        <f t="shared" si="55"/>
        <v>2</v>
      </c>
      <c r="J1174" s="1">
        <f t="shared" si="54"/>
        <v>0.19634364461721532</v>
      </c>
      <c r="K1174" s="1">
        <f t="shared" si="56"/>
        <v>3.2531762483127102</v>
      </c>
    </row>
    <row r="1175" spans="4:11" ht="15.75" thickBot="1">
      <c r="D1175" s="8"/>
      <c r="E1175" s="15" t="s">
        <v>37</v>
      </c>
      <c r="F1175" s="15" t="s">
        <v>443</v>
      </c>
      <c r="G1175" s="17" t="s">
        <v>178</v>
      </c>
      <c r="H1175" s="17"/>
      <c r="I1175" s="1" t="str">
        <f t="shared" si="55"/>
        <v/>
      </c>
      <c r="J1175" s="1" t="str">
        <f t="shared" si="54"/>
        <v/>
      </c>
      <c r="K1175" s="1">
        <f t="shared" si="56"/>
        <v>0</v>
      </c>
    </row>
    <row r="1176" spans="4:11" ht="15" customHeight="1">
      <c r="D1176" s="6" t="s">
        <v>126</v>
      </c>
      <c r="E1176" s="7"/>
      <c r="F1176" s="7"/>
      <c r="G1176" s="17" t="s">
        <v>180</v>
      </c>
      <c r="H1176" s="17">
        <v>3</v>
      </c>
      <c r="I1176" s="1">
        <f t="shared" si="55"/>
        <v>-1</v>
      </c>
      <c r="J1176" s="1">
        <f t="shared" si="54"/>
        <v>-0.77926719975462788</v>
      </c>
      <c r="K1176" s="1">
        <f t="shared" si="56"/>
        <v>4.8722969104163349E-2</v>
      </c>
    </row>
    <row r="1177" spans="4:11" ht="15.75" thickBot="1">
      <c r="D1177" s="8"/>
      <c r="E1177" s="15" t="s">
        <v>28</v>
      </c>
      <c r="F1177" s="15" t="s">
        <v>19</v>
      </c>
      <c r="G1177" s="17" t="s">
        <v>178</v>
      </c>
      <c r="H1177" s="17"/>
      <c r="I1177" s="1" t="str">
        <f t="shared" si="55"/>
        <v/>
      </c>
      <c r="J1177" s="1" t="str">
        <f t="shared" si="54"/>
        <v/>
      </c>
      <c r="K1177" s="1">
        <f t="shared" si="56"/>
        <v>0</v>
      </c>
    </row>
    <row r="1178" spans="4:11" ht="15" customHeight="1">
      <c r="D1178" s="6" t="s">
        <v>126</v>
      </c>
      <c r="E1178" s="7"/>
      <c r="F1178" s="7"/>
      <c r="G1178" s="17" t="s">
        <v>184</v>
      </c>
      <c r="H1178" s="17">
        <v>3</v>
      </c>
      <c r="I1178" s="1">
        <f t="shared" si="55"/>
        <v>1</v>
      </c>
      <c r="J1178" s="1">
        <f t="shared" si="54"/>
        <v>-0.45707409245024166</v>
      </c>
      <c r="K1178" s="1">
        <f t="shared" si="56"/>
        <v>2.1230649108896955</v>
      </c>
    </row>
    <row r="1179" spans="4:11" ht="15.75" thickBot="1">
      <c r="D1179" s="8"/>
      <c r="E1179" s="15" t="s">
        <v>33</v>
      </c>
      <c r="F1179" s="15" t="s">
        <v>23</v>
      </c>
      <c r="G1179" s="17" t="s">
        <v>178</v>
      </c>
      <c r="H1179" s="17"/>
      <c r="I1179" s="1" t="str">
        <f t="shared" si="55"/>
        <v/>
      </c>
      <c r="J1179" s="1" t="str">
        <f t="shared" si="54"/>
        <v/>
      </c>
      <c r="K1179" s="1">
        <f t="shared" si="56"/>
        <v>0</v>
      </c>
    </row>
    <row r="1180" spans="4:11" ht="15" customHeight="1">
      <c r="D1180" s="6" t="s">
        <v>126</v>
      </c>
      <c r="E1180" s="7"/>
      <c r="F1180" s="7"/>
      <c r="G1180" s="17" t="s">
        <v>180</v>
      </c>
      <c r="H1180" s="17">
        <v>0</v>
      </c>
      <c r="I1180" s="1">
        <f t="shared" si="55"/>
        <v>2</v>
      </c>
      <c r="J1180" s="1">
        <f t="shared" si="54"/>
        <v>-0.58125439856569017</v>
      </c>
      <c r="K1180" s="1">
        <f t="shared" si="56"/>
        <v>6.662874270114723</v>
      </c>
    </row>
    <row r="1181" spans="4:11" ht="15.75" thickBot="1">
      <c r="D1181" s="8"/>
      <c r="E1181" s="15" t="s">
        <v>22</v>
      </c>
      <c r="F1181" s="15" t="s">
        <v>20</v>
      </c>
      <c r="G1181" s="17" t="s">
        <v>178</v>
      </c>
      <c r="H1181" s="17"/>
      <c r="I1181" s="1" t="str">
        <f t="shared" si="55"/>
        <v/>
      </c>
      <c r="J1181" s="1" t="str">
        <f t="shared" si="54"/>
        <v/>
      </c>
      <c r="K1181" s="1">
        <f t="shared" si="56"/>
        <v>0</v>
      </c>
    </row>
    <row r="1182" spans="4:11" ht="18" customHeight="1">
      <c r="D1182" s="6" t="s">
        <v>126</v>
      </c>
      <c r="E1182" s="7"/>
      <c r="F1182" s="7"/>
      <c r="G1182" s="17" t="s">
        <v>184</v>
      </c>
      <c r="H1182" s="17">
        <v>2</v>
      </c>
      <c r="I1182" s="1">
        <f t="shared" si="55"/>
        <v>2</v>
      </c>
      <c r="J1182" s="1">
        <f t="shared" si="54"/>
        <v>-0.21915330071162487</v>
      </c>
      <c r="K1182" s="1">
        <f t="shared" si="56"/>
        <v>4.9246413720592992</v>
      </c>
    </row>
    <row r="1183" spans="4:11" ht="15.75" thickBot="1">
      <c r="D1183" s="8"/>
      <c r="E1183" s="15" t="s">
        <v>7</v>
      </c>
      <c r="F1183" s="15" t="s">
        <v>21</v>
      </c>
      <c r="G1183" s="17" t="s">
        <v>178</v>
      </c>
      <c r="H1183" s="17"/>
      <c r="I1183" s="1" t="str">
        <f t="shared" si="55"/>
        <v/>
      </c>
      <c r="J1183" s="1" t="str">
        <f t="shared" si="54"/>
        <v/>
      </c>
      <c r="K1183" s="1">
        <f t="shared" si="56"/>
        <v>0</v>
      </c>
    </row>
    <row r="1184" spans="4:11" ht="15" customHeight="1">
      <c r="D1184" s="6" t="s">
        <v>126</v>
      </c>
      <c r="E1184" s="7"/>
      <c r="F1184" s="7"/>
      <c r="G1184" s="17" t="s">
        <v>183</v>
      </c>
      <c r="H1184" s="17">
        <v>0</v>
      </c>
      <c r="I1184" s="1">
        <f t="shared" si="55"/>
        <v>6</v>
      </c>
      <c r="J1184" s="1">
        <f t="shared" si="54"/>
        <v>1.0357403496314816</v>
      </c>
      <c r="K1184" s="1">
        <f t="shared" si="56"/>
        <v>24.643873876276963</v>
      </c>
    </row>
    <row r="1185" spans="4:11" ht="15.75" thickBot="1">
      <c r="D1185" s="8"/>
      <c r="E1185" s="15" t="s">
        <v>39</v>
      </c>
      <c r="F1185" s="15" t="s">
        <v>26</v>
      </c>
      <c r="G1185" s="17" t="s">
        <v>178</v>
      </c>
      <c r="H1185" s="17"/>
      <c r="I1185" s="1" t="str">
        <f t="shared" si="55"/>
        <v/>
      </c>
      <c r="J1185" s="1" t="str">
        <f t="shared" si="54"/>
        <v/>
      </c>
      <c r="K1185" s="1">
        <f t="shared" si="56"/>
        <v>0</v>
      </c>
    </row>
    <row r="1186" spans="4:11" ht="15" customHeight="1">
      <c r="D1186" s="6" t="s">
        <v>126</v>
      </c>
      <c r="E1186" s="7"/>
      <c r="F1186" s="7"/>
      <c r="G1186" s="17" t="s">
        <v>184</v>
      </c>
      <c r="H1186" s="17">
        <v>2</v>
      </c>
      <c r="I1186" s="1">
        <f t="shared" si="55"/>
        <v>2</v>
      </c>
      <c r="J1186" s="1">
        <f t="shared" si="54"/>
        <v>1.0076594875514076</v>
      </c>
      <c r="K1186" s="1">
        <f t="shared" si="56"/>
        <v>0.98473969264673511</v>
      </c>
    </row>
    <row r="1187" spans="4:11" ht="15.75" thickBot="1">
      <c r="D1187" s="8"/>
      <c r="E1187" s="15" t="s">
        <v>13</v>
      </c>
      <c r="F1187" s="15" t="s">
        <v>24</v>
      </c>
      <c r="G1187" s="17" t="s">
        <v>178</v>
      </c>
      <c r="H1187" s="17"/>
      <c r="I1187" s="1" t="str">
        <f t="shared" si="55"/>
        <v/>
      </c>
      <c r="J1187" s="1" t="str">
        <f t="shared" si="54"/>
        <v/>
      </c>
      <c r="K1187" s="1">
        <f t="shared" si="56"/>
        <v>0</v>
      </c>
    </row>
    <row r="1188" spans="4:11" ht="15" customHeight="1">
      <c r="D1188" s="6" t="s">
        <v>126</v>
      </c>
      <c r="E1188" s="7"/>
      <c r="F1188" s="7"/>
      <c r="G1188" s="17" t="s">
        <v>180</v>
      </c>
      <c r="H1188" s="17">
        <v>3</v>
      </c>
      <c r="I1188" s="1">
        <f t="shared" si="55"/>
        <v>-1</v>
      </c>
      <c r="J1188" s="1">
        <f t="shared" si="54"/>
        <v>0.36464061911063084</v>
      </c>
      <c r="K1188" s="1">
        <f t="shared" si="56"/>
        <v>1.8622440193266458</v>
      </c>
    </row>
    <row r="1189" spans="4:11" ht="15.75" thickBot="1">
      <c r="D1189" s="8"/>
      <c r="E1189" s="15" t="s">
        <v>41</v>
      </c>
      <c r="F1189" s="15" t="s">
        <v>3</v>
      </c>
      <c r="G1189" s="17" t="s">
        <v>178</v>
      </c>
      <c r="H1189" s="17"/>
      <c r="I1189" s="1" t="str">
        <f t="shared" si="55"/>
        <v/>
      </c>
      <c r="J1189" s="1" t="str">
        <f t="shared" si="54"/>
        <v/>
      </c>
      <c r="K1189" s="1">
        <f t="shared" si="56"/>
        <v>0</v>
      </c>
    </row>
    <row r="1190" spans="4:11" ht="15" customHeight="1">
      <c r="D1190" s="6" t="s">
        <v>127</v>
      </c>
      <c r="E1190" s="7"/>
      <c r="F1190" s="7"/>
      <c r="G1190" s="17" t="s">
        <v>183</v>
      </c>
      <c r="H1190" s="17">
        <v>2</v>
      </c>
      <c r="I1190" s="1">
        <f t="shared" si="55"/>
        <v>4</v>
      </c>
      <c r="J1190" s="1">
        <f t="shared" si="54"/>
        <v>0.98940251905965226</v>
      </c>
      <c r="K1190" s="1">
        <f t="shared" si="56"/>
        <v>9.0636971922443674</v>
      </c>
    </row>
    <row r="1191" spans="4:11" ht="15.75" thickBot="1">
      <c r="D1191" s="8"/>
      <c r="E1191" s="15" t="s">
        <v>12</v>
      </c>
      <c r="F1191" s="15" t="s">
        <v>0</v>
      </c>
      <c r="G1191" s="17" t="s">
        <v>178</v>
      </c>
      <c r="H1191" s="17"/>
      <c r="I1191" s="1" t="str">
        <f t="shared" si="55"/>
        <v/>
      </c>
      <c r="J1191" s="1" t="str">
        <f t="shared" si="54"/>
        <v/>
      </c>
      <c r="K1191" s="1">
        <f t="shared" si="56"/>
        <v>0</v>
      </c>
    </row>
    <row r="1192" spans="4:11" ht="15" customHeight="1">
      <c r="D1192" s="6" t="s">
        <v>127</v>
      </c>
      <c r="E1192" s="7"/>
      <c r="F1192" s="7"/>
      <c r="G1192" s="17" t="s">
        <v>182</v>
      </c>
      <c r="H1192" s="17">
        <v>2</v>
      </c>
      <c r="I1192" s="1">
        <f t="shared" si="55"/>
        <v>1</v>
      </c>
      <c r="J1192" s="1">
        <f t="shared" si="54"/>
        <v>-0.21487252342157603</v>
      </c>
      <c r="K1192" s="1">
        <f t="shared" si="56"/>
        <v>1.4759152481647078</v>
      </c>
    </row>
    <row r="1193" spans="4:11" ht="15.75" thickBot="1">
      <c r="D1193" s="8"/>
      <c r="E1193" s="15" t="s">
        <v>2</v>
      </c>
      <c r="F1193" s="15" t="s">
        <v>11</v>
      </c>
      <c r="G1193" s="17" t="s">
        <v>178</v>
      </c>
      <c r="H1193" s="17"/>
      <c r="I1193" s="1" t="str">
        <f t="shared" si="55"/>
        <v/>
      </c>
      <c r="J1193" s="1" t="str">
        <f t="shared" si="54"/>
        <v/>
      </c>
      <c r="K1193" s="1">
        <f t="shared" si="56"/>
        <v>0</v>
      </c>
    </row>
    <row r="1194" spans="4:11" ht="18" customHeight="1">
      <c r="D1194" s="6" t="s">
        <v>127</v>
      </c>
      <c r="E1194" s="7"/>
      <c r="F1194" s="7"/>
      <c r="G1194" s="17" t="s">
        <v>182</v>
      </c>
      <c r="H1194" s="17">
        <v>2</v>
      </c>
      <c r="I1194" s="1">
        <f t="shared" si="55"/>
        <v>1</v>
      </c>
      <c r="J1194" s="1">
        <f t="shared" si="54"/>
        <v>-0.16157197020400815</v>
      </c>
      <c r="K1194" s="1">
        <f t="shared" si="56"/>
        <v>1.3492494419636212</v>
      </c>
    </row>
    <row r="1195" spans="4:11" ht="15.75" thickBot="1">
      <c r="D1195" s="8"/>
      <c r="E1195" s="15" t="s">
        <v>13</v>
      </c>
      <c r="F1195" s="15" t="s">
        <v>4</v>
      </c>
      <c r="G1195" s="17" t="s">
        <v>178</v>
      </c>
      <c r="H1195" s="17"/>
      <c r="I1195" s="1" t="str">
        <f t="shared" si="55"/>
        <v/>
      </c>
      <c r="J1195" s="1" t="str">
        <f t="shared" si="54"/>
        <v/>
      </c>
      <c r="K1195" s="1">
        <f t="shared" si="56"/>
        <v>0</v>
      </c>
    </row>
    <row r="1196" spans="4:11" ht="15" customHeight="1">
      <c r="D1196" s="6" t="s">
        <v>127</v>
      </c>
      <c r="E1196" s="7"/>
      <c r="F1196" s="7"/>
      <c r="G1196" s="17" t="s">
        <v>184</v>
      </c>
      <c r="H1196" s="17">
        <v>1</v>
      </c>
      <c r="I1196" s="1">
        <f t="shared" si="55"/>
        <v>3</v>
      </c>
      <c r="J1196" s="1">
        <f t="shared" si="54"/>
        <v>1.0629365846646408</v>
      </c>
      <c r="K1196" s="1">
        <f t="shared" si="56"/>
        <v>3.7522146750306864</v>
      </c>
    </row>
    <row r="1197" spans="4:11" ht="15.75" thickBot="1">
      <c r="D1197" s="8"/>
      <c r="E1197" s="15" t="s">
        <v>38</v>
      </c>
      <c r="F1197" s="15" t="s">
        <v>10</v>
      </c>
      <c r="G1197" s="17" t="s">
        <v>178</v>
      </c>
      <c r="H1197" s="17"/>
      <c r="I1197" s="1" t="str">
        <f t="shared" si="55"/>
        <v/>
      </c>
      <c r="J1197" s="1" t="str">
        <f t="shared" si="54"/>
        <v/>
      </c>
      <c r="K1197" s="1">
        <f t="shared" si="56"/>
        <v>0</v>
      </c>
    </row>
    <row r="1198" spans="4:11" ht="15" customHeight="1">
      <c r="D1198" s="6" t="s">
        <v>128</v>
      </c>
      <c r="E1198" s="7"/>
      <c r="F1198" s="7"/>
      <c r="G1198" s="17" t="s">
        <v>179</v>
      </c>
      <c r="H1198" s="17">
        <v>3</v>
      </c>
      <c r="I1198" s="1">
        <f t="shared" si="55"/>
        <v>-3</v>
      </c>
      <c r="J1198" s="1">
        <f t="shared" si="54"/>
        <v>-0.41321178023483185</v>
      </c>
      <c r="K1198" s="1">
        <f t="shared" si="56"/>
        <v>6.6914732939158474</v>
      </c>
    </row>
    <row r="1199" spans="4:11" ht="15.75" thickBot="1">
      <c r="D1199" s="8"/>
      <c r="E1199" s="15" t="s">
        <v>36</v>
      </c>
      <c r="F1199" s="15" t="s">
        <v>2</v>
      </c>
      <c r="G1199" s="17" t="s">
        <v>178</v>
      </c>
      <c r="H1199" s="17"/>
      <c r="I1199" s="1" t="str">
        <f t="shared" si="55"/>
        <v/>
      </c>
      <c r="J1199" s="1" t="str">
        <f t="shared" si="54"/>
        <v/>
      </c>
      <c r="K1199" s="1">
        <f t="shared" si="56"/>
        <v>0</v>
      </c>
    </row>
    <row r="1200" spans="4:11" ht="15" customHeight="1">
      <c r="D1200" s="6" t="s">
        <v>128</v>
      </c>
      <c r="E1200" s="7"/>
      <c r="F1200" s="7"/>
      <c r="G1200" s="17" t="s">
        <v>180</v>
      </c>
      <c r="H1200" s="17">
        <v>3</v>
      </c>
      <c r="I1200" s="1">
        <f t="shared" si="55"/>
        <v>-1</v>
      </c>
      <c r="J1200" s="1">
        <f t="shared" si="54"/>
        <v>0.71078361101953647</v>
      </c>
      <c r="K1200" s="1">
        <f t="shared" si="56"/>
        <v>2.9267805637330446</v>
      </c>
    </row>
    <row r="1201" spans="4:11" ht="30.75" thickBot="1">
      <c r="D1201" s="8"/>
      <c r="E1201" s="15" t="s">
        <v>12</v>
      </c>
      <c r="F1201" s="15" t="s">
        <v>1</v>
      </c>
      <c r="G1201" s="17" t="s">
        <v>178</v>
      </c>
      <c r="H1201" s="17"/>
      <c r="I1201" s="1" t="str">
        <f t="shared" si="55"/>
        <v/>
      </c>
      <c r="J1201" s="1" t="str">
        <f t="shared" si="54"/>
        <v/>
      </c>
      <c r="K1201" s="1">
        <f t="shared" si="56"/>
        <v>0</v>
      </c>
    </row>
    <row r="1202" spans="4:11" ht="15" customHeight="1">
      <c r="D1202" s="6" t="s">
        <v>128</v>
      </c>
      <c r="E1202" s="7"/>
      <c r="F1202" s="7"/>
      <c r="G1202" s="17" t="s">
        <v>180</v>
      </c>
      <c r="H1202" s="17">
        <v>5</v>
      </c>
      <c r="I1202" s="1">
        <f t="shared" si="55"/>
        <v>-3</v>
      </c>
      <c r="J1202" s="1">
        <f t="shared" si="54"/>
        <v>-0.98108066458932797</v>
      </c>
      <c r="K1202" s="1">
        <f t="shared" si="56"/>
        <v>4.0760352828950692</v>
      </c>
    </row>
    <row r="1203" spans="4:11" ht="15.75" thickBot="1">
      <c r="D1203" s="8"/>
      <c r="E1203" s="15" t="s">
        <v>8</v>
      </c>
      <c r="F1203" s="15" t="s">
        <v>28</v>
      </c>
      <c r="G1203" s="17" t="s">
        <v>178</v>
      </c>
      <c r="H1203" s="17"/>
      <c r="I1203" s="1" t="str">
        <f t="shared" si="55"/>
        <v/>
      </c>
      <c r="J1203" s="1" t="str">
        <f t="shared" si="54"/>
        <v/>
      </c>
      <c r="K1203" s="1">
        <f t="shared" si="56"/>
        <v>0</v>
      </c>
    </row>
    <row r="1204" spans="4:11" ht="18" customHeight="1">
      <c r="D1204" s="6" t="s">
        <v>128</v>
      </c>
      <c r="E1204" s="7"/>
      <c r="F1204" s="7"/>
      <c r="G1204" s="17" t="s">
        <v>180</v>
      </c>
      <c r="H1204" s="17">
        <v>7</v>
      </c>
      <c r="I1204" s="1">
        <f t="shared" si="55"/>
        <v>-5</v>
      </c>
      <c r="J1204" s="1">
        <f t="shared" si="54"/>
        <v>-0.54884557387715915</v>
      </c>
      <c r="K1204" s="1">
        <f t="shared" si="56"/>
        <v>19.812775725192957</v>
      </c>
    </row>
    <row r="1205" spans="4:11" ht="15.75" thickBot="1">
      <c r="D1205" s="8"/>
      <c r="E1205" s="15" t="s">
        <v>33</v>
      </c>
      <c r="F1205" s="15" t="s">
        <v>39</v>
      </c>
      <c r="G1205" s="17" t="s">
        <v>178</v>
      </c>
      <c r="H1205" s="17"/>
      <c r="I1205" s="1" t="str">
        <f t="shared" si="55"/>
        <v/>
      </c>
      <c r="J1205" s="1" t="str">
        <f t="shared" si="54"/>
        <v/>
      </c>
      <c r="K1205" s="1">
        <f t="shared" si="56"/>
        <v>0</v>
      </c>
    </row>
    <row r="1206" spans="4:11" ht="15" customHeight="1">
      <c r="D1206" s="6" t="s">
        <v>128</v>
      </c>
      <c r="E1206" s="7"/>
      <c r="F1206" s="7"/>
      <c r="G1206" s="17" t="s">
        <v>180</v>
      </c>
      <c r="H1206" s="17">
        <v>3</v>
      </c>
      <c r="I1206" s="1">
        <f t="shared" si="55"/>
        <v>-1</v>
      </c>
      <c r="J1206" s="1">
        <f t="shared" si="54"/>
        <v>-0.4851360612040736</v>
      </c>
      <c r="K1206" s="1">
        <f t="shared" si="56"/>
        <v>0.26508487547245546</v>
      </c>
    </row>
    <row r="1207" spans="4:11" ht="15.75" thickBot="1">
      <c r="D1207" s="8"/>
      <c r="E1207" s="15" t="s">
        <v>21</v>
      </c>
      <c r="F1207" s="15" t="s">
        <v>19</v>
      </c>
      <c r="G1207" s="17" t="s">
        <v>178</v>
      </c>
      <c r="H1207" s="17"/>
      <c r="I1207" s="1" t="str">
        <f t="shared" si="55"/>
        <v/>
      </c>
      <c r="J1207" s="1" t="str">
        <f t="shared" si="54"/>
        <v/>
      </c>
      <c r="K1207" s="1">
        <f t="shared" si="56"/>
        <v>0</v>
      </c>
    </row>
    <row r="1208" spans="4:11" ht="15" customHeight="1">
      <c r="D1208" s="6" t="s">
        <v>128</v>
      </c>
      <c r="E1208" s="7"/>
      <c r="F1208" s="7"/>
      <c r="G1208" s="17" t="s">
        <v>184</v>
      </c>
      <c r="H1208" s="17">
        <v>2</v>
      </c>
      <c r="I1208" s="1">
        <f t="shared" si="55"/>
        <v>2</v>
      </c>
      <c r="J1208" s="1">
        <f t="shared" si="54"/>
        <v>0.12594200778532638</v>
      </c>
      <c r="K1208" s="1">
        <f t="shared" si="56"/>
        <v>3.5120933581836935</v>
      </c>
    </row>
    <row r="1209" spans="4:11" ht="15.75" thickBot="1">
      <c r="D1209" s="8"/>
      <c r="E1209" s="15" t="s">
        <v>20</v>
      </c>
      <c r="F1209" s="15" t="s">
        <v>23</v>
      </c>
      <c r="G1209" s="17" t="s">
        <v>178</v>
      </c>
      <c r="H1209" s="17"/>
      <c r="I1209" s="1" t="str">
        <f t="shared" si="55"/>
        <v/>
      </c>
      <c r="J1209" s="1" t="str">
        <f t="shared" si="54"/>
        <v/>
      </c>
      <c r="K1209" s="1">
        <f t="shared" si="56"/>
        <v>0</v>
      </c>
    </row>
    <row r="1210" spans="4:11" ht="15" customHeight="1">
      <c r="D1210" s="6" t="s">
        <v>128</v>
      </c>
      <c r="E1210" s="7"/>
      <c r="F1210" s="7"/>
      <c r="G1210" s="17" t="s">
        <v>180</v>
      </c>
      <c r="H1210" s="17">
        <v>5</v>
      </c>
      <c r="I1210" s="1">
        <f t="shared" si="55"/>
        <v>-3</v>
      </c>
      <c r="J1210" s="1">
        <f t="shared" si="54"/>
        <v>0.1915639489462535</v>
      </c>
      <c r="K1210" s="1">
        <f t="shared" si="56"/>
        <v>10.186080440213404</v>
      </c>
    </row>
    <row r="1211" spans="4:11" ht="15.75" thickBot="1">
      <c r="D1211" s="8"/>
      <c r="E1211" s="15" t="s">
        <v>18</v>
      </c>
      <c r="F1211" s="15" t="s">
        <v>22</v>
      </c>
      <c r="G1211" s="17" t="s">
        <v>178</v>
      </c>
      <c r="H1211" s="17"/>
      <c r="I1211" s="1" t="str">
        <f t="shared" si="55"/>
        <v/>
      </c>
      <c r="J1211" s="1" t="str">
        <f t="shared" si="54"/>
        <v/>
      </c>
      <c r="K1211" s="1">
        <f t="shared" si="56"/>
        <v>0</v>
      </c>
    </row>
    <row r="1212" spans="4:11" ht="18" customHeight="1">
      <c r="D1212" s="6" t="s">
        <v>128</v>
      </c>
      <c r="E1212" s="7"/>
      <c r="F1212" s="7"/>
      <c r="G1212" s="17" t="s">
        <v>181</v>
      </c>
      <c r="H1212" s="17">
        <v>4</v>
      </c>
      <c r="I1212" s="1">
        <f t="shared" si="55"/>
        <v>-3</v>
      </c>
      <c r="J1212" s="1">
        <f t="shared" si="54"/>
        <v>0.72538569270233211</v>
      </c>
      <c r="K1212" s="1">
        <f t="shared" si="56"/>
        <v>13.878498559391234</v>
      </c>
    </row>
    <row r="1213" spans="4:11" ht="15.75" thickBot="1">
      <c r="D1213" s="8"/>
      <c r="E1213" s="15" t="s">
        <v>25</v>
      </c>
      <c r="F1213" s="15" t="s">
        <v>26</v>
      </c>
      <c r="G1213" s="17" t="s">
        <v>178</v>
      </c>
      <c r="H1213" s="17"/>
      <c r="I1213" s="1" t="str">
        <f t="shared" si="55"/>
        <v/>
      </c>
      <c r="J1213" s="1" t="str">
        <f t="shared" si="54"/>
        <v/>
      </c>
      <c r="K1213" s="1">
        <f t="shared" si="56"/>
        <v>0</v>
      </c>
    </row>
    <row r="1214" spans="4:11" ht="15" customHeight="1">
      <c r="D1214" s="6" t="s">
        <v>128</v>
      </c>
      <c r="E1214" s="7"/>
      <c r="F1214" s="7"/>
      <c r="G1214" s="17" t="s">
        <v>182</v>
      </c>
      <c r="H1214" s="17">
        <v>1</v>
      </c>
      <c r="I1214" s="1">
        <f t="shared" si="55"/>
        <v>2</v>
      </c>
      <c r="J1214" s="1">
        <f t="shared" si="54"/>
        <v>-0.43691325239475987</v>
      </c>
      <c r="K1214" s="1">
        <f t="shared" si="56"/>
        <v>5.9385461996972069</v>
      </c>
    </row>
    <row r="1215" spans="4:11" ht="15.75" thickBot="1">
      <c r="D1215" s="8"/>
      <c r="E1215" s="15" t="s">
        <v>14</v>
      </c>
      <c r="F1215" s="15" t="s">
        <v>3</v>
      </c>
      <c r="G1215" s="17" t="s">
        <v>178</v>
      </c>
      <c r="H1215" s="17"/>
      <c r="I1215" s="1" t="str">
        <f t="shared" si="55"/>
        <v/>
      </c>
      <c r="J1215" s="1" t="str">
        <f t="shared" si="54"/>
        <v/>
      </c>
      <c r="K1215" s="1">
        <f t="shared" si="56"/>
        <v>0</v>
      </c>
    </row>
    <row r="1216" spans="4:11" ht="15" customHeight="1">
      <c r="D1216" s="6" t="s">
        <v>128</v>
      </c>
      <c r="E1216" s="7"/>
      <c r="F1216" s="7"/>
      <c r="G1216" s="17" t="s">
        <v>184</v>
      </c>
      <c r="H1216" s="17">
        <v>3</v>
      </c>
      <c r="I1216" s="1">
        <f t="shared" si="55"/>
        <v>1</v>
      </c>
      <c r="J1216" s="1">
        <f t="shared" si="54"/>
        <v>0.44034027434740608</v>
      </c>
      <c r="K1216" s="1">
        <f t="shared" si="56"/>
        <v>0.3132190085175367</v>
      </c>
    </row>
    <row r="1217" spans="4:11" ht="15.75" thickBot="1">
      <c r="D1217" s="8"/>
      <c r="E1217" s="15" t="s">
        <v>38</v>
      </c>
      <c r="F1217" s="15" t="s">
        <v>34</v>
      </c>
      <c r="G1217" s="17" t="s">
        <v>178</v>
      </c>
      <c r="H1217" s="17"/>
      <c r="I1217" s="1" t="str">
        <f t="shared" si="55"/>
        <v/>
      </c>
      <c r="J1217" s="1" t="str">
        <f t="shared" si="54"/>
        <v/>
      </c>
      <c r="K1217" s="1">
        <f t="shared" si="56"/>
        <v>0</v>
      </c>
    </row>
    <row r="1218" spans="4:11" ht="15" customHeight="1">
      <c r="D1218" s="6" t="s">
        <v>129</v>
      </c>
      <c r="E1218" s="7"/>
      <c r="F1218" s="7"/>
      <c r="G1218" s="17" t="s">
        <v>182</v>
      </c>
      <c r="H1218" s="17">
        <v>2</v>
      </c>
      <c r="I1218" s="1">
        <f t="shared" si="55"/>
        <v>1</v>
      </c>
      <c r="J1218" s="1">
        <f t="shared" si="54"/>
        <v>0.89187252499026215</v>
      </c>
      <c r="K1218" s="1">
        <f t="shared" si="56"/>
        <v>1.1691550851981484E-2</v>
      </c>
    </row>
    <row r="1219" spans="4:11" ht="15.75" thickBot="1">
      <c r="D1219" s="8"/>
      <c r="E1219" s="15" t="s">
        <v>41</v>
      </c>
      <c r="F1219" s="15" t="s">
        <v>36</v>
      </c>
      <c r="G1219" s="17" t="s">
        <v>178</v>
      </c>
      <c r="H1219" s="17"/>
      <c r="I1219" s="1" t="str">
        <f t="shared" si="55"/>
        <v/>
      </c>
      <c r="J1219" s="1" t="str">
        <f t="shared" ref="J1219:J1282" si="57">IF(F1220="","",VLOOKUP(F1220,$A$2:$B$31,2)+$B$33-VLOOKUP(E1220,$A$2:$B$31,2))</f>
        <v/>
      </c>
      <c r="K1219" s="1">
        <f t="shared" si="56"/>
        <v>0</v>
      </c>
    </row>
    <row r="1220" spans="4:11" ht="18" customHeight="1">
      <c r="D1220" s="6" t="s">
        <v>129</v>
      </c>
      <c r="E1220" s="7"/>
      <c r="F1220" s="7"/>
      <c r="G1220" s="17" t="s">
        <v>180</v>
      </c>
      <c r="H1220" s="17">
        <v>5</v>
      </c>
      <c r="I1220" s="1">
        <f t="shared" ref="I1220:I1283" si="58">IF(G1220="","",G1220-H1220)</f>
        <v>-3</v>
      </c>
      <c r="J1220" s="1">
        <f t="shared" si="57"/>
        <v>0.25792578476919914</v>
      </c>
      <c r="K1220" s="1">
        <f t="shared" ref="K1220:K1283" si="59">IF(J1220="",0,(I1220-J1220)^2)</f>
        <v>10.614080419064003</v>
      </c>
    </row>
    <row r="1221" spans="4:11" ht="15.75" thickBot="1">
      <c r="D1221" s="8"/>
      <c r="E1221" s="15" t="s">
        <v>7</v>
      </c>
      <c r="F1221" s="15" t="s">
        <v>0</v>
      </c>
      <c r="G1221" s="17" t="s">
        <v>178</v>
      </c>
      <c r="H1221" s="17"/>
      <c r="I1221" s="1" t="str">
        <f t="shared" si="58"/>
        <v/>
      </c>
      <c r="J1221" s="1" t="str">
        <f t="shared" si="57"/>
        <v/>
      </c>
      <c r="K1221" s="1">
        <f t="shared" si="59"/>
        <v>0</v>
      </c>
    </row>
    <row r="1222" spans="4:11" ht="15" customHeight="1">
      <c r="D1222" s="6" t="s">
        <v>129</v>
      </c>
      <c r="E1222" s="7"/>
      <c r="F1222" s="7"/>
      <c r="G1222" s="17" t="s">
        <v>181</v>
      </c>
      <c r="H1222" s="17">
        <v>2</v>
      </c>
      <c r="I1222" s="1">
        <f t="shared" si="58"/>
        <v>-1</v>
      </c>
      <c r="J1222" s="1">
        <f t="shared" si="57"/>
        <v>-1.8897699643780044</v>
      </c>
      <c r="K1222" s="1">
        <f t="shared" si="59"/>
        <v>0.79169058950923521</v>
      </c>
    </row>
    <row r="1223" spans="4:11" ht="15.75" thickBot="1">
      <c r="D1223" s="8"/>
      <c r="E1223" s="15" t="s">
        <v>8</v>
      </c>
      <c r="F1223" s="15" t="s">
        <v>37</v>
      </c>
      <c r="G1223" s="17" t="s">
        <v>178</v>
      </c>
      <c r="H1223" s="17"/>
      <c r="I1223" s="1" t="str">
        <f t="shared" si="58"/>
        <v/>
      </c>
      <c r="J1223" s="1" t="str">
        <f t="shared" si="57"/>
        <v/>
      </c>
      <c r="K1223" s="1">
        <f t="shared" si="59"/>
        <v>0</v>
      </c>
    </row>
    <row r="1224" spans="4:11" ht="18" customHeight="1">
      <c r="D1224" s="6" t="s">
        <v>129</v>
      </c>
      <c r="E1224" s="7"/>
      <c r="F1224" s="7"/>
      <c r="G1224" s="17" t="s">
        <v>183</v>
      </c>
      <c r="H1224" s="17">
        <v>5</v>
      </c>
      <c r="I1224" s="1">
        <f t="shared" si="58"/>
        <v>1</v>
      </c>
      <c r="J1224" s="1">
        <f t="shared" si="57"/>
        <v>-0.54844620032972102</v>
      </c>
      <c r="K1224" s="1">
        <f t="shared" si="59"/>
        <v>2.3976856353155505</v>
      </c>
    </row>
    <row r="1225" spans="4:11" ht="15.75" thickBot="1">
      <c r="D1225" s="8"/>
      <c r="E1225" s="15" t="s">
        <v>14</v>
      </c>
      <c r="F1225" s="15" t="s">
        <v>4</v>
      </c>
      <c r="G1225" s="17" t="s">
        <v>178</v>
      </c>
      <c r="H1225" s="17"/>
      <c r="I1225" s="1" t="str">
        <f t="shared" si="58"/>
        <v/>
      </c>
      <c r="J1225" s="1" t="str">
        <f t="shared" si="57"/>
        <v/>
      </c>
      <c r="K1225" s="1">
        <f t="shared" si="59"/>
        <v>0</v>
      </c>
    </row>
    <row r="1226" spans="4:11" ht="15" customHeight="1">
      <c r="D1226" s="6" t="s">
        <v>129</v>
      </c>
      <c r="E1226" s="7"/>
      <c r="F1226" s="7"/>
      <c r="G1226" s="17" t="s">
        <v>180</v>
      </c>
      <c r="H1226" s="17">
        <v>5</v>
      </c>
      <c r="I1226" s="1">
        <f t="shared" si="58"/>
        <v>-3</v>
      </c>
      <c r="J1226" s="1">
        <f t="shared" si="57"/>
        <v>1.4293134202563351</v>
      </c>
      <c r="K1226" s="1">
        <f t="shared" si="59"/>
        <v>19.618817374862875</v>
      </c>
    </row>
    <row r="1227" spans="4:11" ht="15.75" thickBot="1">
      <c r="D1227" s="8"/>
      <c r="E1227" s="15" t="s">
        <v>20</v>
      </c>
      <c r="F1227" s="15" t="s">
        <v>24</v>
      </c>
      <c r="G1227" s="17" t="s">
        <v>178</v>
      </c>
      <c r="H1227" s="17"/>
      <c r="I1227" s="1" t="str">
        <f t="shared" si="58"/>
        <v/>
      </c>
      <c r="J1227" s="1" t="str">
        <f t="shared" si="57"/>
        <v/>
      </c>
      <c r="K1227" s="1">
        <f t="shared" si="59"/>
        <v>0</v>
      </c>
    </row>
    <row r="1228" spans="4:11" ht="15" customHeight="1">
      <c r="D1228" s="6" t="s">
        <v>130</v>
      </c>
      <c r="E1228" s="7"/>
      <c r="F1228" s="7"/>
      <c r="G1228" s="17" t="s">
        <v>182</v>
      </c>
      <c r="H1228" s="17">
        <v>1</v>
      </c>
      <c r="I1228" s="1">
        <f t="shared" si="58"/>
        <v>2</v>
      </c>
      <c r="J1228" s="1">
        <f t="shared" si="57"/>
        <v>0.33326110860548397</v>
      </c>
      <c r="K1228" s="1">
        <f t="shared" si="59"/>
        <v>2.7780185320870201</v>
      </c>
    </row>
    <row r="1229" spans="4:11" ht="30.75" thickBot="1">
      <c r="D1229" s="8"/>
      <c r="E1229" s="15" t="s">
        <v>2</v>
      </c>
      <c r="F1229" s="15" t="s">
        <v>1</v>
      </c>
      <c r="G1229" s="17" t="s">
        <v>178</v>
      </c>
      <c r="H1229" s="17"/>
      <c r="I1229" s="1" t="str">
        <f t="shared" si="58"/>
        <v/>
      </c>
      <c r="J1229" s="1" t="str">
        <f t="shared" si="57"/>
        <v/>
      </c>
      <c r="K1229" s="1">
        <f t="shared" si="59"/>
        <v>0</v>
      </c>
    </row>
    <row r="1230" spans="4:11" ht="15" customHeight="1">
      <c r="D1230" s="6" t="s">
        <v>130</v>
      </c>
      <c r="E1230" s="7"/>
      <c r="F1230" s="7"/>
      <c r="G1230" s="17" t="s">
        <v>182</v>
      </c>
      <c r="H1230" s="17">
        <v>1</v>
      </c>
      <c r="I1230" s="1">
        <f t="shared" si="58"/>
        <v>2</v>
      </c>
      <c r="J1230" s="1">
        <f t="shared" si="57"/>
        <v>-9.3578982560558188E-3</v>
      </c>
      <c r="K1230" s="1">
        <f t="shared" si="59"/>
        <v>4.037519163283994</v>
      </c>
    </row>
    <row r="1231" spans="4:11" ht="15.75" thickBot="1">
      <c r="D1231" s="8"/>
      <c r="E1231" s="15" t="s">
        <v>19</v>
      </c>
      <c r="F1231" s="15" t="s">
        <v>23</v>
      </c>
      <c r="G1231" s="17" t="s">
        <v>178</v>
      </c>
      <c r="H1231" s="17"/>
      <c r="I1231" s="1" t="str">
        <f t="shared" si="58"/>
        <v/>
      </c>
      <c r="J1231" s="1" t="str">
        <f t="shared" si="57"/>
        <v/>
      </c>
      <c r="K1231" s="1">
        <f t="shared" si="59"/>
        <v>0</v>
      </c>
    </row>
    <row r="1232" spans="4:11" ht="15" customHeight="1">
      <c r="D1232" s="6" t="s">
        <v>130</v>
      </c>
      <c r="E1232" s="7"/>
      <c r="F1232" s="7"/>
      <c r="G1232" s="17" t="s">
        <v>182</v>
      </c>
      <c r="H1232" s="17">
        <v>4</v>
      </c>
      <c r="I1232" s="1">
        <f t="shared" si="58"/>
        <v>-1</v>
      </c>
      <c r="J1232" s="1">
        <f t="shared" si="57"/>
        <v>-3.9181568679765633E-2</v>
      </c>
      <c r="K1232" s="1">
        <f t="shared" si="59"/>
        <v>0.92317205796467594</v>
      </c>
    </row>
    <row r="1233" spans="4:11" ht="15.75" thickBot="1">
      <c r="D1233" s="8"/>
      <c r="E1233" s="15" t="s">
        <v>21</v>
      </c>
      <c r="F1233" s="15" t="s">
        <v>22</v>
      </c>
      <c r="G1233" s="17" t="s">
        <v>178</v>
      </c>
      <c r="H1233" s="17"/>
      <c r="I1233" s="1" t="str">
        <f t="shared" si="58"/>
        <v/>
      </c>
      <c r="J1233" s="1" t="str">
        <f t="shared" si="57"/>
        <v/>
      </c>
      <c r="K1233" s="1">
        <f t="shared" si="59"/>
        <v>0</v>
      </c>
    </row>
    <row r="1234" spans="4:11" ht="15" customHeight="1">
      <c r="D1234" s="6" t="s">
        <v>130</v>
      </c>
      <c r="E1234" s="7"/>
      <c r="F1234" s="7"/>
      <c r="G1234" s="17" t="s">
        <v>180</v>
      </c>
      <c r="H1234" s="17">
        <v>1</v>
      </c>
      <c r="I1234" s="1">
        <f t="shared" si="58"/>
        <v>1</v>
      </c>
      <c r="J1234" s="1">
        <f t="shared" si="57"/>
        <v>-6.8541062034555011E-2</v>
      </c>
      <c r="K1234" s="1">
        <f t="shared" si="59"/>
        <v>1.1417800012539348</v>
      </c>
    </row>
    <row r="1235" spans="4:11" ht="15.75" thickBot="1">
      <c r="D1235" s="8"/>
      <c r="E1235" s="15" t="s">
        <v>11</v>
      </c>
      <c r="F1235" s="15" t="s">
        <v>443</v>
      </c>
      <c r="G1235" s="17" t="s">
        <v>178</v>
      </c>
      <c r="H1235" s="17"/>
      <c r="I1235" s="1" t="str">
        <f t="shared" si="58"/>
        <v/>
      </c>
      <c r="J1235" s="1" t="str">
        <f t="shared" si="57"/>
        <v/>
      </c>
      <c r="K1235" s="1">
        <f t="shared" si="59"/>
        <v>0</v>
      </c>
    </row>
    <row r="1236" spans="4:11" ht="15" customHeight="1">
      <c r="D1236" s="6" t="s">
        <v>130</v>
      </c>
      <c r="E1236" s="7"/>
      <c r="F1236" s="7"/>
      <c r="G1236" s="17" t="s">
        <v>181</v>
      </c>
      <c r="H1236" s="17">
        <v>3</v>
      </c>
      <c r="I1236" s="1">
        <f t="shared" si="58"/>
        <v>-2</v>
      </c>
      <c r="J1236" s="1">
        <f t="shared" si="57"/>
        <v>-0.31354139903830003</v>
      </c>
      <c r="K1236" s="1">
        <f t="shared" si="59"/>
        <v>2.8441426127576945</v>
      </c>
    </row>
    <row r="1237" spans="4:11" ht="30.75" thickBot="1">
      <c r="D1237" s="8"/>
      <c r="E1237" s="15" t="s">
        <v>13</v>
      </c>
      <c r="F1237" s="15" t="s">
        <v>12</v>
      </c>
      <c r="G1237" s="17" t="s">
        <v>178</v>
      </c>
      <c r="H1237" s="17"/>
      <c r="I1237" s="1" t="str">
        <f t="shared" si="58"/>
        <v/>
      </c>
      <c r="J1237" s="1" t="str">
        <f t="shared" si="57"/>
        <v/>
      </c>
      <c r="K1237" s="1">
        <f t="shared" si="59"/>
        <v>0</v>
      </c>
    </row>
    <row r="1238" spans="4:11" ht="15" customHeight="1">
      <c r="D1238" s="6" t="s">
        <v>130</v>
      </c>
      <c r="E1238" s="7"/>
      <c r="F1238" s="7"/>
      <c r="G1238" s="17" t="s">
        <v>185</v>
      </c>
      <c r="H1238" s="17">
        <v>2</v>
      </c>
      <c r="I1238" s="1">
        <f t="shared" si="58"/>
        <v>3</v>
      </c>
      <c r="J1238" s="1">
        <f t="shared" si="57"/>
        <v>0.83261497663183093</v>
      </c>
      <c r="K1238" s="1">
        <f t="shared" si="59"/>
        <v>4.6975578395206385</v>
      </c>
    </row>
    <row r="1239" spans="4:11" ht="15.75" thickBot="1">
      <c r="D1239" s="8"/>
      <c r="E1239" s="15" t="s">
        <v>41</v>
      </c>
      <c r="F1239" s="15" t="s">
        <v>7</v>
      </c>
      <c r="G1239" s="17" t="s">
        <v>178</v>
      </c>
      <c r="H1239" s="17"/>
      <c r="I1239" s="1" t="str">
        <f t="shared" si="58"/>
        <v/>
      </c>
      <c r="J1239" s="1" t="str">
        <f t="shared" si="57"/>
        <v/>
      </c>
      <c r="K1239" s="1">
        <f t="shared" si="59"/>
        <v>0</v>
      </c>
    </row>
    <row r="1240" spans="4:11" ht="15" customHeight="1">
      <c r="D1240" s="6" t="s">
        <v>130</v>
      </c>
      <c r="E1240" s="7"/>
      <c r="F1240" s="7"/>
      <c r="G1240" s="17" t="s">
        <v>185</v>
      </c>
      <c r="H1240" s="17">
        <v>1</v>
      </c>
      <c r="I1240" s="1">
        <f t="shared" si="58"/>
        <v>4</v>
      </c>
      <c r="J1240" s="1">
        <f t="shared" si="57"/>
        <v>0.68022042637045388</v>
      </c>
      <c r="K1240" s="1">
        <f t="shared" si="59"/>
        <v>11.02093641748797</v>
      </c>
    </row>
    <row r="1241" spans="4:11" ht="15.75" thickBot="1">
      <c r="D1241" s="8"/>
      <c r="E1241" s="15" t="s">
        <v>18</v>
      </c>
      <c r="F1241" s="15" t="s">
        <v>26</v>
      </c>
      <c r="G1241" s="17" t="s">
        <v>178</v>
      </c>
      <c r="H1241" s="17"/>
      <c r="I1241" s="1" t="str">
        <f t="shared" si="58"/>
        <v/>
      </c>
      <c r="J1241" s="1" t="str">
        <f t="shared" si="57"/>
        <v/>
      </c>
      <c r="K1241" s="1">
        <f t="shared" si="59"/>
        <v>0</v>
      </c>
    </row>
    <row r="1242" spans="4:11" ht="18" customHeight="1">
      <c r="D1242" s="6" t="s">
        <v>130</v>
      </c>
      <c r="E1242" s="7"/>
      <c r="F1242" s="7"/>
      <c r="G1242" s="17" t="s">
        <v>184</v>
      </c>
      <c r="H1242" s="17">
        <v>5</v>
      </c>
      <c r="I1242" s="1">
        <f t="shared" si="58"/>
        <v>-1</v>
      </c>
      <c r="J1242" s="1">
        <f t="shared" si="57"/>
        <v>-0.88039657943760119</v>
      </c>
      <c r="K1242" s="1">
        <f t="shared" si="59"/>
        <v>1.4304978210226043E-2</v>
      </c>
    </row>
    <row r="1243" spans="4:11" ht="15.75" thickBot="1">
      <c r="D1243" s="8"/>
      <c r="E1243" s="15" t="s">
        <v>28</v>
      </c>
      <c r="F1243" s="15" t="s">
        <v>39</v>
      </c>
      <c r="G1243" s="17" t="s">
        <v>178</v>
      </c>
      <c r="H1243" s="17"/>
      <c r="I1243" s="1" t="str">
        <f t="shared" si="58"/>
        <v/>
      </c>
      <c r="J1243" s="1" t="str">
        <f t="shared" si="57"/>
        <v/>
      </c>
      <c r="K1243" s="1">
        <f t="shared" si="59"/>
        <v>0</v>
      </c>
    </row>
    <row r="1244" spans="4:11" ht="15" customHeight="1">
      <c r="D1244" s="6" t="s">
        <v>130</v>
      </c>
      <c r="E1244" s="7"/>
      <c r="F1244" s="7"/>
      <c r="G1244" s="17" t="s">
        <v>181</v>
      </c>
      <c r="H1244" s="17">
        <v>0</v>
      </c>
      <c r="I1244" s="1">
        <f t="shared" si="58"/>
        <v>1</v>
      </c>
      <c r="J1244" s="1">
        <f t="shared" si="57"/>
        <v>0.11153294793496116</v>
      </c>
      <c r="K1244" s="1">
        <f t="shared" si="59"/>
        <v>0.78937370260514039</v>
      </c>
    </row>
    <row r="1245" spans="4:11" ht="15.75" thickBot="1">
      <c r="D1245" s="8"/>
      <c r="E1245" s="15" t="s">
        <v>4</v>
      </c>
      <c r="F1245" s="15" t="s">
        <v>3</v>
      </c>
      <c r="G1245" s="17" t="s">
        <v>178</v>
      </c>
      <c r="H1245" s="17"/>
      <c r="I1245" s="1" t="str">
        <f t="shared" si="58"/>
        <v/>
      </c>
      <c r="J1245" s="1" t="str">
        <f t="shared" si="57"/>
        <v/>
      </c>
      <c r="K1245" s="1">
        <f t="shared" si="59"/>
        <v>0</v>
      </c>
    </row>
    <row r="1246" spans="4:11" ht="15" customHeight="1">
      <c r="D1246" s="6" t="s">
        <v>130</v>
      </c>
      <c r="E1246" s="7"/>
      <c r="F1246" s="7"/>
      <c r="G1246" s="17" t="s">
        <v>185</v>
      </c>
      <c r="H1246" s="17">
        <v>4</v>
      </c>
      <c r="I1246" s="1">
        <f t="shared" si="58"/>
        <v>1</v>
      </c>
      <c r="J1246" s="1">
        <f t="shared" si="57"/>
        <v>0.10278938238509738</v>
      </c>
      <c r="K1246" s="1">
        <f t="shared" si="59"/>
        <v>0.80498689236091503</v>
      </c>
    </row>
    <row r="1247" spans="4:11" ht="15.75" thickBot="1">
      <c r="D1247" s="8"/>
      <c r="E1247" s="15" t="s">
        <v>25</v>
      </c>
      <c r="F1247" s="15" t="s">
        <v>34</v>
      </c>
      <c r="G1247" s="17" t="s">
        <v>178</v>
      </c>
      <c r="H1247" s="17"/>
      <c r="I1247" s="1" t="str">
        <f t="shared" si="58"/>
        <v/>
      </c>
      <c r="J1247" s="1" t="str">
        <f t="shared" si="57"/>
        <v/>
      </c>
      <c r="K1247" s="1">
        <f t="shared" si="59"/>
        <v>0</v>
      </c>
    </row>
    <row r="1248" spans="4:11" ht="15" customHeight="1">
      <c r="D1248" s="6" t="s">
        <v>130</v>
      </c>
      <c r="E1248" s="7"/>
      <c r="F1248" s="7"/>
      <c r="G1248" s="17" t="s">
        <v>182</v>
      </c>
      <c r="H1248" s="17">
        <v>1</v>
      </c>
      <c r="I1248" s="1">
        <f t="shared" si="58"/>
        <v>2</v>
      </c>
      <c r="J1248" s="1">
        <f t="shared" si="57"/>
        <v>0.57604180891031831</v>
      </c>
      <c r="K1248" s="1">
        <f t="shared" si="59"/>
        <v>2.0276569299713985</v>
      </c>
    </row>
    <row r="1249" spans="4:11" ht="15.75" thickBot="1">
      <c r="D1249" s="8"/>
      <c r="E1249" s="15" t="s">
        <v>38</v>
      </c>
      <c r="F1249" s="15" t="s">
        <v>33</v>
      </c>
      <c r="G1249" s="17" t="s">
        <v>178</v>
      </c>
      <c r="H1249" s="17"/>
      <c r="I1249" s="1" t="str">
        <f t="shared" si="58"/>
        <v/>
      </c>
      <c r="J1249" s="1" t="str">
        <f t="shared" si="57"/>
        <v/>
      </c>
      <c r="K1249" s="1">
        <f t="shared" si="59"/>
        <v>0</v>
      </c>
    </row>
    <row r="1250" spans="4:11" ht="15" customHeight="1">
      <c r="D1250" s="6" t="s">
        <v>131</v>
      </c>
      <c r="E1250" s="7"/>
      <c r="F1250" s="7"/>
      <c r="G1250" s="17" t="s">
        <v>184</v>
      </c>
      <c r="H1250" s="17">
        <v>2</v>
      </c>
      <c r="I1250" s="1">
        <f t="shared" si="58"/>
        <v>2</v>
      </c>
      <c r="J1250" s="1">
        <f t="shared" si="57"/>
        <v>0.62078525742569468</v>
      </c>
      <c r="K1250" s="1">
        <f t="shared" si="59"/>
        <v>1.9022333061343073</v>
      </c>
    </row>
    <row r="1251" spans="4:11" ht="15.75" thickBot="1">
      <c r="D1251" s="8"/>
      <c r="E1251" s="15" t="s">
        <v>14</v>
      </c>
      <c r="F1251" s="15" t="s">
        <v>24</v>
      </c>
      <c r="G1251" s="17" t="s">
        <v>178</v>
      </c>
      <c r="H1251" s="17"/>
      <c r="I1251" s="1" t="str">
        <f t="shared" si="58"/>
        <v/>
      </c>
      <c r="J1251" s="1" t="str">
        <f t="shared" si="57"/>
        <v/>
      </c>
      <c r="K1251" s="1">
        <f t="shared" si="59"/>
        <v>0</v>
      </c>
    </row>
    <row r="1252" spans="4:11" ht="15" customHeight="1">
      <c r="D1252" s="6" t="s">
        <v>131</v>
      </c>
      <c r="E1252" s="7"/>
      <c r="F1252" s="7"/>
      <c r="G1252" s="17" t="s">
        <v>181</v>
      </c>
      <c r="H1252" s="17">
        <v>4</v>
      </c>
      <c r="I1252" s="1">
        <f t="shared" si="58"/>
        <v>-3</v>
      </c>
      <c r="J1252" s="1">
        <f t="shared" si="57"/>
        <v>-0.12594200778532638</v>
      </c>
      <c r="K1252" s="1">
        <f t="shared" si="59"/>
        <v>8.2602093426130416</v>
      </c>
    </row>
    <row r="1253" spans="4:11" ht="15.75" thickBot="1">
      <c r="D1253" s="8"/>
      <c r="E1253" s="15" t="s">
        <v>23</v>
      </c>
      <c r="F1253" s="15" t="s">
        <v>20</v>
      </c>
      <c r="G1253" s="17" t="s">
        <v>178</v>
      </c>
      <c r="H1253" s="17"/>
      <c r="I1253" s="1" t="str">
        <f t="shared" si="58"/>
        <v/>
      </c>
      <c r="J1253" s="1" t="str">
        <f t="shared" si="57"/>
        <v/>
      </c>
      <c r="K1253" s="1">
        <f t="shared" si="59"/>
        <v>0</v>
      </c>
    </row>
    <row r="1254" spans="4:11" ht="18" customHeight="1">
      <c r="D1254" s="6" t="s">
        <v>131</v>
      </c>
      <c r="E1254" s="7"/>
      <c r="F1254" s="7"/>
      <c r="G1254" s="17" t="s">
        <v>184</v>
      </c>
      <c r="H1254" s="17">
        <v>5</v>
      </c>
      <c r="I1254" s="1">
        <f t="shared" si="58"/>
        <v>-1</v>
      </c>
      <c r="J1254" s="1">
        <f t="shared" si="57"/>
        <v>0.72538569270233211</v>
      </c>
      <c r="K1254" s="1">
        <f t="shared" si="59"/>
        <v>2.9769557885819062</v>
      </c>
    </row>
    <row r="1255" spans="4:11" ht="15.75" thickBot="1">
      <c r="D1255" s="8"/>
      <c r="E1255" s="15" t="s">
        <v>25</v>
      </c>
      <c r="F1255" s="15" t="s">
        <v>10</v>
      </c>
      <c r="G1255" s="17" t="s">
        <v>178</v>
      </c>
      <c r="H1255" s="17"/>
      <c r="I1255" s="1" t="str">
        <f t="shared" si="58"/>
        <v/>
      </c>
      <c r="J1255" s="1" t="str">
        <f t="shared" si="57"/>
        <v/>
      </c>
      <c r="K1255" s="1">
        <f t="shared" si="59"/>
        <v>0</v>
      </c>
    </row>
    <row r="1256" spans="4:11" ht="15" customHeight="1">
      <c r="D1256" s="6" t="s">
        <v>132</v>
      </c>
      <c r="E1256" s="7"/>
      <c r="F1256" s="7"/>
      <c r="G1256" s="17" t="s">
        <v>182</v>
      </c>
      <c r="H1256" s="17">
        <v>7</v>
      </c>
      <c r="I1256" s="1">
        <f t="shared" si="58"/>
        <v>-4</v>
      </c>
      <c r="J1256" s="1">
        <f t="shared" si="57"/>
        <v>0.81301833867883033</v>
      </c>
      <c r="K1256" s="1">
        <f t="shared" si="59"/>
        <v>23.165145528458726</v>
      </c>
    </row>
    <row r="1257" spans="4:11" ht="30.75" thickBot="1">
      <c r="D1257" s="8"/>
      <c r="E1257" s="15" t="s">
        <v>37</v>
      </c>
      <c r="F1257" s="15" t="s">
        <v>1</v>
      </c>
      <c r="G1257" s="17" t="s">
        <v>178</v>
      </c>
      <c r="H1257" s="17"/>
      <c r="I1257" s="1" t="str">
        <f t="shared" si="58"/>
        <v/>
      </c>
      <c r="J1257" s="1" t="str">
        <f t="shared" si="57"/>
        <v/>
      </c>
      <c r="K1257" s="1">
        <f t="shared" si="59"/>
        <v>0</v>
      </c>
    </row>
    <row r="1258" spans="4:11" ht="15" customHeight="1">
      <c r="D1258" s="6" t="s">
        <v>132</v>
      </c>
      <c r="E1258" s="7"/>
      <c r="F1258" s="7"/>
      <c r="G1258" s="17" t="s">
        <v>181</v>
      </c>
      <c r="H1258" s="17">
        <v>2</v>
      </c>
      <c r="I1258" s="1">
        <f t="shared" si="58"/>
        <v>-1</v>
      </c>
      <c r="J1258" s="1">
        <f t="shared" si="57"/>
        <v>-0.47314186489906263</v>
      </c>
      <c r="K1258" s="1">
        <f t="shared" si="59"/>
        <v>0.27757949452203756</v>
      </c>
    </row>
    <row r="1259" spans="4:11" ht="30.75" thickBot="1">
      <c r="D1259" s="8"/>
      <c r="E1259" s="15" t="s">
        <v>22</v>
      </c>
      <c r="F1259" s="15" t="s">
        <v>12</v>
      </c>
      <c r="G1259" s="17" t="s">
        <v>178</v>
      </c>
      <c r="H1259" s="17"/>
      <c r="I1259" s="1" t="str">
        <f t="shared" si="58"/>
        <v/>
      </c>
      <c r="J1259" s="1" t="str">
        <f t="shared" si="57"/>
        <v/>
      </c>
      <c r="K1259" s="1">
        <f t="shared" si="59"/>
        <v>0</v>
      </c>
    </row>
    <row r="1260" spans="4:11" ht="15" customHeight="1">
      <c r="D1260" s="6" t="s">
        <v>132</v>
      </c>
      <c r="E1260" s="7"/>
      <c r="F1260" s="7"/>
      <c r="G1260" s="17" t="s">
        <v>179</v>
      </c>
      <c r="H1260" s="17">
        <v>2</v>
      </c>
      <c r="I1260" s="1">
        <f t="shared" si="58"/>
        <v>-2</v>
      </c>
      <c r="J1260" s="1">
        <f t="shared" si="57"/>
        <v>-0.65020048705362399</v>
      </c>
      <c r="K1260" s="1">
        <f t="shared" si="59"/>
        <v>1.8219587251502738</v>
      </c>
    </row>
    <row r="1261" spans="4:11" ht="15.75" thickBot="1">
      <c r="D1261" s="8"/>
      <c r="E1261" s="15" t="s">
        <v>0</v>
      </c>
      <c r="F1261" s="15" t="s">
        <v>34</v>
      </c>
      <c r="G1261" s="17" t="s">
        <v>178</v>
      </c>
      <c r="H1261" s="17"/>
      <c r="I1261" s="1" t="str">
        <f t="shared" si="58"/>
        <v/>
      </c>
      <c r="J1261" s="1" t="str">
        <f t="shared" si="57"/>
        <v/>
      </c>
      <c r="K1261" s="1">
        <f t="shared" si="59"/>
        <v>0</v>
      </c>
    </row>
    <row r="1262" spans="4:11" ht="15" customHeight="1">
      <c r="D1262" s="6" t="s">
        <v>133</v>
      </c>
      <c r="E1262" s="7"/>
      <c r="F1262" s="7"/>
      <c r="G1262" s="17" t="s">
        <v>182</v>
      </c>
      <c r="H1262" s="17">
        <v>4</v>
      </c>
      <c r="I1262" s="1">
        <f t="shared" si="58"/>
        <v>-1</v>
      </c>
      <c r="J1262" s="1">
        <f t="shared" si="57"/>
        <v>0.47975723007334636</v>
      </c>
      <c r="K1262" s="1">
        <f t="shared" si="59"/>
        <v>2.1896814599543424</v>
      </c>
    </row>
    <row r="1263" spans="4:11" ht="15.75" thickBot="1">
      <c r="D1263" s="8"/>
      <c r="E1263" s="15" t="s">
        <v>37</v>
      </c>
      <c r="F1263" s="15" t="s">
        <v>2</v>
      </c>
      <c r="G1263" s="17" t="s">
        <v>178</v>
      </c>
      <c r="H1263" s="17"/>
      <c r="I1263" s="1" t="str">
        <f t="shared" si="58"/>
        <v/>
      </c>
      <c r="J1263" s="1" t="str">
        <f t="shared" si="57"/>
        <v/>
      </c>
      <c r="K1263" s="1">
        <f t="shared" si="59"/>
        <v>0</v>
      </c>
    </row>
    <row r="1264" spans="4:11" ht="18" customHeight="1">
      <c r="D1264" s="6" t="s">
        <v>133</v>
      </c>
      <c r="E1264" s="7"/>
      <c r="F1264" s="7"/>
      <c r="G1264" s="17" t="s">
        <v>182</v>
      </c>
      <c r="H1264" s="17">
        <v>1</v>
      </c>
      <c r="I1264" s="1">
        <f t="shared" si="58"/>
        <v>2</v>
      </c>
      <c r="J1264" s="1">
        <f t="shared" si="57"/>
        <v>1.4739938376804105</v>
      </c>
      <c r="K1264" s="1">
        <f t="shared" si="59"/>
        <v>0.27668248279818236</v>
      </c>
    </row>
    <row r="1265" spans="4:11" ht="15.75" thickBot="1">
      <c r="D1265" s="8"/>
      <c r="E1265" s="15" t="s">
        <v>13</v>
      </c>
      <c r="F1265" s="15" t="s">
        <v>8</v>
      </c>
      <c r="G1265" s="17" t="s">
        <v>178</v>
      </c>
      <c r="H1265" s="17"/>
      <c r="I1265" s="1" t="str">
        <f t="shared" si="58"/>
        <v/>
      </c>
      <c r="J1265" s="1" t="str">
        <f t="shared" si="57"/>
        <v/>
      </c>
      <c r="K1265" s="1">
        <f t="shared" si="59"/>
        <v>0</v>
      </c>
    </row>
    <row r="1266" spans="4:11" ht="15" customHeight="1">
      <c r="D1266" s="6" t="s">
        <v>133</v>
      </c>
      <c r="E1266" s="7"/>
      <c r="F1266" s="7"/>
      <c r="G1266" s="17" t="s">
        <v>182</v>
      </c>
      <c r="H1266" s="17">
        <v>0</v>
      </c>
      <c r="I1266" s="1">
        <f t="shared" si="58"/>
        <v>3</v>
      </c>
      <c r="J1266" s="1">
        <f t="shared" si="57"/>
        <v>0</v>
      </c>
      <c r="K1266" s="1">
        <f t="shared" si="59"/>
        <v>9</v>
      </c>
    </row>
    <row r="1267" spans="4:11" ht="15.75" thickBot="1">
      <c r="D1267" s="8"/>
      <c r="E1267" s="15" t="s">
        <v>41</v>
      </c>
      <c r="F1267" s="15" t="s">
        <v>38</v>
      </c>
      <c r="G1267" s="17" t="s">
        <v>178</v>
      </c>
      <c r="H1267" s="17"/>
      <c r="I1267" s="1" t="str">
        <f t="shared" si="58"/>
        <v/>
      </c>
      <c r="J1267" s="1" t="str">
        <f t="shared" si="57"/>
        <v/>
      </c>
      <c r="K1267" s="1">
        <f t="shared" si="59"/>
        <v>0</v>
      </c>
    </row>
    <row r="1268" spans="4:11" ht="15" customHeight="1">
      <c r="D1268" s="6" t="s">
        <v>133</v>
      </c>
      <c r="E1268" s="7"/>
      <c r="F1268" s="7"/>
      <c r="G1268" s="17" t="s">
        <v>180</v>
      </c>
      <c r="H1268" s="17">
        <v>7</v>
      </c>
      <c r="I1268" s="1">
        <f t="shared" si="58"/>
        <v>-5</v>
      </c>
      <c r="J1268" s="1">
        <f t="shared" si="57"/>
        <v>0.14482050487377762</v>
      </c>
      <c r="K1268" s="1">
        <f t="shared" si="59"/>
        <v>26.469178027369672</v>
      </c>
    </row>
    <row r="1269" spans="4:11" ht="15.75" thickBot="1">
      <c r="D1269" s="8"/>
      <c r="E1269" s="15" t="s">
        <v>23</v>
      </c>
      <c r="F1269" s="15" t="s">
        <v>11</v>
      </c>
      <c r="G1269" s="17" t="s">
        <v>178</v>
      </c>
      <c r="H1269" s="17"/>
      <c r="I1269" s="1" t="str">
        <f t="shared" si="58"/>
        <v/>
      </c>
      <c r="J1269" s="1" t="str">
        <f t="shared" si="57"/>
        <v/>
      </c>
      <c r="K1269" s="1">
        <f t="shared" si="59"/>
        <v>0</v>
      </c>
    </row>
    <row r="1270" spans="4:11" ht="15" customHeight="1">
      <c r="D1270" s="6" t="s">
        <v>133</v>
      </c>
      <c r="E1270" s="7"/>
      <c r="F1270" s="7"/>
      <c r="G1270" s="17" t="s">
        <v>180</v>
      </c>
      <c r="H1270" s="17">
        <v>3</v>
      </c>
      <c r="I1270" s="1">
        <f t="shared" si="58"/>
        <v>-1</v>
      </c>
      <c r="J1270" s="1">
        <f t="shared" si="57"/>
        <v>0.33331270723031992</v>
      </c>
      <c r="K1270" s="1">
        <f t="shared" si="59"/>
        <v>1.7777227752618447</v>
      </c>
    </row>
    <row r="1271" spans="4:11" ht="15.75" thickBot="1">
      <c r="D1271" s="8"/>
      <c r="E1271" s="15" t="s">
        <v>22</v>
      </c>
      <c r="F1271" s="15" t="s">
        <v>28</v>
      </c>
      <c r="G1271" s="17" t="s">
        <v>178</v>
      </c>
      <c r="H1271" s="17"/>
      <c r="I1271" s="1" t="str">
        <f t="shared" si="58"/>
        <v/>
      </c>
      <c r="J1271" s="1" t="str">
        <f t="shared" si="57"/>
        <v/>
      </c>
      <c r="K1271" s="1">
        <f t="shared" si="59"/>
        <v>0</v>
      </c>
    </row>
    <row r="1272" spans="4:11" ht="15" customHeight="1">
      <c r="D1272" s="6" t="s">
        <v>133</v>
      </c>
      <c r="E1272" s="7"/>
      <c r="F1272" s="7"/>
      <c r="G1272" s="17" t="s">
        <v>180</v>
      </c>
      <c r="H1272" s="17">
        <v>4</v>
      </c>
      <c r="I1272" s="1">
        <f t="shared" si="58"/>
        <v>-2</v>
      </c>
      <c r="J1272" s="1">
        <f t="shared" si="57"/>
        <v>-1.3951428938979262</v>
      </c>
      <c r="K1272" s="1">
        <f t="shared" si="59"/>
        <v>0.36585211880217533</v>
      </c>
    </row>
    <row r="1273" spans="4:11" ht="15.75" thickBot="1">
      <c r="D1273" s="8"/>
      <c r="E1273" s="15" t="s">
        <v>24</v>
      </c>
      <c r="F1273" s="15" t="s">
        <v>39</v>
      </c>
      <c r="G1273" s="17" t="s">
        <v>178</v>
      </c>
      <c r="H1273" s="17"/>
      <c r="I1273" s="1" t="str">
        <f t="shared" si="58"/>
        <v/>
      </c>
      <c r="J1273" s="1" t="str">
        <f t="shared" si="57"/>
        <v/>
      </c>
      <c r="K1273" s="1">
        <f t="shared" si="59"/>
        <v>0</v>
      </c>
    </row>
    <row r="1274" spans="4:11" ht="15" customHeight="1">
      <c r="D1274" s="6" t="s">
        <v>133</v>
      </c>
      <c r="E1274" s="7"/>
      <c r="F1274" s="7"/>
      <c r="G1274" s="17" t="s">
        <v>181</v>
      </c>
      <c r="H1274" s="17">
        <v>5</v>
      </c>
      <c r="I1274" s="1">
        <f t="shared" si="58"/>
        <v>-4</v>
      </c>
      <c r="J1274" s="1">
        <f t="shared" si="57"/>
        <v>-0.23631500439449837</v>
      </c>
      <c r="K1274" s="1">
        <f t="shared" si="59"/>
        <v>14.165324746145984</v>
      </c>
    </row>
    <row r="1275" spans="4:11" ht="15.75" thickBot="1">
      <c r="D1275" s="8"/>
      <c r="E1275" s="15" t="s">
        <v>3</v>
      </c>
      <c r="F1275" s="15" t="s">
        <v>19</v>
      </c>
      <c r="G1275" s="17" t="s">
        <v>178</v>
      </c>
      <c r="H1275" s="17"/>
      <c r="I1275" s="1" t="str">
        <f t="shared" si="58"/>
        <v/>
      </c>
      <c r="J1275" s="1" t="str">
        <f t="shared" si="57"/>
        <v/>
      </c>
      <c r="K1275" s="1">
        <f t="shared" si="59"/>
        <v>0</v>
      </c>
    </row>
    <row r="1276" spans="4:11" ht="15" customHeight="1">
      <c r="D1276" s="6" t="s">
        <v>133</v>
      </c>
      <c r="E1276" s="7"/>
      <c r="F1276" s="7"/>
      <c r="G1276" s="17" t="s">
        <v>180</v>
      </c>
      <c r="H1276" s="17">
        <v>8</v>
      </c>
      <c r="I1276" s="1">
        <f t="shared" si="58"/>
        <v>-6</v>
      </c>
      <c r="J1276" s="1">
        <f t="shared" si="57"/>
        <v>-0.46400297954308201</v>
      </c>
      <c r="K1276" s="1">
        <f t="shared" si="59"/>
        <v>30.647263010507874</v>
      </c>
    </row>
    <row r="1277" spans="4:11" ht="15.75" thickBot="1">
      <c r="D1277" s="8"/>
      <c r="E1277" s="15" t="s">
        <v>14</v>
      </c>
      <c r="F1277" s="15" t="s">
        <v>25</v>
      </c>
      <c r="G1277" s="17" t="s">
        <v>178</v>
      </c>
      <c r="H1277" s="17"/>
      <c r="I1277" s="1" t="str">
        <f t="shared" si="58"/>
        <v/>
      </c>
      <c r="J1277" s="1" t="str">
        <f t="shared" si="57"/>
        <v/>
      </c>
      <c r="K1277" s="1">
        <f t="shared" si="59"/>
        <v>0</v>
      </c>
    </row>
    <row r="1278" spans="4:11" ht="18" customHeight="1">
      <c r="D1278" s="6" t="s">
        <v>133</v>
      </c>
      <c r="E1278" s="7"/>
      <c r="F1278" s="7"/>
      <c r="G1278" s="17" t="s">
        <v>184</v>
      </c>
      <c r="H1278" s="17">
        <v>5</v>
      </c>
      <c r="I1278" s="1">
        <f t="shared" si="58"/>
        <v>-1</v>
      </c>
      <c r="J1278" s="1">
        <f t="shared" si="57"/>
        <v>0.23074551762601914</v>
      </c>
      <c r="K1278" s="1">
        <f t="shared" si="59"/>
        <v>1.5147345291565377</v>
      </c>
    </row>
    <row r="1279" spans="4:11" ht="15.75" thickBot="1">
      <c r="D1279" s="8"/>
      <c r="E1279" s="15" t="s">
        <v>18</v>
      </c>
      <c r="F1279" s="15" t="s">
        <v>21</v>
      </c>
      <c r="G1279" s="17" t="s">
        <v>178</v>
      </c>
      <c r="H1279" s="17"/>
      <c r="I1279" s="1" t="str">
        <f t="shared" si="58"/>
        <v/>
      </c>
      <c r="J1279" s="1" t="str">
        <f t="shared" si="57"/>
        <v/>
      </c>
      <c r="K1279" s="1">
        <f t="shared" si="59"/>
        <v>0</v>
      </c>
    </row>
    <row r="1280" spans="4:11" ht="15" customHeight="1">
      <c r="D1280" s="6" t="s">
        <v>133</v>
      </c>
      <c r="E1280" s="7"/>
      <c r="F1280" s="7"/>
      <c r="G1280" s="17" t="s">
        <v>182</v>
      </c>
      <c r="H1280" s="17">
        <v>2</v>
      </c>
      <c r="I1280" s="1">
        <f t="shared" si="58"/>
        <v>1</v>
      </c>
      <c r="J1280" s="1">
        <f t="shared" si="57"/>
        <v>0.4868947757543225</v>
      </c>
      <c r="K1280" s="1">
        <f t="shared" si="59"/>
        <v>0.26327697114820697</v>
      </c>
    </row>
    <row r="1281" spans="4:11" ht="15.75" thickBot="1">
      <c r="D1281" s="8"/>
      <c r="E1281" s="15" t="s">
        <v>33</v>
      </c>
      <c r="F1281" s="15" t="s">
        <v>26</v>
      </c>
      <c r="G1281" s="17" t="s">
        <v>178</v>
      </c>
      <c r="H1281" s="17"/>
      <c r="I1281" s="1" t="str">
        <f t="shared" si="58"/>
        <v/>
      </c>
      <c r="J1281" s="1" t="str">
        <f t="shared" si="57"/>
        <v/>
      </c>
      <c r="K1281" s="1">
        <f t="shared" si="59"/>
        <v>0</v>
      </c>
    </row>
    <row r="1282" spans="4:11" ht="15" customHeight="1">
      <c r="D1282" s="6" t="s">
        <v>134</v>
      </c>
      <c r="E1282" s="7"/>
      <c r="F1282" s="7"/>
      <c r="G1282" s="17" t="s">
        <v>182</v>
      </c>
      <c r="H1282" s="17">
        <v>2</v>
      </c>
      <c r="I1282" s="1">
        <f t="shared" si="58"/>
        <v>1</v>
      </c>
      <c r="J1282" s="1">
        <f t="shared" si="57"/>
        <v>0.63736781733253167</v>
      </c>
      <c r="K1282" s="1">
        <f t="shared" si="59"/>
        <v>0.13150209990617212</v>
      </c>
    </row>
    <row r="1283" spans="4:11" ht="15.75" thickBot="1">
      <c r="D1283" s="8"/>
      <c r="E1283" s="15" t="s">
        <v>443</v>
      </c>
      <c r="F1283" s="15" t="s">
        <v>7</v>
      </c>
      <c r="G1283" s="17" t="s">
        <v>178</v>
      </c>
      <c r="H1283" s="17"/>
      <c r="I1283" s="1" t="str">
        <f t="shared" si="58"/>
        <v/>
      </c>
      <c r="J1283" s="1" t="str">
        <f t="shared" ref="J1283:J1346" si="60">IF(F1284="","",VLOOKUP(F1284,$A$2:$B$31,2)+$B$33-VLOOKUP(E1284,$A$2:$B$31,2))</f>
        <v/>
      </c>
      <c r="K1283" s="1">
        <f t="shared" si="59"/>
        <v>0</v>
      </c>
    </row>
    <row r="1284" spans="4:11" ht="15" customHeight="1">
      <c r="D1284" s="6" t="s">
        <v>134</v>
      </c>
      <c r="E1284" s="7"/>
      <c r="F1284" s="7"/>
      <c r="G1284" s="17" t="s">
        <v>179</v>
      </c>
      <c r="H1284" s="17">
        <v>1</v>
      </c>
      <c r="I1284" s="1">
        <f t="shared" ref="I1284:I1347" si="61">IF(G1284="","",G1284-H1284)</f>
        <v>-1</v>
      </c>
      <c r="J1284" s="1">
        <f t="shared" si="60"/>
        <v>-0.71078361101953647</v>
      </c>
      <c r="K1284" s="1">
        <f t="shared" ref="K1284:K1347" si="62">IF(J1284="",0,(I1284-J1284)^2)</f>
        <v>8.3646119654898793E-2</v>
      </c>
    </row>
    <row r="1285" spans="4:11" ht="30.75" thickBot="1">
      <c r="D1285" s="8"/>
      <c r="E1285" s="15" t="s">
        <v>1</v>
      </c>
      <c r="F1285" s="15" t="s">
        <v>12</v>
      </c>
      <c r="G1285" s="17" t="s">
        <v>178</v>
      </c>
      <c r="H1285" s="17"/>
      <c r="I1285" s="1" t="str">
        <f t="shared" si="61"/>
        <v/>
      </c>
      <c r="J1285" s="1" t="str">
        <f t="shared" si="60"/>
        <v/>
      </c>
      <c r="K1285" s="1">
        <f t="shared" si="62"/>
        <v>0</v>
      </c>
    </row>
    <row r="1286" spans="4:11" ht="18" customHeight="1">
      <c r="D1286" s="6" t="s">
        <v>134</v>
      </c>
      <c r="E1286" s="7"/>
      <c r="F1286" s="7"/>
      <c r="G1286" s="17" t="s">
        <v>179</v>
      </c>
      <c r="H1286" s="17">
        <v>4</v>
      </c>
      <c r="I1286" s="1">
        <f t="shared" si="61"/>
        <v>-4</v>
      </c>
      <c r="J1286" s="1">
        <f t="shared" si="60"/>
        <v>-2.7604176736389263E-2</v>
      </c>
      <c r="K1286" s="1">
        <f t="shared" si="62"/>
        <v>15.779928576682179</v>
      </c>
    </row>
    <row r="1287" spans="4:11" ht="15.75" thickBot="1">
      <c r="D1287" s="8"/>
      <c r="E1287" s="15" t="s">
        <v>0</v>
      </c>
      <c r="F1287" s="15" t="s">
        <v>10</v>
      </c>
      <c r="G1287" s="17" t="s">
        <v>178</v>
      </c>
      <c r="H1287" s="17"/>
      <c r="I1287" s="1" t="str">
        <f t="shared" si="61"/>
        <v/>
      </c>
      <c r="J1287" s="1" t="str">
        <f t="shared" si="60"/>
        <v/>
      </c>
      <c r="K1287" s="1">
        <f t="shared" si="62"/>
        <v>0</v>
      </c>
    </row>
    <row r="1288" spans="4:11" ht="15" customHeight="1">
      <c r="D1288" s="6" t="s">
        <v>134</v>
      </c>
      <c r="E1288" s="7"/>
      <c r="F1288" s="7"/>
      <c r="G1288" s="17" t="s">
        <v>185</v>
      </c>
      <c r="H1288" s="17">
        <v>3</v>
      </c>
      <c r="I1288" s="1">
        <f t="shared" si="61"/>
        <v>2</v>
      </c>
      <c r="J1288" s="1">
        <f t="shared" si="60"/>
        <v>-0.45153225064285607</v>
      </c>
      <c r="K1288" s="1">
        <f t="shared" si="62"/>
        <v>6.0100103759420271</v>
      </c>
    </row>
    <row r="1289" spans="4:11" ht="15.75" thickBot="1">
      <c r="D1289" s="8"/>
      <c r="E1289" s="15" t="s">
        <v>36</v>
      </c>
      <c r="F1289" s="15" t="s">
        <v>34</v>
      </c>
      <c r="G1289" s="17" t="s">
        <v>178</v>
      </c>
      <c r="H1289" s="17"/>
      <c r="I1289" s="1" t="str">
        <f t="shared" si="61"/>
        <v/>
      </c>
      <c r="J1289" s="1" t="str">
        <f t="shared" si="60"/>
        <v/>
      </c>
      <c r="K1289" s="1">
        <f t="shared" si="62"/>
        <v>0</v>
      </c>
    </row>
    <row r="1290" spans="4:11" ht="15" customHeight="1">
      <c r="D1290" s="6" t="s">
        <v>135</v>
      </c>
      <c r="E1290" s="7"/>
      <c r="F1290" s="7"/>
      <c r="G1290" s="17" t="s">
        <v>179</v>
      </c>
      <c r="H1290" s="17">
        <v>3</v>
      </c>
      <c r="I1290" s="1">
        <f t="shared" si="61"/>
        <v>-3</v>
      </c>
      <c r="J1290" s="1">
        <f t="shared" si="60"/>
        <v>0.4786607447554303</v>
      </c>
      <c r="K1290" s="1">
        <f t="shared" si="62"/>
        <v>12.101080577102405</v>
      </c>
    </row>
    <row r="1291" spans="4:11" ht="15.75" thickBot="1">
      <c r="D1291" s="8"/>
      <c r="E1291" s="15" t="s">
        <v>38</v>
      </c>
      <c r="F1291" s="15" t="s">
        <v>2</v>
      </c>
      <c r="G1291" s="17" t="s">
        <v>178</v>
      </c>
      <c r="H1291" s="17"/>
      <c r="I1291" s="1" t="str">
        <f t="shared" si="61"/>
        <v/>
      </c>
      <c r="J1291" s="1" t="str">
        <f t="shared" si="60"/>
        <v/>
      </c>
      <c r="K1291" s="1">
        <f t="shared" si="62"/>
        <v>0</v>
      </c>
    </row>
    <row r="1292" spans="4:11" ht="15" customHeight="1">
      <c r="D1292" s="6" t="s">
        <v>135</v>
      </c>
      <c r="E1292" s="7"/>
      <c r="F1292" s="7"/>
      <c r="G1292" s="17" t="s">
        <v>186</v>
      </c>
      <c r="H1292" s="17">
        <v>0</v>
      </c>
      <c r="I1292" s="1">
        <f t="shared" si="61"/>
        <v>7</v>
      </c>
      <c r="J1292" s="1">
        <f t="shared" si="60"/>
        <v>1.7697057626000117</v>
      </c>
      <c r="K1292" s="1">
        <f t="shared" si="62"/>
        <v>27.355977809779525</v>
      </c>
    </row>
    <row r="1293" spans="4:11" ht="15.75" thickBot="1">
      <c r="D1293" s="8"/>
      <c r="E1293" s="15" t="s">
        <v>23</v>
      </c>
      <c r="F1293" s="15" t="s">
        <v>8</v>
      </c>
      <c r="G1293" s="17" t="s">
        <v>178</v>
      </c>
      <c r="H1293" s="17"/>
      <c r="I1293" s="1" t="str">
        <f t="shared" si="61"/>
        <v/>
      </c>
      <c r="J1293" s="1" t="str">
        <f t="shared" si="60"/>
        <v/>
      </c>
      <c r="K1293" s="1">
        <f t="shared" si="62"/>
        <v>0</v>
      </c>
    </row>
    <row r="1294" spans="4:11" ht="15" customHeight="1">
      <c r="D1294" s="6" t="s">
        <v>135</v>
      </c>
      <c r="E1294" s="7"/>
      <c r="F1294" s="7"/>
      <c r="G1294" s="17" t="s">
        <v>184</v>
      </c>
      <c r="H1294" s="17">
        <v>0</v>
      </c>
      <c r="I1294" s="1">
        <f t="shared" si="61"/>
        <v>4</v>
      </c>
      <c r="J1294" s="1">
        <f t="shared" si="60"/>
        <v>0.44728123425028343</v>
      </c>
      <c r="K1294" s="1">
        <f t="shared" si="62"/>
        <v>12.62181062851019</v>
      </c>
    </row>
    <row r="1295" spans="4:11" ht="30.75" thickBot="1">
      <c r="D1295" s="8"/>
      <c r="E1295" s="15" t="s">
        <v>3</v>
      </c>
      <c r="F1295" s="15" t="s">
        <v>1</v>
      </c>
      <c r="G1295" s="17" t="s">
        <v>178</v>
      </c>
      <c r="H1295" s="17"/>
      <c r="I1295" s="1" t="str">
        <f t="shared" si="61"/>
        <v/>
      </c>
      <c r="J1295" s="1" t="str">
        <f t="shared" si="60"/>
        <v/>
      </c>
      <c r="K1295" s="1">
        <f t="shared" si="62"/>
        <v>0</v>
      </c>
    </row>
    <row r="1296" spans="4:11" ht="18" customHeight="1">
      <c r="D1296" s="6" t="s">
        <v>135</v>
      </c>
      <c r="E1296" s="7"/>
      <c r="F1296" s="7"/>
      <c r="G1296" s="17" t="s">
        <v>181</v>
      </c>
      <c r="H1296" s="17">
        <v>4</v>
      </c>
      <c r="I1296" s="1">
        <f t="shared" si="61"/>
        <v>-3</v>
      </c>
      <c r="J1296" s="1">
        <f t="shared" si="60"/>
        <v>0.18746899899488767</v>
      </c>
      <c r="K1296" s="1">
        <f t="shared" si="62"/>
        <v>10.159958619553471</v>
      </c>
    </row>
    <row r="1297" spans="4:11" ht="15.75" thickBot="1">
      <c r="D1297" s="8"/>
      <c r="E1297" s="15" t="s">
        <v>443</v>
      </c>
      <c r="F1297" s="15" t="s">
        <v>18</v>
      </c>
      <c r="G1297" s="17" t="s">
        <v>178</v>
      </c>
      <c r="H1297" s="17"/>
      <c r="I1297" s="1" t="str">
        <f t="shared" si="61"/>
        <v/>
      </c>
      <c r="J1297" s="1" t="str">
        <f t="shared" si="60"/>
        <v/>
      </c>
      <c r="K1297" s="1">
        <f t="shared" si="62"/>
        <v>0</v>
      </c>
    </row>
    <row r="1298" spans="4:11" ht="15" customHeight="1">
      <c r="D1298" s="6" t="s">
        <v>135</v>
      </c>
      <c r="E1298" s="7"/>
      <c r="F1298" s="7"/>
      <c r="G1298" s="17" t="s">
        <v>180</v>
      </c>
      <c r="H1298" s="17">
        <v>3</v>
      </c>
      <c r="I1298" s="1">
        <f t="shared" si="61"/>
        <v>-1</v>
      </c>
      <c r="J1298" s="1">
        <f t="shared" si="60"/>
        <v>-1.4234356142490014</v>
      </c>
      <c r="K1298" s="1">
        <f t="shared" si="62"/>
        <v>0.17929771941442915</v>
      </c>
    </row>
    <row r="1299" spans="4:11" ht="15.75" thickBot="1">
      <c r="D1299" s="8"/>
      <c r="E1299" s="15" t="s">
        <v>24</v>
      </c>
      <c r="F1299" s="15" t="s">
        <v>37</v>
      </c>
      <c r="G1299" s="17" t="s">
        <v>178</v>
      </c>
      <c r="H1299" s="17"/>
      <c r="I1299" s="1" t="str">
        <f t="shared" si="61"/>
        <v/>
      </c>
      <c r="J1299" s="1" t="str">
        <f t="shared" si="60"/>
        <v/>
      </c>
      <c r="K1299" s="1">
        <f t="shared" si="62"/>
        <v>0</v>
      </c>
    </row>
    <row r="1300" spans="4:11" ht="15" customHeight="1">
      <c r="D1300" s="6" t="s">
        <v>135</v>
      </c>
      <c r="E1300" s="7"/>
      <c r="F1300" s="7"/>
      <c r="G1300" s="17" t="s">
        <v>184</v>
      </c>
      <c r="H1300" s="17">
        <v>2</v>
      </c>
      <c r="I1300" s="1">
        <f t="shared" si="61"/>
        <v>2</v>
      </c>
      <c r="J1300" s="1">
        <f t="shared" si="60"/>
        <v>0.22727376426495027</v>
      </c>
      <c r="K1300" s="1">
        <f t="shared" si="62"/>
        <v>3.1425583068633589</v>
      </c>
    </row>
    <row r="1301" spans="4:11" ht="15.75" thickBot="1">
      <c r="D1301" s="8"/>
      <c r="E1301" s="15" t="s">
        <v>22</v>
      </c>
      <c r="F1301" s="15" t="s">
        <v>14</v>
      </c>
      <c r="G1301" s="17" t="s">
        <v>178</v>
      </c>
      <c r="H1301" s="17"/>
      <c r="I1301" s="1" t="str">
        <f t="shared" si="61"/>
        <v/>
      </c>
      <c r="J1301" s="1" t="str">
        <f t="shared" si="60"/>
        <v/>
      </c>
      <c r="K1301" s="1">
        <f t="shared" si="62"/>
        <v>0</v>
      </c>
    </row>
    <row r="1302" spans="4:11" ht="18" customHeight="1">
      <c r="D1302" s="6" t="s">
        <v>135</v>
      </c>
      <c r="E1302" s="7"/>
      <c r="F1302" s="7"/>
      <c r="G1302" s="17" t="s">
        <v>182</v>
      </c>
      <c r="H1302" s="17">
        <v>2</v>
      </c>
      <c r="I1302" s="1">
        <f t="shared" si="61"/>
        <v>1</v>
      </c>
      <c r="J1302" s="1">
        <f t="shared" si="60"/>
        <v>-0.38748340634651868</v>
      </c>
      <c r="K1302" s="1">
        <f t="shared" si="62"/>
        <v>1.9251102028869387</v>
      </c>
    </row>
    <row r="1303" spans="4:11" ht="15.75" thickBot="1">
      <c r="D1303" s="8"/>
      <c r="E1303" s="15" t="s">
        <v>13</v>
      </c>
      <c r="F1303" s="15" t="s">
        <v>39</v>
      </c>
      <c r="G1303" s="17" t="s">
        <v>178</v>
      </c>
      <c r="H1303" s="17"/>
      <c r="I1303" s="1" t="str">
        <f t="shared" si="61"/>
        <v/>
      </c>
      <c r="J1303" s="1" t="str">
        <f t="shared" si="60"/>
        <v/>
      </c>
      <c r="K1303" s="1">
        <f t="shared" si="62"/>
        <v>0</v>
      </c>
    </row>
    <row r="1304" spans="4:11" ht="18" customHeight="1">
      <c r="D1304" s="6" t="s">
        <v>135</v>
      </c>
      <c r="E1304" s="7"/>
      <c r="F1304" s="7"/>
      <c r="G1304" s="17" t="s">
        <v>180</v>
      </c>
      <c r="H1304" s="17">
        <v>1</v>
      </c>
      <c r="I1304" s="1">
        <f t="shared" si="61"/>
        <v>1</v>
      </c>
      <c r="J1304" s="1">
        <f t="shared" si="60"/>
        <v>0.27591078395789737</v>
      </c>
      <c r="K1304" s="1">
        <f t="shared" si="62"/>
        <v>0.52430519278846677</v>
      </c>
    </row>
    <row r="1305" spans="4:11" ht="15.75" thickBot="1">
      <c r="D1305" s="8"/>
      <c r="E1305" s="15" t="s">
        <v>25</v>
      </c>
      <c r="F1305" s="15" t="s">
        <v>21</v>
      </c>
      <c r="G1305" s="17" t="s">
        <v>178</v>
      </c>
      <c r="H1305" s="17"/>
      <c r="I1305" s="1" t="str">
        <f t="shared" si="61"/>
        <v/>
      </c>
      <c r="J1305" s="1" t="str">
        <f t="shared" si="60"/>
        <v/>
      </c>
      <c r="K1305" s="1">
        <f t="shared" si="62"/>
        <v>0</v>
      </c>
    </row>
    <row r="1306" spans="4:11" ht="18" customHeight="1">
      <c r="D1306" s="6" t="s">
        <v>135</v>
      </c>
      <c r="E1306" s="7"/>
      <c r="F1306" s="7"/>
      <c r="G1306" s="17" t="s">
        <v>184</v>
      </c>
      <c r="H1306" s="17">
        <v>1</v>
      </c>
      <c r="I1306" s="1">
        <f t="shared" si="61"/>
        <v>3</v>
      </c>
      <c r="J1306" s="1">
        <f t="shared" si="60"/>
        <v>0.80982891348897112</v>
      </c>
      <c r="K1306" s="1">
        <f t="shared" si="62"/>
        <v>4.7968493881889005</v>
      </c>
    </row>
    <row r="1307" spans="4:11" ht="15.75" thickBot="1">
      <c r="D1307" s="8"/>
      <c r="E1307" s="15" t="s">
        <v>4</v>
      </c>
      <c r="F1307" s="15" t="s">
        <v>26</v>
      </c>
      <c r="G1307" s="17" t="s">
        <v>178</v>
      </c>
      <c r="H1307" s="17"/>
      <c r="I1307" s="1" t="str">
        <f t="shared" si="61"/>
        <v/>
      </c>
      <c r="J1307" s="1" t="str">
        <f t="shared" si="60"/>
        <v/>
      </c>
      <c r="K1307" s="1">
        <f t="shared" si="62"/>
        <v>0</v>
      </c>
    </row>
    <row r="1308" spans="4:11" ht="18" customHeight="1">
      <c r="D1308" s="6" t="s">
        <v>135</v>
      </c>
      <c r="E1308" s="7"/>
      <c r="F1308" s="7"/>
      <c r="G1308" s="17" t="s">
        <v>181</v>
      </c>
      <c r="H1308" s="17">
        <v>3</v>
      </c>
      <c r="I1308" s="1">
        <f t="shared" si="61"/>
        <v>-2</v>
      </c>
      <c r="J1308" s="1">
        <f t="shared" si="60"/>
        <v>-0.51449895249071176</v>
      </c>
      <c r="K1308" s="1">
        <f t="shared" si="62"/>
        <v>2.2067133621511927</v>
      </c>
    </row>
    <row r="1309" spans="4:11" ht="15.75" thickBot="1">
      <c r="D1309" s="8"/>
      <c r="E1309" s="15" t="s">
        <v>0</v>
      </c>
      <c r="F1309" s="15" t="s">
        <v>33</v>
      </c>
      <c r="G1309" s="17" t="s">
        <v>178</v>
      </c>
      <c r="H1309" s="17"/>
      <c r="I1309" s="1" t="str">
        <f t="shared" si="61"/>
        <v/>
      </c>
      <c r="J1309" s="1" t="str">
        <f t="shared" si="60"/>
        <v/>
      </c>
      <c r="K1309" s="1">
        <f t="shared" si="62"/>
        <v>0</v>
      </c>
    </row>
    <row r="1310" spans="4:11" ht="15" customHeight="1">
      <c r="D1310" s="6" t="s">
        <v>136</v>
      </c>
      <c r="E1310" s="7"/>
      <c r="F1310" s="7"/>
      <c r="G1310" s="17" t="s">
        <v>182</v>
      </c>
      <c r="H1310" s="17">
        <v>6</v>
      </c>
      <c r="I1310" s="1">
        <f t="shared" si="61"/>
        <v>-3</v>
      </c>
      <c r="J1310" s="1">
        <f t="shared" si="60"/>
        <v>-0.26378822133385427</v>
      </c>
      <c r="K1310" s="1">
        <f t="shared" si="62"/>
        <v>7.4868548977113525</v>
      </c>
    </row>
    <row r="1311" spans="4:11" ht="15.75" thickBot="1">
      <c r="D1311" s="8"/>
      <c r="E1311" s="15" t="s">
        <v>11</v>
      </c>
      <c r="F1311" s="15" t="s">
        <v>41</v>
      </c>
      <c r="G1311" s="17" t="s">
        <v>178</v>
      </c>
      <c r="H1311" s="17"/>
      <c r="I1311" s="1" t="str">
        <f t="shared" si="61"/>
        <v/>
      </c>
      <c r="J1311" s="1" t="str">
        <f t="shared" si="60"/>
        <v/>
      </c>
      <c r="K1311" s="1">
        <f t="shared" si="62"/>
        <v>0</v>
      </c>
    </row>
    <row r="1312" spans="4:11" ht="15" customHeight="1">
      <c r="D1312" s="6" t="s">
        <v>136</v>
      </c>
      <c r="E1312" s="7"/>
      <c r="F1312" s="7"/>
      <c r="G1312" s="17" t="s">
        <v>182</v>
      </c>
      <c r="H1312" s="17">
        <v>0</v>
      </c>
      <c r="I1312" s="1">
        <f t="shared" si="61"/>
        <v>3</v>
      </c>
      <c r="J1312" s="1">
        <f t="shared" si="60"/>
        <v>0.54295219536012951</v>
      </c>
      <c r="K1312" s="1">
        <f t="shared" si="62"/>
        <v>6.0370839142856072</v>
      </c>
    </row>
    <row r="1313" spans="4:11" ht="15.75" thickBot="1">
      <c r="D1313" s="8"/>
      <c r="E1313" s="15" t="s">
        <v>3</v>
      </c>
      <c r="F1313" s="15" t="s">
        <v>28</v>
      </c>
      <c r="G1313" s="17" t="s">
        <v>178</v>
      </c>
      <c r="H1313" s="17"/>
      <c r="I1313" s="1" t="str">
        <f t="shared" si="61"/>
        <v/>
      </c>
      <c r="J1313" s="1" t="str">
        <f t="shared" si="60"/>
        <v/>
      </c>
      <c r="K1313" s="1">
        <f t="shared" si="62"/>
        <v>0</v>
      </c>
    </row>
    <row r="1314" spans="4:11" ht="15" customHeight="1">
      <c r="D1314" s="6" t="s">
        <v>136</v>
      </c>
      <c r="E1314" s="7"/>
      <c r="F1314" s="7"/>
      <c r="G1314" s="17" t="s">
        <v>180</v>
      </c>
      <c r="H1314" s="17">
        <v>1</v>
      </c>
      <c r="I1314" s="1">
        <f t="shared" si="61"/>
        <v>1</v>
      </c>
      <c r="J1314" s="1">
        <f t="shared" si="60"/>
        <v>0.83261497663183093</v>
      </c>
      <c r="K1314" s="1">
        <f t="shared" si="62"/>
        <v>2.8017746047962505E-2</v>
      </c>
    </row>
    <row r="1315" spans="4:11" ht="15.75" thickBot="1">
      <c r="D1315" s="8"/>
      <c r="E1315" s="15" t="s">
        <v>38</v>
      </c>
      <c r="F1315" s="15" t="s">
        <v>7</v>
      </c>
      <c r="G1315" s="17" t="s">
        <v>178</v>
      </c>
      <c r="H1315" s="17"/>
      <c r="I1315" s="1" t="str">
        <f t="shared" si="61"/>
        <v/>
      </c>
      <c r="J1315" s="1" t="str">
        <f t="shared" si="60"/>
        <v/>
      </c>
      <c r="K1315" s="1">
        <f t="shared" si="62"/>
        <v>0</v>
      </c>
    </row>
    <row r="1316" spans="4:11" ht="15" customHeight="1">
      <c r="D1316" s="6" t="s">
        <v>136</v>
      </c>
      <c r="E1316" s="7"/>
      <c r="F1316" s="7"/>
      <c r="G1316" s="17" t="s">
        <v>182</v>
      </c>
      <c r="H1316" s="17">
        <v>4</v>
      </c>
      <c r="I1316" s="1">
        <f t="shared" si="61"/>
        <v>-1</v>
      </c>
      <c r="J1316" s="1">
        <f t="shared" si="60"/>
        <v>2.7187372374754659E-2</v>
      </c>
      <c r="K1316" s="1">
        <f t="shared" si="62"/>
        <v>1.055113897966153</v>
      </c>
    </row>
    <row r="1317" spans="4:11" ht="15.75" thickBot="1">
      <c r="D1317" s="8"/>
      <c r="E1317" s="15" t="s">
        <v>12</v>
      </c>
      <c r="F1317" s="15" t="s">
        <v>19</v>
      </c>
      <c r="G1317" s="17" t="s">
        <v>178</v>
      </c>
      <c r="H1317" s="17"/>
      <c r="I1317" s="1" t="str">
        <f t="shared" si="61"/>
        <v/>
      </c>
      <c r="J1317" s="1" t="str">
        <f t="shared" si="60"/>
        <v/>
      </c>
      <c r="K1317" s="1">
        <f t="shared" si="62"/>
        <v>0</v>
      </c>
    </row>
    <row r="1318" spans="4:11" ht="18" customHeight="1">
      <c r="D1318" s="6" t="s">
        <v>136</v>
      </c>
      <c r="E1318" s="7"/>
      <c r="F1318" s="7"/>
      <c r="G1318" s="17" t="s">
        <v>184</v>
      </c>
      <c r="H1318" s="17">
        <v>2</v>
      </c>
      <c r="I1318" s="1">
        <f t="shared" si="61"/>
        <v>2</v>
      </c>
      <c r="J1318" s="1">
        <f t="shared" si="60"/>
        <v>-0.34452518328755843</v>
      </c>
      <c r="K1318" s="1">
        <f t="shared" si="62"/>
        <v>5.4967983350695597</v>
      </c>
    </row>
    <row r="1319" spans="4:11" ht="15.75" thickBot="1">
      <c r="D1319" s="8"/>
      <c r="E1319" s="15" t="s">
        <v>25</v>
      </c>
      <c r="F1319" s="15" t="s">
        <v>20</v>
      </c>
      <c r="G1319" s="17" t="s">
        <v>178</v>
      </c>
      <c r="H1319" s="17"/>
      <c r="I1319" s="1" t="str">
        <f t="shared" si="61"/>
        <v/>
      </c>
      <c r="J1319" s="1" t="str">
        <f t="shared" si="60"/>
        <v/>
      </c>
      <c r="K1319" s="1">
        <f t="shared" si="62"/>
        <v>0</v>
      </c>
    </row>
    <row r="1320" spans="4:11" ht="15" customHeight="1">
      <c r="D1320" s="6" t="s">
        <v>136</v>
      </c>
      <c r="E1320" s="7"/>
      <c r="F1320" s="7"/>
      <c r="G1320" s="17" t="s">
        <v>181</v>
      </c>
      <c r="H1320" s="17">
        <v>5</v>
      </c>
      <c r="I1320" s="1">
        <f t="shared" si="61"/>
        <v>-4</v>
      </c>
      <c r="J1320" s="1">
        <f t="shared" si="60"/>
        <v>0.17106405967437865</v>
      </c>
      <c r="K1320" s="1">
        <f t="shared" si="62"/>
        <v>17.397775389907309</v>
      </c>
    </row>
    <row r="1321" spans="4:11" ht="15.75" thickBot="1">
      <c r="D1321" s="8"/>
      <c r="E1321" s="15" t="s">
        <v>36</v>
      </c>
      <c r="F1321" s="15" t="s">
        <v>10</v>
      </c>
      <c r="G1321" s="17" t="s">
        <v>178</v>
      </c>
      <c r="H1321" s="17"/>
      <c r="I1321" s="1" t="str">
        <f t="shared" si="61"/>
        <v/>
      </c>
      <c r="J1321" s="1" t="str">
        <f t="shared" si="60"/>
        <v/>
      </c>
      <c r="K1321" s="1">
        <f t="shared" si="62"/>
        <v>0</v>
      </c>
    </row>
    <row r="1322" spans="4:11" ht="18" customHeight="1">
      <c r="D1322" s="6" t="s">
        <v>137</v>
      </c>
      <c r="E1322" s="7"/>
      <c r="F1322" s="7"/>
      <c r="G1322" s="17" t="s">
        <v>182</v>
      </c>
      <c r="H1322" s="17">
        <v>1</v>
      </c>
      <c r="I1322" s="1">
        <f t="shared" si="61"/>
        <v>2</v>
      </c>
      <c r="J1322" s="1">
        <f t="shared" si="60"/>
        <v>-0.35395423187640063</v>
      </c>
      <c r="K1322" s="1">
        <f t="shared" si="62"/>
        <v>5.5411005257688153</v>
      </c>
    </row>
    <row r="1323" spans="4:11" ht="15.75" thickBot="1">
      <c r="D1323" s="8"/>
      <c r="E1323" s="15" t="s">
        <v>7</v>
      </c>
      <c r="F1323" s="15" t="s">
        <v>2</v>
      </c>
      <c r="G1323" s="17" t="s">
        <v>178</v>
      </c>
      <c r="H1323" s="17"/>
      <c r="I1323" s="1" t="str">
        <f t="shared" si="61"/>
        <v/>
      </c>
      <c r="J1323" s="1" t="str">
        <f t="shared" si="60"/>
        <v/>
      </c>
      <c r="K1323" s="1">
        <f t="shared" si="62"/>
        <v>0</v>
      </c>
    </row>
    <row r="1324" spans="4:11" ht="15" customHeight="1">
      <c r="D1324" s="6" t="s">
        <v>137</v>
      </c>
      <c r="E1324" s="7"/>
      <c r="F1324" s="7"/>
      <c r="G1324" s="17" t="s">
        <v>184</v>
      </c>
      <c r="H1324" s="17">
        <v>3</v>
      </c>
      <c r="I1324" s="1">
        <f t="shared" si="61"/>
        <v>1</v>
      </c>
      <c r="J1324" s="1">
        <f t="shared" si="60"/>
        <v>1.076751625699174</v>
      </c>
      <c r="K1324" s="1">
        <f t="shared" si="62"/>
        <v>5.8908120474661131E-3</v>
      </c>
    </row>
    <row r="1325" spans="4:11" ht="15.75" thickBot="1">
      <c r="D1325" s="8"/>
      <c r="E1325" s="15" t="s">
        <v>1</v>
      </c>
      <c r="F1325" s="15" t="s">
        <v>8</v>
      </c>
      <c r="G1325" s="17" t="s">
        <v>178</v>
      </c>
      <c r="H1325" s="17"/>
      <c r="I1325" s="1" t="str">
        <f t="shared" si="61"/>
        <v/>
      </c>
      <c r="J1325" s="1" t="str">
        <f t="shared" si="60"/>
        <v/>
      </c>
      <c r="K1325" s="1">
        <f t="shared" si="62"/>
        <v>0</v>
      </c>
    </row>
    <row r="1326" spans="4:11" ht="15" customHeight="1">
      <c r="D1326" s="6" t="s">
        <v>137</v>
      </c>
      <c r="E1326" s="7"/>
      <c r="F1326" s="7"/>
      <c r="G1326" s="17" t="s">
        <v>184</v>
      </c>
      <c r="H1326" s="17">
        <v>6</v>
      </c>
      <c r="I1326" s="1">
        <f t="shared" si="61"/>
        <v>-2</v>
      </c>
      <c r="J1326" s="1">
        <f t="shared" si="60"/>
        <v>0.19524715929929926</v>
      </c>
      <c r="K1326" s="1">
        <f t="shared" si="62"/>
        <v>4.8191100904116428</v>
      </c>
    </row>
    <row r="1327" spans="4:11" ht="15.75" thickBot="1">
      <c r="D1327" s="8"/>
      <c r="E1327" s="15" t="s">
        <v>41</v>
      </c>
      <c r="F1327" s="15" t="s">
        <v>443</v>
      </c>
      <c r="G1327" s="17" t="s">
        <v>178</v>
      </c>
      <c r="H1327" s="17"/>
      <c r="I1327" s="1" t="str">
        <f t="shared" si="61"/>
        <v/>
      </c>
      <c r="J1327" s="1" t="str">
        <f t="shared" si="60"/>
        <v/>
      </c>
      <c r="K1327" s="1">
        <f t="shared" si="62"/>
        <v>0</v>
      </c>
    </row>
    <row r="1328" spans="4:11" ht="18" customHeight="1">
      <c r="D1328" s="6" t="s">
        <v>137</v>
      </c>
      <c r="E1328" s="7"/>
      <c r="F1328" s="7"/>
      <c r="G1328" s="17" t="s">
        <v>182</v>
      </c>
      <c r="H1328" s="17">
        <v>2</v>
      </c>
      <c r="I1328" s="1">
        <f t="shared" si="61"/>
        <v>1</v>
      </c>
      <c r="J1328" s="1">
        <f t="shared" si="60"/>
        <v>-0.52487665617657342</v>
      </c>
      <c r="K1328" s="1">
        <f t="shared" si="62"/>
        <v>2.3252488165522478</v>
      </c>
    </row>
    <row r="1329" spans="4:11" ht="15.75" thickBot="1">
      <c r="D1329" s="8"/>
      <c r="E1329" s="15" t="s">
        <v>28</v>
      </c>
      <c r="F1329" s="15" t="s">
        <v>18</v>
      </c>
      <c r="G1329" s="17" t="s">
        <v>178</v>
      </c>
      <c r="H1329" s="17"/>
      <c r="I1329" s="1" t="str">
        <f t="shared" si="61"/>
        <v/>
      </c>
      <c r="J1329" s="1" t="str">
        <f t="shared" si="60"/>
        <v/>
      </c>
      <c r="K1329" s="1">
        <f t="shared" si="62"/>
        <v>0</v>
      </c>
    </row>
    <row r="1330" spans="4:11" ht="18" customHeight="1">
      <c r="D1330" s="6" t="s">
        <v>137</v>
      </c>
      <c r="E1330" s="7"/>
      <c r="F1330" s="7"/>
      <c r="G1330" s="17" t="s">
        <v>180</v>
      </c>
      <c r="H1330" s="17">
        <v>5</v>
      </c>
      <c r="I1330" s="1">
        <f t="shared" si="61"/>
        <v>-3</v>
      </c>
      <c r="J1330" s="1">
        <f t="shared" si="60"/>
        <v>0.28635402666354537</v>
      </c>
      <c r="K1330" s="1">
        <f t="shared" si="62"/>
        <v>10.800122788567698</v>
      </c>
    </row>
    <row r="1331" spans="4:11" ht="15.75" thickBot="1">
      <c r="D1331" s="8"/>
      <c r="E1331" s="15" t="s">
        <v>19</v>
      </c>
      <c r="F1331" s="15" t="s">
        <v>13</v>
      </c>
      <c r="G1331" s="17" t="s">
        <v>178</v>
      </c>
      <c r="H1331" s="17"/>
      <c r="I1331" s="1" t="str">
        <f t="shared" si="61"/>
        <v/>
      </c>
      <c r="J1331" s="1" t="str">
        <f t="shared" si="60"/>
        <v/>
      </c>
      <c r="K1331" s="1">
        <f t="shared" si="62"/>
        <v>0</v>
      </c>
    </row>
    <row r="1332" spans="4:11" ht="15" customHeight="1">
      <c r="D1332" s="6" t="s">
        <v>137</v>
      </c>
      <c r="E1332" s="7"/>
      <c r="F1332" s="7"/>
      <c r="G1332" s="17" t="s">
        <v>180</v>
      </c>
      <c r="H1332" s="17">
        <v>3</v>
      </c>
      <c r="I1332" s="1">
        <f t="shared" si="61"/>
        <v>-1</v>
      </c>
      <c r="J1332" s="1">
        <f t="shared" si="60"/>
        <v>-0.57537659255835649</v>
      </c>
      <c r="K1332" s="1">
        <f t="shared" si="62"/>
        <v>0.18030503814735199</v>
      </c>
    </row>
    <row r="1333" spans="4:11" ht="15.75" thickBot="1">
      <c r="D1333" s="8"/>
      <c r="E1333" s="15" t="s">
        <v>22</v>
      </c>
      <c r="F1333" s="15" t="s">
        <v>37</v>
      </c>
      <c r="G1333" s="17" t="s">
        <v>178</v>
      </c>
      <c r="H1333" s="17"/>
      <c r="I1333" s="1" t="str">
        <f t="shared" si="61"/>
        <v/>
      </c>
      <c r="J1333" s="1" t="str">
        <f t="shared" si="60"/>
        <v/>
      </c>
      <c r="K1333" s="1">
        <f t="shared" si="62"/>
        <v>0</v>
      </c>
    </row>
    <row r="1334" spans="4:11" ht="15" customHeight="1">
      <c r="D1334" s="6" t="s">
        <v>137</v>
      </c>
      <c r="E1334" s="7"/>
      <c r="F1334" s="7"/>
      <c r="G1334" s="17" t="s">
        <v>182</v>
      </c>
      <c r="H1334" s="17">
        <v>2</v>
      </c>
      <c r="I1334" s="1">
        <f t="shared" si="61"/>
        <v>1</v>
      </c>
      <c r="J1334" s="1">
        <f t="shared" si="60"/>
        <v>-0.62078525742569468</v>
      </c>
      <c r="K1334" s="1">
        <f t="shared" si="62"/>
        <v>2.6269448506884752</v>
      </c>
    </row>
    <row r="1335" spans="4:11" ht="15.75" thickBot="1">
      <c r="D1335" s="8"/>
      <c r="E1335" s="15" t="s">
        <v>24</v>
      </c>
      <c r="F1335" s="15" t="s">
        <v>14</v>
      </c>
      <c r="G1335" s="17" t="s">
        <v>178</v>
      </c>
      <c r="H1335" s="17"/>
      <c r="I1335" s="1" t="str">
        <f t="shared" si="61"/>
        <v/>
      </c>
      <c r="J1335" s="1" t="str">
        <f t="shared" si="60"/>
        <v/>
      </c>
      <c r="K1335" s="1">
        <f t="shared" si="62"/>
        <v>0</v>
      </c>
    </row>
    <row r="1336" spans="4:11" ht="18" customHeight="1">
      <c r="D1336" s="6" t="s">
        <v>137</v>
      </c>
      <c r="E1336" s="7"/>
      <c r="F1336" s="7"/>
      <c r="G1336" s="17" t="s">
        <v>179</v>
      </c>
      <c r="H1336" s="17">
        <v>3</v>
      </c>
      <c r="I1336" s="1">
        <f t="shared" si="61"/>
        <v>-3</v>
      </c>
      <c r="J1336" s="1">
        <f t="shared" si="60"/>
        <v>-1.0633445263678709</v>
      </c>
      <c r="K1336" s="1">
        <f t="shared" si="62"/>
        <v>3.7506344235492861</v>
      </c>
    </row>
    <row r="1337" spans="4:11" ht="15.75" thickBot="1">
      <c r="D1337" s="8"/>
      <c r="E1337" s="15" t="s">
        <v>0</v>
      </c>
      <c r="F1337" s="15" t="s">
        <v>39</v>
      </c>
      <c r="G1337" s="17" t="s">
        <v>178</v>
      </c>
      <c r="H1337" s="17"/>
      <c r="I1337" s="1" t="str">
        <f t="shared" si="61"/>
        <v/>
      </c>
      <c r="J1337" s="1" t="str">
        <f t="shared" si="60"/>
        <v/>
      </c>
      <c r="K1337" s="1">
        <f t="shared" si="62"/>
        <v>0</v>
      </c>
    </row>
    <row r="1338" spans="4:11" ht="15" customHeight="1">
      <c r="D1338" s="6" t="s">
        <v>137</v>
      </c>
      <c r="E1338" s="7"/>
      <c r="F1338" s="7"/>
      <c r="G1338" s="17" t="s">
        <v>184</v>
      </c>
      <c r="H1338" s="17">
        <v>5</v>
      </c>
      <c r="I1338" s="1">
        <f t="shared" si="61"/>
        <v>-1</v>
      </c>
      <c r="J1338" s="1">
        <f t="shared" si="60"/>
        <v>0.51232343357882826</v>
      </c>
      <c r="K1338" s="1">
        <f t="shared" si="62"/>
        <v>2.2871221677516567</v>
      </c>
    </row>
    <row r="1339" spans="4:11" ht="15.75" thickBot="1">
      <c r="D1339" s="8"/>
      <c r="E1339" s="15" t="s">
        <v>12</v>
      </c>
      <c r="F1339" s="15" t="s">
        <v>21</v>
      </c>
      <c r="G1339" s="17" t="s">
        <v>178</v>
      </c>
      <c r="H1339" s="17"/>
      <c r="I1339" s="1" t="str">
        <f t="shared" si="61"/>
        <v/>
      </c>
      <c r="J1339" s="1" t="str">
        <f t="shared" si="60"/>
        <v/>
      </c>
      <c r="K1339" s="1">
        <f t="shared" si="62"/>
        <v>0</v>
      </c>
    </row>
    <row r="1340" spans="4:11" ht="15" customHeight="1">
      <c r="D1340" s="6" t="s">
        <v>137</v>
      </c>
      <c r="E1340" s="7"/>
      <c r="F1340" s="7"/>
      <c r="G1340" s="17" t="s">
        <v>181</v>
      </c>
      <c r="H1340" s="17">
        <v>3</v>
      </c>
      <c r="I1340" s="1">
        <f t="shared" si="61"/>
        <v>-2</v>
      </c>
      <c r="J1340" s="1">
        <f t="shared" si="60"/>
        <v>-0.94396886820456416</v>
      </c>
      <c r="K1340" s="1">
        <f t="shared" si="62"/>
        <v>1.1152017513211492</v>
      </c>
    </row>
    <row r="1341" spans="4:11" ht="15.75" thickBot="1">
      <c r="D1341" s="8"/>
      <c r="E1341" s="15" t="s">
        <v>26</v>
      </c>
      <c r="F1341" s="15" t="s">
        <v>23</v>
      </c>
      <c r="G1341" s="17" t="s">
        <v>178</v>
      </c>
      <c r="H1341" s="17"/>
      <c r="I1341" s="1" t="str">
        <f t="shared" si="61"/>
        <v/>
      </c>
      <c r="J1341" s="1" t="str">
        <f t="shared" si="60"/>
        <v/>
      </c>
      <c r="K1341" s="1">
        <f t="shared" si="62"/>
        <v>0</v>
      </c>
    </row>
    <row r="1342" spans="4:11" ht="15" customHeight="1">
      <c r="D1342" s="6" t="s">
        <v>137</v>
      </c>
      <c r="E1342" s="7"/>
      <c r="F1342" s="7"/>
      <c r="G1342" s="17" t="s">
        <v>182</v>
      </c>
      <c r="H1342" s="17">
        <v>2</v>
      </c>
      <c r="I1342" s="1">
        <f t="shared" si="61"/>
        <v>1</v>
      </c>
      <c r="J1342" s="1">
        <f t="shared" si="60"/>
        <v>-0.62259631031723472</v>
      </c>
      <c r="K1342" s="1">
        <f t="shared" si="62"/>
        <v>2.632818786255104</v>
      </c>
    </row>
    <row r="1343" spans="4:11" ht="15.75" thickBot="1">
      <c r="D1343" s="8"/>
      <c r="E1343" s="15" t="s">
        <v>10</v>
      </c>
      <c r="F1343" s="15" t="s">
        <v>34</v>
      </c>
      <c r="G1343" s="17" t="s">
        <v>178</v>
      </c>
      <c r="H1343" s="17"/>
      <c r="I1343" s="1" t="str">
        <f t="shared" si="61"/>
        <v/>
      </c>
      <c r="J1343" s="1" t="str">
        <f t="shared" si="60"/>
        <v/>
      </c>
      <c r="K1343" s="1">
        <f t="shared" si="62"/>
        <v>0</v>
      </c>
    </row>
    <row r="1344" spans="4:11" ht="18" customHeight="1">
      <c r="D1344" s="6" t="s">
        <v>137</v>
      </c>
      <c r="E1344" s="7"/>
      <c r="F1344" s="7"/>
      <c r="G1344" s="17" t="s">
        <v>184</v>
      </c>
      <c r="H1344" s="17">
        <v>3</v>
      </c>
      <c r="I1344" s="1">
        <f t="shared" si="61"/>
        <v>1</v>
      </c>
      <c r="J1344" s="1">
        <f t="shared" si="60"/>
        <v>0.32293413773464863</v>
      </c>
      <c r="K1344" s="1">
        <f t="shared" si="62"/>
        <v>0.45841818184512373</v>
      </c>
    </row>
    <row r="1345" spans="4:11" ht="15.75" thickBot="1">
      <c r="D1345" s="8"/>
      <c r="E1345" s="15" t="s">
        <v>4</v>
      </c>
      <c r="F1345" s="15" t="s">
        <v>33</v>
      </c>
      <c r="G1345" s="17" t="s">
        <v>178</v>
      </c>
      <c r="H1345" s="17"/>
      <c r="I1345" s="1" t="str">
        <f t="shared" si="61"/>
        <v/>
      </c>
      <c r="J1345" s="1" t="str">
        <f t="shared" si="60"/>
        <v/>
      </c>
      <c r="K1345" s="1">
        <f t="shared" si="62"/>
        <v>0</v>
      </c>
    </row>
    <row r="1346" spans="4:11" ht="15" customHeight="1">
      <c r="D1346" s="6" t="s">
        <v>138</v>
      </c>
      <c r="E1346" s="7"/>
      <c r="F1346" s="7"/>
      <c r="G1346" s="17" t="s">
        <v>185</v>
      </c>
      <c r="H1346" s="17">
        <v>2</v>
      </c>
      <c r="I1346" s="1">
        <f t="shared" si="61"/>
        <v>3</v>
      </c>
      <c r="J1346" s="1">
        <f t="shared" si="60"/>
        <v>0.26378822133385427</v>
      </c>
      <c r="K1346" s="1">
        <f t="shared" si="62"/>
        <v>7.4868548977113525</v>
      </c>
    </row>
    <row r="1347" spans="4:11" ht="15.75" thickBot="1">
      <c r="D1347" s="8"/>
      <c r="E1347" s="15" t="s">
        <v>38</v>
      </c>
      <c r="F1347" s="15" t="s">
        <v>11</v>
      </c>
      <c r="G1347" s="17" t="s">
        <v>178</v>
      </c>
      <c r="H1347" s="17"/>
      <c r="I1347" s="1" t="str">
        <f t="shared" si="61"/>
        <v/>
      </c>
      <c r="J1347" s="1" t="str">
        <f t="shared" ref="J1347:J1410" si="63">IF(F1348="","",VLOOKUP(F1348,$A$2:$B$31,2)+$B$33-VLOOKUP(E1348,$A$2:$B$31,2))</f>
        <v/>
      </c>
      <c r="K1347" s="1">
        <f t="shared" si="62"/>
        <v>0</v>
      </c>
    </row>
    <row r="1348" spans="4:11" ht="15" customHeight="1">
      <c r="D1348" s="6" t="s">
        <v>138</v>
      </c>
      <c r="E1348" s="7"/>
      <c r="F1348" s="7"/>
      <c r="G1348" s="17" t="s">
        <v>183</v>
      </c>
      <c r="H1348" s="17">
        <v>3</v>
      </c>
      <c r="I1348" s="1">
        <f t="shared" ref="I1348:I1411" si="64">IF(G1348="","",G1348-H1348)</f>
        <v>3</v>
      </c>
      <c r="J1348" s="1">
        <f t="shared" si="63"/>
        <v>-0.6204359672454558</v>
      </c>
      <c r="K1348" s="1">
        <f t="shared" ref="K1348:K1411" si="65">IF(J1348="",0,(I1348-J1348)^2)</f>
        <v>13.107556592924539</v>
      </c>
    </row>
    <row r="1349" spans="4:11" ht="15.75" thickBot="1">
      <c r="D1349" s="8"/>
      <c r="E1349" s="15" t="s">
        <v>21</v>
      </c>
      <c r="F1349" s="15" t="s">
        <v>20</v>
      </c>
      <c r="G1349" s="17" t="s">
        <v>178</v>
      </c>
      <c r="H1349" s="17"/>
      <c r="I1349" s="1" t="str">
        <f t="shared" si="64"/>
        <v/>
      </c>
      <c r="J1349" s="1" t="str">
        <f t="shared" si="63"/>
        <v/>
      </c>
      <c r="K1349" s="1">
        <f t="shared" si="65"/>
        <v>0</v>
      </c>
    </row>
    <row r="1350" spans="4:11" ht="15" customHeight="1">
      <c r="D1350" s="6" t="s">
        <v>138</v>
      </c>
      <c r="E1350" s="7"/>
      <c r="F1350" s="7"/>
      <c r="G1350" s="17" t="s">
        <v>182</v>
      </c>
      <c r="H1350" s="17">
        <v>4</v>
      </c>
      <c r="I1350" s="1">
        <f t="shared" si="64"/>
        <v>-1</v>
      </c>
      <c r="J1350" s="1">
        <f t="shared" si="63"/>
        <v>-0.72538569270233211</v>
      </c>
      <c r="K1350" s="1">
        <f t="shared" si="65"/>
        <v>7.5413017772577973E-2</v>
      </c>
    </row>
    <row r="1351" spans="4:11" ht="15.75" thickBot="1">
      <c r="D1351" s="8"/>
      <c r="E1351" s="15" t="s">
        <v>26</v>
      </c>
      <c r="F1351" s="15" t="s">
        <v>25</v>
      </c>
      <c r="G1351" s="17" t="s">
        <v>178</v>
      </c>
      <c r="H1351" s="17"/>
      <c r="I1351" s="1" t="str">
        <f t="shared" si="64"/>
        <v/>
      </c>
      <c r="J1351" s="1" t="str">
        <f t="shared" si="63"/>
        <v/>
      </c>
      <c r="K1351" s="1">
        <f t="shared" si="65"/>
        <v>0</v>
      </c>
    </row>
    <row r="1352" spans="4:11" ht="18" customHeight="1">
      <c r="D1352" s="6" t="s">
        <v>138</v>
      </c>
      <c r="E1352" s="7"/>
      <c r="F1352" s="7"/>
      <c r="G1352" s="17" t="s">
        <v>184</v>
      </c>
      <c r="H1352" s="17">
        <v>6</v>
      </c>
      <c r="I1352" s="1">
        <f t="shared" si="64"/>
        <v>-2</v>
      </c>
      <c r="J1352" s="1">
        <f t="shared" si="63"/>
        <v>-1.4739938376804105</v>
      </c>
      <c r="K1352" s="1">
        <f t="shared" si="65"/>
        <v>0.27668248279818236</v>
      </c>
    </row>
    <row r="1353" spans="4:11" ht="15.75" thickBot="1">
      <c r="D1353" s="8"/>
      <c r="E1353" s="15" t="s">
        <v>8</v>
      </c>
      <c r="F1353" s="15" t="s">
        <v>13</v>
      </c>
      <c r="G1353" s="17" t="s">
        <v>178</v>
      </c>
      <c r="H1353" s="17"/>
      <c r="I1353" s="1" t="str">
        <f t="shared" si="64"/>
        <v/>
      </c>
      <c r="J1353" s="1" t="str">
        <f t="shared" si="63"/>
        <v/>
      </c>
      <c r="K1353" s="1">
        <f t="shared" si="65"/>
        <v>0</v>
      </c>
    </row>
    <row r="1354" spans="4:11" ht="15" customHeight="1">
      <c r="D1354" s="6" t="s">
        <v>139</v>
      </c>
      <c r="E1354" s="7"/>
      <c r="F1354" s="7"/>
      <c r="G1354" s="17" t="s">
        <v>184</v>
      </c>
      <c r="H1354" s="17">
        <v>7</v>
      </c>
      <c r="I1354" s="1">
        <f t="shared" si="64"/>
        <v>-3</v>
      </c>
      <c r="J1354" s="1">
        <f t="shared" si="63"/>
        <v>-0.81192185336091427</v>
      </c>
      <c r="K1354" s="1">
        <f t="shared" si="65"/>
        <v>4.787685975799536</v>
      </c>
    </row>
    <row r="1355" spans="4:11" ht="15.75" thickBot="1">
      <c r="D1355" s="8"/>
      <c r="E1355" s="15" t="s">
        <v>1</v>
      </c>
      <c r="F1355" s="15" t="s">
        <v>41</v>
      </c>
      <c r="G1355" s="17" t="s">
        <v>178</v>
      </c>
      <c r="H1355" s="17"/>
      <c r="I1355" s="1" t="str">
        <f t="shared" si="64"/>
        <v/>
      </c>
      <c r="J1355" s="1" t="str">
        <f t="shared" si="63"/>
        <v/>
      </c>
      <c r="K1355" s="1">
        <f t="shared" si="65"/>
        <v>0</v>
      </c>
    </row>
    <row r="1356" spans="4:11" ht="18" customHeight="1">
      <c r="D1356" s="6" t="s">
        <v>139</v>
      </c>
      <c r="E1356" s="7"/>
      <c r="F1356" s="7"/>
      <c r="G1356" s="17" t="s">
        <v>184</v>
      </c>
      <c r="H1356" s="17">
        <v>1</v>
      </c>
      <c r="I1356" s="1">
        <f t="shared" si="64"/>
        <v>3</v>
      </c>
      <c r="J1356" s="1">
        <f t="shared" si="63"/>
        <v>0.18294794693026972</v>
      </c>
      <c r="K1356" s="1">
        <f t="shared" si="65"/>
        <v>7.9357822697043821</v>
      </c>
    </row>
    <row r="1357" spans="4:11" ht="15.75" thickBot="1">
      <c r="D1357" s="8"/>
      <c r="E1357" s="15" t="s">
        <v>28</v>
      </c>
      <c r="F1357" s="15" t="s">
        <v>0</v>
      </c>
      <c r="G1357" s="17" t="s">
        <v>178</v>
      </c>
      <c r="H1357" s="17"/>
      <c r="I1357" s="1" t="str">
        <f t="shared" si="64"/>
        <v/>
      </c>
      <c r="J1357" s="1" t="str">
        <f t="shared" si="63"/>
        <v/>
      </c>
      <c r="K1357" s="1">
        <f t="shared" si="65"/>
        <v>0</v>
      </c>
    </row>
    <row r="1358" spans="4:11" ht="15" customHeight="1">
      <c r="D1358" s="6" t="s">
        <v>139</v>
      </c>
      <c r="E1358" s="7"/>
      <c r="F1358" s="7"/>
      <c r="G1358" s="17" t="s">
        <v>180</v>
      </c>
      <c r="H1358" s="17">
        <v>1</v>
      </c>
      <c r="I1358" s="1">
        <f t="shared" si="64"/>
        <v>1</v>
      </c>
      <c r="J1358" s="1">
        <f t="shared" si="63"/>
        <v>0.43691325239475987</v>
      </c>
      <c r="K1358" s="1">
        <f t="shared" si="65"/>
        <v>0.3170666853286474</v>
      </c>
    </row>
    <row r="1359" spans="4:11" ht="15.75" thickBot="1">
      <c r="D1359" s="8"/>
      <c r="E1359" s="15" t="s">
        <v>3</v>
      </c>
      <c r="F1359" s="15" t="s">
        <v>14</v>
      </c>
      <c r="G1359" s="17" t="s">
        <v>178</v>
      </c>
      <c r="H1359" s="17"/>
      <c r="I1359" s="1" t="str">
        <f t="shared" si="64"/>
        <v/>
      </c>
      <c r="J1359" s="1" t="str">
        <f t="shared" si="63"/>
        <v/>
      </c>
      <c r="K1359" s="1">
        <f t="shared" si="65"/>
        <v>0</v>
      </c>
    </row>
    <row r="1360" spans="4:11" ht="15" customHeight="1">
      <c r="D1360" s="6" t="s">
        <v>139</v>
      </c>
      <c r="E1360" s="7"/>
      <c r="F1360" s="7"/>
      <c r="G1360" s="17" t="s">
        <v>181</v>
      </c>
      <c r="H1360" s="17">
        <v>3</v>
      </c>
      <c r="I1360" s="1">
        <f t="shared" si="64"/>
        <v>-2</v>
      </c>
      <c r="J1360" s="1">
        <f t="shared" si="63"/>
        <v>-0.54708387220728127</v>
      </c>
      <c r="K1360" s="1">
        <f t="shared" si="65"/>
        <v>2.1109652744001877</v>
      </c>
    </row>
    <row r="1361" spans="4:11" ht="15.75" thickBot="1">
      <c r="D1361" s="8"/>
      <c r="E1361" s="15" t="s">
        <v>22</v>
      </c>
      <c r="F1361" s="15" t="s">
        <v>39</v>
      </c>
      <c r="G1361" s="17" t="s">
        <v>178</v>
      </c>
      <c r="H1361" s="17"/>
      <c r="I1361" s="1" t="str">
        <f t="shared" si="64"/>
        <v/>
      </c>
      <c r="J1361" s="1" t="str">
        <f t="shared" si="63"/>
        <v/>
      </c>
      <c r="K1361" s="1">
        <f t="shared" si="65"/>
        <v>0</v>
      </c>
    </row>
    <row r="1362" spans="4:11" ht="15" customHeight="1">
      <c r="D1362" s="6" t="s">
        <v>139</v>
      </c>
      <c r="E1362" s="7"/>
      <c r="F1362" s="7"/>
      <c r="G1362" s="17" t="s">
        <v>182</v>
      </c>
      <c r="H1362" s="17">
        <v>1</v>
      </c>
      <c r="I1362" s="1">
        <f t="shared" si="64"/>
        <v>2</v>
      </c>
      <c r="J1362" s="1">
        <f t="shared" si="63"/>
        <v>-0.71364726017175428</v>
      </c>
      <c r="K1362" s="1">
        <f t="shared" si="65"/>
        <v>7.3638814526376688</v>
      </c>
    </row>
    <row r="1363" spans="4:11" ht="15.75" thickBot="1">
      <c r="D1363" s="8"/>
      <c r="E1363" s="15" t="s">
        <v>7</v>
      </c>
      <c r="F1363" s="15" t="s">
        <v>23</v>
      </c>
      <c r="G1363" s="17" t="s">
        <v>178</v>
      </c>
      <c r="H1363" s="17"/>
      <c r="I1363" s="1" t="str">
        <f t="shared" si="64"/>
        <v/>
      </c>
      <c r="J1363" s="1" t="str">
        <f t="shared" si="63"/>
        <v/>
      </c>
      <c r="K1363" s="1">
        <f t="shared" si="65"/>
        <v>0</v>
      </c>
    </row>
    <row r="1364" spans="4:11" ht="15" customHeight="1">
      <c r="D1364" s="6" t="s">
        <v>139</v>
      </c>
      <c r="E1364" s="7"/>
      <c r="F1364" s="7"/>
      <c r="G1364" s="17" t="s">
        <v>180</v>
      </c>
      <c r="H1364" s="17">
        <v>1</v>
      </c>
      <c r="I1364" s="1">
        <f t="shared" si="64"/>
        <v>1</v>
      </c>
      <c r="J1364" s="1">
        <f t="shared" si="63"/>
        <v>0.1872326031717364</v>
      </c>
      <c r="K1364" s="1">
        <f t="shared" si="65"/>
        <v>0.66059084134699209</v>
      </c>
    </row>
    <row r="1365" spans="4:11" ht="15.75" thickBot="1">
      <c r="D1365" s="8"/>
      <c r="E1365" s="15" t="s">
        <v>4</v>
      </c>
      <c r="F1365" s="15" t="s">
        <v>34</v>
      </c>
      <c r="G1365" s="17" t="s">
        <v>178</v>
      </c>
      <c r="H1365" s="17"/>
      <c r="I1365" s="1" t="str">
        <f t="shared" si="64"/>
        <v/>
      </c>
      <c r="J1365" s="1" t="str">
        <f t="shared" si="63"/>
        <v/>
      </c>
      <c r="K1365" s="1">
        <f t="shared" si="65"/>
        <v>0</v>
      </c>
    </row>
    <row r="1366" spans="4:11" ht="15" customHeight="1">
      <c r="D1366" s="6" t="s">
        <v>139</v>
      </c>
      <c r="E1366" s="7"/>
      <c r="F1366" s="7"/>
      <c r="G1366" s="17" t="s">
        <v>185</v>
      </c>
      <c r="H1366" s="17">
        <v>2</v>
      </c>
      <c r="I1366" s="1">
        <f t="shared" si="64"/>
        <v>3</v>
      </c>
      <c r="J1366" s="1">
        <f t="shared" si="63"/>
        <v>-0.31583071607994384</v>
      </c>
      <c r="K1366" s="1">
        <f t="shared" si="65"/>
        <v>10.994733337699234</v>
      </c>
    </row>
    <row r="1367" spans="4:11" ht="15.75" thickBot="1">
      <c r="D1367" s="8"/>
      <c r="E1367" s="15" t="s">
        <v>36</v>
      </c>
      <c r="F1367" s="15" t="s">
        <v>33</v>
      </c>
      <c r="G1367" s="17" t="s">
        <v>178</v>
      </c>
      <c r="H1367" s="17"/>
      <c r="I1367" s="1" t="str">
        <f t="shared" si="64"/>
        <v/>
      </c>
      <c r="J1367" s="1" t="str">
        <f t="shared" si="63"/>
        <v/>
      </c>
      <c r="K1367" s="1">
        <f t="shared" si="65"/>
        <v>0</v>
      </c>
    </row>
    <row r="1368" spans="4:11" ht="15" customHeight="1">
      <c r="D1368" s="6" t="s">
        <v>140</v>
      </c>
      <c r="E1368" s="7"/>
      <c r="F1368" s="7"/>
      <c r="G1368" s="17" t="s">
        <v>180</v>
      </c>
      <c r="H1368" s="17">
        <v>3</v>
      </c>
      <c r="I1368" s="1">
        <f t="shared" si="64"/>
        <v>-1</v>
      </c>
      <c r="J1368" s="1">
        <f t="shared" si="63"/>
        <v>-0.38271615829418693</v>
      </c>
      <c r="K1368" s="1">
        <f t="shared" si="65"/>
        <v>0.38103934123108729</v>
      </c>
    </row>
    <row r="1369" spans="4:11" ht="15.75" thickBot="1">
      <c r="D1369" s="8"/>
      <c r="E1369" s="15" t="s">
        <v>18</v>
      </c>
      <c r="F1369" s="15" t="s">
        <v>38</v>
      </c>
      <c r="G1369" s="17" t="s">
        <v>178</v>
      </c>
      <c r="H1369" s="17"/>
      <c r="I1369" s="1" t="str">
        <f t="shared" si="64"/>
        <v/>
      </c>
      <c r="J1369" s="1" t="str">
        <f t="shared" si="63"/>
        <v/>
      </c>
      <c r="K1369" s="1">
        <f t="shared" si="65"/>
        <v>0</v>
      </c>
    </row>
    <row r="1370" spans="4:11" ht="15" customHeight="1">
      <c r="D1370" s="6" t="s">
        <v>140</v>
      </c>
      <c r="E1370" s="7"/>
      <c r="F1370" s="7"/>
      <c r="G1370" s="17" t="s">
        <v>185</v>
      </c>
      <c r="H1370" s="17">
        <v>4</v>
      </c>
      <c r="I1370" s="1">
        <f t="shared" si="64"/>
        <v>1</v>
      </c>
      <c r="J1370" s="1">
        <f t="shared" si="63"/>
        <v>-1.3212008865897076</v>
      </c>
      <c r="K1370" s="1">
        <f t="shared" si="65"/>
        <v>5.3879735559048445</v>
      </c>
    </row>
    <row r="1371" spans="4:11" ht="30.75" thickBot="1">
      <c r="D1371" s="8"/>
      <c r="E1371" s="15" t="s">
        <v>24</v>
      </c>
      <c r="F1371" s="15" t="s">
        <v>12</v>
      </c>
      <c r="G1371" s="17" t="s">
        <v>178</v>
      </c>
      <c r="H1371" s="17"/>
      <c r="I1371" s="1" t="str">
        <f t="shared" si="64"/>
        <v/>
      </c>
      <c r="J1371" s="1" t="str">
        <f t="shared" si="63"/>
        <v/>
      </c>
      <c r="K1371" s="1">
        <f t="shared" si="65"/>
        <v>0</v>
      </c>
    </row>
    <row r="1372" spans="4:11" ht="15" customHeight="1">
      <c r="D1372" s="6" t="s">
        <v>140</v>
      </c>
      <c r="E1372" s="7"/>
      <c r="F1372" s="7"/>
      <c r="G1372" s="17" t="s">
        <v>180</v>
      </c>
      <c r="H1372" s="17">
        <v>3</v>
      </c>
      <c r="I1372" s="1">
        <f t="shared" si="64"/>
        <v>-1</v>
      </c>
      <c r="J1372" s="1">
        <f t="shared" si="63"/>
        <v>0.54813363202706</v>
      </c>
      <c r="K1372" s="1">
        <f t="shared" si="65"/>
        <v>2.3967177426132964</v>
      </c>
    </row>
    <row r="1373" spans="4:11" ht="30.75" thickBot="1">
      <c r="D1373" s="8"/>
      <c r="E1373" s="15" t="s">
        <v>11</v>
      </c>
      <c r="F1373" s="15" t="s">
        <v>1</v>
      </c>
      <c r="G1373" s="17" t="s">
        <v>178</v>
      </c>
      <c r="H1373" s="17"/>
      <c r="I1373" s="1" t="str">
        <f t="shared" si="64"/>
        <v/>
      </c>
      <c r="J1373" s="1" t="str">
        <f t="shared" si="63"/>
        <v/>
      </c>
      <c r="K1373" s="1">
        <f t="shared" si="65"/>
        <v>0</v>
      </c>
    </row>
    <row r="1374" spans="4:11" ht="15" customHeight="1">
      <c r="D1374" s="6" t="s">
        <v>140</v>
      </c>
      <c r="E1374" s="7"/>
      <c r="F1374" s="7"/>
      <c r="G1374" s="17" t="s">
        <v>181</v>
      </c>
      <c r="H1374" s="17">
        <v>2</v>
      </c>
      <c r="I1374" s="1">
        <f t="shared" si="64"/>
        <v>-1</v>
      </c>
      <c r="J1374" s="1">
        <f t="shared" si="63"/>
        <v>6.6921544583166792E-2</v>
      </c>
      <c r="K1374" s="1">
        <f t="shared" si="65"/>
        <v>1.1383215822957304</v>
      </c>
    </row>
    <row r="1375" spans="4:11" ht="15.75" thickBot="1">
      <c r="D1375" s="8"/>
      <c r="E1375" s="15" t="s">
        <v>19</v>
      </c>
      <c r="F1375" s="15" t="s">
        <v>443</v>
      </c>
      <c r="G1375" s="17" t="s">
        <v>178</v>
      </c>
      <c r="H1375" s="17"/>
      <c r="I1375" s="1" t="str">
        <f t="shared" si="64"/>
        <v/>
      </c>
      <c r="J1375" s="1" t="str">
        <f t="shared" si="63"/>
        <v/>
      </c>
      <c r="K1375" s="1">
        <f t="shared" si="65"/>
        <v>0</v>
      </c>
    </row>
    <row r="1376" spans="4:11" ht="15" customHeight="1">
      <c r="D1376" s="6" t="s">
        <v>140</v>
      </c>
      <c r="E1376" s="7"/>
      <c r="F1376" s="7"/>
      <c r="G1376" s="17" t="s">
        <v>184</v>
      </c>
      <c r="H1376" s="17">
        <v>5</v>
      </c>
      <c r="I1376" s="1">
        <f t="shared" si="64"/>
        <v>-1</v>
      </c>
      <c r="J1376" s="1">
        <f t="shared" si="63"/>
        <v>0.29571192491960119</v>
      </c>
      <c r="K1376" s="1">
        <f t="shared" si="65"/>
        <v>1.6788693923788582</v>
      </c>
    </row>
    <row r="1377" spans="4:11" ht="15.75" thickBot="1">
      <c r="D1377" s="8"/>
      <c r="E1377" s="15" t="s">
        <v>23</v>
      </c>
      <c r="F1377" s="15" t="s">
        <v>13</v>
      </c>
      <c r="G1377" s="17" t="s">
        <v>178</v>
      </c>
      <c r="H1377" s="17"/>
      <c r="I1377" s="1" t="str">
        <f t="shared" si="64"/>
        <v/>
      </c>
      <c r="J1377" s="1" t="str">
        <f t="shared" si="63"/>
        <v/>
      </c>
      <c r="K1377" s="1">
        <f t="shared" si="65"/>
        <v>0</v>
      </c>
    </row>
    <row r="1378" spans="4:11" ht="15" customHeight="1">
      <c r="D1378" s="6" t="s">
        <v>140</v>
      </c>
      <c r="E1378" s="7"/>
      <c r="F1378" s="7"/>
      <c r="G1378" s="17" t="s">
        <v>181</v>
      </c>
      <c r="H1378" s="17">
        <v>4</v>
      </c>
      <c r="I1378" s="1">
        <f t="shared" si="64"/>
        <v>-3</v>
      </c>
      <c r="J1378" s="1">
        <f t="shared" si="63"/>
        <v>-0.3657371044285469</v>
      </c>
      <c r="K1378" s="1">
        <f t="shared" si="65"/>
        <v>6.9393410029844969</v>
      </c>
    </row>
    <row r="1379" spans="4:11" ht="15.75" thickBot="1">
      <c r="D1379" s="8"/>
      <c r="E1379" s="15" t="s">
        <v>3</v>
      </c>
      <c r="F1379" s="15" t="s">
        <v>37</v>
      </c>
      <c r="G1379" s="17" t="s">
        <v>178</v>
      </c>
      <c r="H1379" s="17"/>
      <c r="I1379" s="1" t="str">
        <f t="shared" si="64"/>
        <v/>
      </c>
      <c r="J1379" s="1" t="str">
        <f t="shared" si="63"/>
        <v/>
      </c>
      <c r="K1379" s="1">
        <f t="shared" si="65"/>
        <v>0</v>
      </c>
    </row>
    <row r="1380" spans="4:11" ht="15" customHeight="1">
      <c r="D1380" s="6" t="s">
        <v>140</v>
      </c>
      <c r="E1380" s="7"/>
      <c r="F1380" s="7"/>
      <c r="G1380" s="17" t="s">
        <v>181</v>
      </c>
      <c r="H1380" s="17">
        <v>6</v>
      </c>
      <c r="I1380" s="1">
        <f t="shared" si="64"/>
        <v>-5</v>
      </c>
      <c r="J1380" s="1">
        <f t="shared" si="63"/>
        <v>-1.0699108759898905</v>
      </c>
      <c r="K1380" s="1">
        <f t="shared" si="65"/>
        <v>15.44560052266255</v>
      </c>
    </row>
    <row r="1381" spans="4:11" ht="15.75" thickBot="1">
      <c r="D1381" s="8"/>
      <c r="E1381" s="15" t="s">
        <v>26</v>
      </c>
      <c r="F1381" s="15" t="s">
        <v>20</v>
      </c>
      <c r="G1381" s="17" t="s">
        <v>178</v>
      </c>
      <c r="H1381" s="17"/>
      <c r="I1381" s="1" t="str">
        <f t="shared" si="64"/>
        <v/>
      </c>
      <c r="J1381" s="1" t="str">
        <f t="shared" si="63"/>
        <v/>
      </c>
      <c r="K1381" s="1">
        <f t="shared" si="65"/>
        <v>0</v>
      </c>
    </row>
    <row r="1382" spans="4:11" ht="18" customHeight="1">
      <c r="D1382" s="6" t="s">
        <v>140</v>
      </c>
      <c r="E1382" s="7"/>
      <c r="F1382" s="7"/>
      <c r="G1382" s="17" t="s">
        <v>182</v>
      </c>
      <c r="H1382" s="17">
        <v>1</v>
      </c>
      <c r="I1382" s="1">
        <f t="shared" si="64"/>
        <v>2</v>
      </c>
      <c r="J1382" s="1">
        <f t="shared" si="63"/>
        <v>0.13480093116477576</v>
      </c>
      <c r="K1382" s="1">
        <f t="shared" si="65"/>
        <v>3.4789675663837873</v>
      </c>
    </row>
    <row r="1383" spans="4:11" ht="15.75" thickBot="1">
      <c r="D1383" s="8"/>
      <c r="E1383" s="15" t="s">
        <v>2</v>
      </c>
      <c r="F1383" s="15" t="s">
        <v>21</v>
      </c>
      <c r="G1383" s="17" t="s">
        <v>178</v>
      </c>
      <c r="H1383" s="17"/>
      <c r="I1383" s="1" t="str">
        <f t="shared" si="64"/>
        <v/>
      </c>
      <c r="J1383" s="1" t="str">
        <f t="shared" si="63"/>
        <v/>
      </c>
      <c r="K1383" s="1">
        <f t="shared" si="65"/>
        <v>0</v>
      </c>
    </row>
    <row r="1384" spans="4:11" ht="18" customHeight="1">
      <c r="D1384" s="6" t="s">
        <v>141</v>
      </c>
      <c r="E1384" s="7"/>
      <c r="F1384" s="7"/>
      <c r="G1384" s="17" t="s">
        <v>182</v>
      </c>
      <c r="H1384" s="17">
        <v>4</v>
      </c>
      <c r="I1384" s="1">
        <f t="shared" si="64"/>
        <v>-1</v>
      </c>
      <c r="J1384" s="1">
        <f t="shared" si="63"/>
        <v>-0.70782460310684314</v>
      </c>
      <c r="K1384" s="1">
        <f t="shared" si="65"/>
        <v>8.5366462549673727E-2</v>
      </c>
    </row>
    <row r="1385" spans="4:11" ht="15.75" thickBot="1">
      <c r="D1385" s="8"/>
      <c r="E1385" s="15" t="s">
        <v>0</v>
      </c>
      <c r="F1385" s="15" t="s">
        <v>18</v>
      </c>
      <c r="G1385" s="17" t="s">
        <v>178</v>
      </c>
      <c r="H1385" s="17"/>
      <c r="I1385" s="1" t="str">
        <f t="shared" si="64"/>
        <v/>
      </c>
      <c r="J1385" s="1" t="str">
        <f t="shared" si="63"/>
        <v/>
      </c>
      <c r="K1385" s="1">
        <f t="shared" si="65"/>
        <v>0</v>
      </c>
    </row>
    <row r="1386" spans="4:11" ht="15" customHeight="1">
      <c r="D1386" s="6" t="s">
        <v>141</v>
      </c>
      <c r="E1386" s="7"/>
      <c r="F1386" s="7"/>
      <c r="G1386" s="17" t="s">
        <v>182</v>
      </c>
      <c r="H1386" s="17">
        <v>2</v>
      </c>
      <c r="I1386" s="1">
        <f t="shared" si="64"/>
        <v>1</v>
      </c>
      <c r="J1386" s="1">
        <f t="shared" si="63"/>
        <v>0.270762512659104</v>
      </c>
      <c r="K1386" s="1">
        <f t="shared" si="65"/>
        <v>0.53178731294326342</v>
      </c>
    </row>
    <row r="1387" spans="4:11" ht="15.75" thickBot="1">
      <c r="D1387" s="8"/>
      <c r="E1387" s="15" t="s">
        <v>20</v>
      </c>
      <c r="F1387" s="15" t="s">
        <v>11</v>
      </c>
      <c r="G1387" s="17" t="s">
        <v>178</v>
      </c>
      <c r="H1387" s="17"/>
      <c r="I1387" s="1" t="str">
        <f t="shared" si="64"/>
        <v/>
      </c>
      <c r="J1387" s="1" t="str">
        <f t="shared" si="63"/>
        <v/>
      </c>
      <c r="K1387" s="1">
        <f t="shared" si="65"/>
        <v>0</v>
      </c>
    </row>
    <row r="1388" spans="4:11" ht="15" customHeight="1">
      <c r="D1388" s="6" t="s">
        <v>141</v>
      </c>
      <c r="E1388" s="7"/>
      <c r="F1388" s="7"/>
      <c r="G1388" s="17" t="s">
        <v>179</v>
      </c>
      <c r="H1388" s="17">
        <v>4</v>
      </c>
      <c r="I1388" s="1">
        <f t="shared" si="64"/>
        <v>-4</v>
      </c>
      <c r="J1388" s="1">
        <f t="shared" si="63"/>
        <v>-0.49506408466952223</v>
      </c>
      <c r="K1388" s="1">
        <f t="shared" si="65"/>
        <v>12.284575770573493</v>
      </c>
    </row>
    <row r="1389" spans="4:11" ht="15.75" thickBot="1">
      <c r="D1389" s="8"/>
      <c r="E1389" s="15" t="s">
        <v>7</v>
      </c>
      <c r="F1389" s="15" t="s">
        <v>25</v>
      </c>
      <c r="G1389" s="17" t="s">
        <v>178</v>
      </c>
      <c r="H1389" s="17"/>
      <c r="I1389" s="1" t="str">
        <f t="shared" si="64"/>
        <v/>
      </c>
      <c r="J1389" s="1" t="str">
        <f t="shared" si="63"/>
        <v/>
      </c>
      <c r="K1389" s="1">
        <f t="shared" si="65"/>
        <v>0</v>
      </c>
    </row>
    <row r="1390" spans="4:11" ht="15" customHeight="1">
      <c r="D1390" s="6" t="s">
        <v>141</v>
      </c>
      <c r="E1390" s="7"/>
      <c r="F1390" s="7"/>
      <c r="G1390" s="17" t="s">
        <v>180</v>
      </c>
      <c r="H1390" s="17">
        <v>3</v>
      </c>
      <c r="I1390" s="1">
        <f t="shared" si="64"/>
        <v>-1</v>
      </c>
      <c r="J1390" s="1">
        <f t="shared" si="63"/>
        <v>9.5619362485010129E-2</v>
      </c>
      <c r="K1390" s="1">
        <f t="shared" si="65"/>
        <v>1.2003817874520599</v>
      </c>
    </row>
    <row r="1391" spans="4:11" ht="15.75" thickBot="1">
      <c r="D1391" s="8"/>
      <c r="E1391" s="15" t="s">
        <v>2</v>
      </c>
      <c r="F1391" s="15" t="s">
        <v>22</v>
      </c>
      <c r="G1391" s="17" t="s">
        <v>178</v>
      </c>
      <c r="H1391" s="17"/>
      <c r="I1391" s="1" t="str">
        <f t="shared" si="64"/>
        <v/>
      </c>
      <c r="J1391" s="1" t="str">
        <f t="shared" si="63"/>
        <v/>
      </c>
      <c r="K1391" s="1">
        <f t="shared" si="65"/>
        <v>0</v>
      </c>
    </row>
    <row r="1392" spans="4:11" ht="18" customHeight="1">
      <c r="D1392" s="6" t="s">
        <v>141</v>
      </c>
      <c r="E1392" s="7"/>
      <c r="F1392" s="7"/>
      <c r="G1392" s="17" t="s">
        <v>182</v>
      </c>
      <c r="H1392" s="17">
        <v>6</v>
      </c>
      <c r="I1392" s="1">
        <f t="shared" si="64"/>
        <v>-3</v>
      </c>
      <c r="J1392" s="1">
        <f t="shared" si="63"/>
        <v>0.80982891348897112</v>
      </c>
      <c r="K1392" s="1">
        <f t="shared" si="65"/>
        <v>14.514796350056555</v>
      </c>
    </row>
    <row r="1393" spans="4:11" ht="15.75" thickBot="1">
      <c r="D1393" s="8"/>
      <c r="E1393" s="15" t="s">
        <v>4</v>
      </c>
      <c r="F1393" s="15" t="s">
        <v>10</v>
      </c>
      <c r="G1393" s="17" t="s">
        <v>178</v>
      </c>
      <c r="H1393" s="17"/>
      <c r="I1393" s="1" t="str">
        <f t="shared" si="64"/>
        <v/>
      </c>
      <c r="J1393" s="1" t="str">
        <f t="shared" si="63"/>
        <v/>
      </c>
      <c r="K1393" s="1">
        <f t="shared" si="65"/>
        <v>0</v>
      </c>
    </row>
    <row r="1394" spans="4:11" ht="15" customHeight="1">
      <c r="D1394" s="6" t="s">
        <v>141</v>
      </c>
      <c r="E1394" s="7"/>
      <c r="F1394" s="7"/>
      <c r="G1394" s="17" t="s">
        <v>180</v>
      </c>
      <c r="H1394" s="17">
        <v>4</v>
      </c>
      <c r="I1394" s="1">
        <f t="shared" si="64"/>
        <v>-2</v>
      </c>
      <c r="J1394" s="1">
        <f t="shared" si="63"/>
        <v>0.13570153456291223</v>
      </c>
      <c r="K1394" s="1">
        <f t="shared" si="65"/>
        <v>4.5612210447343786</v>
      </c>
    </row>
    <row r="1395" spans="4:11" ht="15.75" thickBot="1">
      <c r="D1395" s="8"/>
      <c r="E1395" s="15" t="s">
        <v>34</v>
      </c>
      <c r="F1395" s="15" t="s">
        <v>33</v>
      </c>
      <c r="G1395" s="17" t="s">
        <v>178</v>
      </c>
      <c r="H1395" s="17"/>
      <c r="I1395" s="1" t="str">
        <f t="shared" si="64"/>
        <v/>
      </c>
      <c r="J1395" s="1" t="str">
        <f t="shared" si="63"/>
        <v/>
      </c>
      <c r="K1395" s="1">
        <f t="shared" si="65"/>
        <v>0</v>
      </c>
    </row>
    <row r="1396" spans="4:11" ht="15" customHeight="1">
      <c r="D1396" s="6" t="s">
        <v>142</v>
      </c>
      <c r="E1396" s="7"/>
      <c r="F1396" s="7"/>
      <c r="G1396" s="17" t="s">
        <v>181</v>
      </c>
      <c r="H1396" s="17">
        <v>4</v>
      </c>
      <c r="I1396" s="1">
        <f t="shared" si="64"/>
        <v>-3</v>
      </c>
      <c r="J1396" s="1">
        <f t="shared" si="63"/>
        <v>0</v>
      </c>
      <c r="K1396" s="1">
        <f t="shared" si="65"/>
        <v>9</v>
      </c>
    </row>
    <row r="1397" spans="4:11" ht="15.75" thickBot="1">
      <c r="D1397" s="8"/>
      <c r="E1397" s="15" t="s">
        <v>38</v>
      </c>
      <c r="F1397" s="15" t="s">
        <v>41</v>
      </c>
      <c r="G1397" s="17" t="s">
        <v>178</v>
      </c>
      <c r="H1397" s="17"/>
      <c r="I1397" s="1" t="str">
        <f t="shared" si="64"/>
        <v/>
      </c>
      <c r="J1397" s="1" t="str">
        <f t="shared" si="63"/>
        <v/>
      </c>
      <c r="K1397" s="1">
        <f t="shared" si="65"/>
        <v>0</v>
      </c>
    </row>
    <row r="1398" spans="4:11" ht="15" customHeight="1">
      <c r="D1398" s="6" t="s">
        <v>142</v>
      </c>
      <c r="E1398" s="7"/>
      <c r="F1398" s="7"/>
      <c r="G1398" s="17" t="s">
        <v>182</v>
      </c>
      <c r="H1398" s="17">
        <v>4</v>
      </c>
      <c r="I1398" s="1">
        <f t="shared" si="64"/>
        <v>-1</v>
      </c>
      <c r="J1398" s="1">
        <f t="shared" si="63"/>
        <v>-0.25101473130372653</v>
      </c>
      <c r="K1398" s="1">
        <f t="shared" si="65"/>
        <v>0.56097893272402899</v>
      </c>
    </row>
    <row r="1399" spans="4:11" ht="30.75" thickBot="1">
      <c r="D1399" s="8"/>
      <c r="E1399" s="15" t="s">
        <v>26</v>
      </c>
      <c r="F1399" s="15" t="s">
        <v>1</v>
      </c>
      <c r="G1399" s="17" t="s">
        <v>178</v>
      </c>
      <c r="H1399" s="17"/>
      <c r="I1399" s="1" t="str">
        <f t="shared" si="64"/>
        <v/>
      </c>
      <c r="J1399" s="1" t="str">
        <f t="shared" si="63"/>
        <v/>
      </c>
      <c r="K1399" s="1">
        <f t="shared" si="65"/>
        <v>0</v>
      </c>
    </row>
    <row r="1400" spans="4:11" ht="15" customHeight="1">
      <c r="D1400" s="6" t="s">
        <v>142</v>
      </c>
      <c r="E1400" s="7"/>
      <c r="F1400" s="7"/>
      <c r="G1400" s="17" t="s">
        <v>182</v>
      </c>
      <c r="H1400" s="17">
        <v>5</v>
      </c>
      <c r="I1400" s="1">
        <f t="shared" si="64"/>
        <v>-2</v>
      </c>
      <c r="J1400" s="1">
        <f t="shared" si="63"/>
        <v>-7.376267062845443E-2</v>
      </c>
      <c r="K1400" s="1">
        <f t="shared" si="65"/>
        <v>3.7103902490644241</v>
      </c>
    </row>
    <row r="1401" spans="4:11" ht="15.75" thickBot="1">
      <c r="D1401" s="8"/>
      <c r="E1401" s="15" t="s">
        <v>25</v>
      </c>
      <c r="F1401" s="15" t="s">
        <v>11</v>
      </c>
      <c r="G1401" s="17" t="s">
        <v>178</v>
      </c>
      <c r="H1401" s="17"/>
      <c r="I1401" s="1" t="str">
        <f t="shared" si="64"/>
        <v/>
      </c>
      <c r="J1401" s="1" t="str">
        <f t="shared" si="63"/>
        <v/>
      </c>
      <c r="K1401" s="1">
        <f t="shared" si="65"/>
        <v>0</v>
      </c>
    </row>
    <row r="1402" spans="4:11" ht="15" customHeight="1">
      <c r="D1402" s="6" t="s">
        <v>142</v>
      </c>
      <c r="E1402" s="7"/>
      <c r="F1402" s="7"/>
      <c r="G1402" s="17" t="s">
        <v>182</v>
      </c>
      <c r="H1402" s="17">
        <v>4</v>
      </c>
      <c r="I1402" s="1">
        <f t="shared" si="64"/>
        <v>-1</v>
      </c>
      <c r="J1402" s="1">
        <f t="shared" si="63"/>
        <v>0.73147673429045312</v>
      </c>
      <c r="K1402" s="1">
        <f t="shared" si="65"/>
        <v>2.9980116813891322</v>
      </c>
    </row>
    <row r="1403" spans="4:11" ht="15.75" thickBot="1">
      <c r="D1403" s="8"/>
      <c r="E1403" s="15" t="s">
        <v>12</v>
      </c>
      <c r="F1403" s="15" t="s">
        <v>7</v>
      </c>
      <c r="G1403" s="17" t="s">
        <v>178</v>
      </c>
      <c r="H1403" s="17"/>
      <c r="I1403" s="1" t="str">
        <f t="shared" si="64"/>
        <v/>
      </c>
      <c r="J1403" s="1" t="str">
        <f t="shared" si="63"/>
        <v/>
      </c>
      <c r="K1403" s="1">
        <f t="shared" si="65"/>
        <v>0</v>
      </c>
    </row>
    <row r="1404" spans="4:11" ht="15" customHeight="1">
      <c r="D1404" s="6" t="s">
        <v>142</v>
      </c>
      <c r="E1404" s="7"/>
      <c r="F1404" s="7"/>
      <c r="G1404" s="17" t="s">
        <v>180</v>
      </c>
      <c r="H1404" s="17">
        <v>4</v>
      </c>
      <c r="I1404" s="1">
        <f t="shared" si="64"/>
        <v>-2</v>
      </c>
      <c r="J1404" s="1">
        <f t="shared" si="63"/>
        <v>0.90868929978867641</v>
      </c>
      <c r="K1404" s="1">
        <f t="shared" si="65"/>
        <v>8.4604734427051405</v>
      </c>
    </row>
    <row r="1405" spans="4:11" ht="15.75" thickBot="1">
      <c r="D1405" s="8"/>
      <c r="E1405" s="15" t="s">
        <v>37</v>
      </c>
      <c r="F1405" s="15" t="s">
        <v>28</v>
      </c>
      <c r="G1405" s="17" t="s">
        <v>178</v>
      </c>
      <c r="H1405" s="17"/>
      <c r="I1405" s="1" t="str">
        <f t="shared" si="64"/>
        <v/>
      </c>
      <c r="J1405" s="1" t="str">
        <f t="shared" si="63"/>
        <v/>
      </c>
      <c r="K1405" s="1">
        <f t="shared" si="65"/>
        <v>0</v>
      </c>
    </row>
    <row r="1406" spans="4:11" ht="15" customHeight="1">
      <c r="D1406" s="6" t="s">
        <v>142</v>
      </c>
      <c r="E1406" s="7"/>
      <c r="F1406" s="7"/>
      <c r="G1406" s="17" t="s">
        <v>180</v>
      </c>
      <c r="H1406" s="17">
        <v>3</v>
      </c>
      <c r="I1406" s="1">
        <f t="shared" si="64"/>
        <v>-1</v>
      </c>
      <c r="J1406" s="1">
        <f t="shared" si="63"/>
        <v>-0.41821451662090681</v>
      </c>
      <c r="K1406" s="1">
        <f t="shared" si="65"/>
        <v>0.33847434867064513</v>
      </c>
    </row>
    <row r="1407" spans="4:11" ht="15.75" thickBot="1">
      <c r="D1407" s="8"/>
      <c r="E1407" s="15" t="s">
        <v>21</v>
      </c>
      <c r="F1407" s="15" t="s">
        <v>443</v>
      </c>
      <c r="G1407" s="17" t="s">
        <v>178</v>
      </c>
      <c r="H1407" s="17"/>
      <c r="I1407" s="1" t="str">
        <f t="shared" si="64"/>
        <v/>
      </c>
      <c r="J1407" s="1" t="str">
        <f t="shared" si="63"/>
        <v/>
      </c>
      <c r="K1407" s="1">
        <f t="shared" si="65"/>
        <v>0</v>
      </c>
    </row>
    <row r="1408" spans="4:11" ht="18" customHeight="1">
      <c r="D1408" s="6" t="s">
        <v>142</v>
      </c>
      <c r="E1408" s="7"/>
      <c r="F1408" s="7"/>
      <c r="G1408" s="17" t="s">
        <v>185</v>
      </c>
      <c r="H1408" s="17">
        <v>4</v>
      </c>
      <c r="I1408" s="1">
        <f t="shared" si="64"/>
        <v>1</v>
      </c>
      <c r="J1408" s="1">
        <f t="shared" si="63"/>
        <v>0.38687423012571287</v>
      </c>
      <c r="K1408" s="1">
        <f t="shared" si="65"/>
        <v>0.37592320968393728</v>
      </c>
    </row>
    <row r="1409" spans="4:11" ht="15.75" thickBot="1">
      <c r="D1409" s="8"/>
      <c r="E1409" s="15" t="s">
        <v>13</v>
      </c>
      <c r="F1409" s="15" t="s">
        <v>14</v>
      </c>
      <c r="G1409" s="17" t="s">
        <v>178</v>
      </c>
      <c r="H1409" s="17"/>
      <c r="I1409" s="1" t="str">
        <f t="shared" si="64"/>
        <v/>
      </c>
      <c r="J1409" s="1" t="str">
        <f t="shared" si="63"/>
        <v/>
      </c>
      <c r="K1409" s="1">
        <f t="shared" si="65"/>
        <v>0</v>
      </c>
    </row>
    <row r="1410" spans="4:11" ht="15" customHeight="1">
      <c r="D1410" s="6" t="s">
        <v>142</v>
      </c>
      <c r="E1410" s="7"/>
      <c r="F1410" s="7"/>
      <c r="G1410" s="17" t="s">
        <v>182</v>
      </c>
      <c r="H1410" s="17">
        <v>4</v>
      </c>
      <c r="I1410" s="1">
        <f t="shared" si="64"/>
        <v>-1</v>
      </c>
      <c r="J1410" s="1">
        <f t="shared" si="63"/>
        <v>-0.44595449252430797</v>
      </c>
      <c r="K1410" s="1">
        <f t="shared" si="65"/>
        <v>0.30696642435399712</v>
      </c>
    </row>
    <row r="1411" spans="4:11" ht="15.75" thickBot="1">
      <c r="D1411" s="8"/>
      <c r="E1411" s="15" t="s">
        <v>22</v>
      </c>
      <c r="F1411" s="15" t="s">
        <v>19</v>
      </c>
      <c r="G1411" s="17" t="s">
        <v>178</v>
      </c>
      <c r="H1411" s="17"/>
      <c r="I1411" s="1" t="str">
        <f t="shared" si="64"/>
        <v/>
      </c>
      <c r="J1411" s="1" t="str">
        <f t="shared" ref="J1411:J1474" si="66">IF(F1412="","",VLOOKUP(F1412,$A$2:$B$31,2)+$B$33-VLOOKUP(E1412,$A$2:$B$31,2))</f>
        <v/>
      </c>
      <c r="K1411" s="1">
        <f t="shared" si="65"/>
        <v>0</v>
      </c>
    </row>
    <row r="1412" spans="4:11" ht="18" customHeight="1">
      <c r="D1412" s="6" t="s">
        <v>142</v>
      </c>
      <c r="E1412" s="7"/>
      <c r="F1412" s="7"/>
      <c r="G1412" s="17" t="s">
        <v>181</v>
      </c>
      <c r="H1412" s="17">
        <v>4</v>
      </c>
      <c r="I1412" s="1">
        <f t="shared" ref="I1412:I1475" si="67">IF(G1412="","",G1412-H1412)</f>
        <v>-3</v>
      </c>
      <c r="J1412" s="1">
        <f t="shared" si="66"/>
        <v>-1.6355658078844186</v>
      </c>
      <c r="K1412" s="1">
        <f t="shared" ref="K1412:K1475" si="68">IF(J1412="",0,(I1412-J1412)^2)</f>
        <v>1.8616806646140993</v>
      </c>
    </row>
    <row r="1413" spans="4:11" ht="15.75" thickBot="1">
      <c r="D1413" s="8"/>
      <c r="E1413" s="15" t="s">
        <v>8</v>
      </c>
      <c r="F1413" s="15" t="s">
        <v>4</v>
      </c>
      <c r="G1413" s="17" t="s">
        <v>178</v>
      </c>
      <c r="H1413" s="17"/>
      <c r="I1413" s="1" t="str">
        <f t="shared" si="67"/>
        <v/>
      </c>
      <c r="J1413" s="1" t="str">
        <f t="shared" si="66"/>
        <v/>
      </c>
      <c r="K1413" s="1">
        <f t="shared" si="68"/>
        <v>0</v>
      </c>
    </row>
    <row r="1414" spans="4:11" ht="15" customHeight="1">
      <c r="D1414" s="6" t="s">
        <v>142</v>
      </c>
      <c r="E1414" s="7"/>
      <c r="F1414" s="7"/>
      <c r="G1414" s="17" t="s">
        <v>180</v>
      </c>
      <c r="H1414" s="17">
        <v>1</v>
      </c>
      <c r="I1414" s="1">
        <f t="shared" si="67"/>
        <v>1</v>
      </c>
      <c r="J1414" s="1">
        <f t="shared" si="66"/>
        <v>1.3033714124710087</v>
      </c>
      <c r="K1414" s="1">
        <f t="shared" si="68"/>
        <v>9.203421390465491E-2</v>
      </c>
    </row>
    <row r="1415" spans="4:11" ht="15.75" thickBot="1">
      <c r="D1415" s="8"/>
      <c r="E1415" s="15" t="s">
        <v>23</v>
      </c>
      <c r="F1415" s="15" t="s">
        <v>24</v>
      </c>
      <c r="G1415" s="17" t="s">
        <v>178</v>
      </c>
      <c r="H1415" s="17"/>
      <c r="I1415" s="1" t="str">
        <f t="shared" si="67"/>
        <v/>
      </c>
      <c r="J1415" s="1" t="str">
        <f t="shared" si="66"/>
        <v/>
      </c>
      <c r="K1415" s="1">
        <f t="shared" si="68"/>
        <v>0</v>
      </c>
    </row>
    <row r="1416" spans="4:11" ht="15" customHeight="1">
      <c r="D1416" s="6" t="s">
        <v>142</v>
      </c>
      <c r="E1416" s="7"/>
      <c r="F1416" s="7"/>
      <c r="G1416" s="17" t="s">
        <v>184</v>
      </c>
      <c r="H1416" s="17">
        <v>0</v>
      </c>
      <c r="I1416" s="1">
        <f t="shared" si="67"/>
        <v>4</v>
      </c>
      <c r="J1416" s="1">
        <f t="shared" si="66"/>
        <v>-0.69829596555400997</v>
      </c>
      <c r="K1416" s="1">
        <f t="shared" si="68"/>
        <v>22.073984979941088</v>
      </c>
    </row>
    <row r="1417" spans="4:11" ht="15.75" thickBot="1">
      <c r="D1417" s="8"/>
      <c r="E1417" s="15" t="s">
        <v>10</v>
      </c>
      <c r="F1417" s="15" t="s">
        <v>3</v>
      </c>
      <c r="G1417" s="17" t="s">
        <v>178</v>
      </c>
      <c r="H1417" s="17"/>
      <c r="I1417" s="1" t="str">
        <f t="shared" si="67"/>
        <v/>
      </c>
      <c r="J1417" s="1" t="str">
        <f t="shared" si="66"/>
        <v/>
      </c>
      <c r="K1417" s="1">
        <f t="shared" si="68"/>
        <v>0</v>
      </c>
    </row>
    <row r="1418" spans="4:11" ht="15" customHeight="1">
      <c r="D1418" s="6" t="s">
        <v>143</v>
      </c>
      <c r="E1418" s="7"/>
      <c r="F1418" s="7"/>
      <c r="G1418" s="17" t="s">
        <v>181</v>
      </c>
      <c r="H1418" s="17">
        <v>2</v>
      </c>
      <c r="I1418" s="1">
        <f t="shared" si="67"/>
        <v>-1</v>
      </c>
      <c r="J1418" s="1">
        <f t="shared" si="66"/>
        <v>-0.19866823641076792</v>
      </c>
      <c r="K1418" s="1">
        <f t="shared" si="68"/>
        <v>0.64213259533702893</v>
      </c>
    </row>
    <row r="1419" spans="4:11" ht="15.75" thickBot="1">
      <c r="D1419" s="8"/>
      <c r="E1419" s="15" t="s">
        <v>0</v>
      </c>
      <c r="F1419" s="15" t="s">
        <v>36</v>
      </c>
      <c r="G1419" s="17" t="s">
        <v>178</v>
      </c>
      <c r="H1419" s="17"/>
      <c r="I1419" s="1" t="str">
        <f t="shared" si="67"/>
        <v/>
      </c>
      <c r="J1419" s="1" t="str">
        <f t="shared" si="66"/>
        <v/>
      </c>
      <c r="K1419" s="1">
        <f t="shared" si="68"/>
        <v>0</v>
      </c>
    </row>
    <row r="1420" spans="4:11" ht="15" customHeight="1">
      <c r="D1420" s="6" t="s">
        <v>143</v>
      </c>
      <c r="E1420" s="7"/>
      <c r="F1420" s="7"/>
      <c r="G1420" s="17" t="s">
        <v>179</v>
      </c>
      <c r="H1420" s="17">
        <v>4</v>
      </c>
      <c r="I1420" s="1">
        <f t="shared" si="67"/>
        <v>-4</v>
      </c>
      <c r="J1420" s="1">
        <f t="shared" si="66"/>
        <v>-0.16264997899247646</v>
      </c>
      <c r="K1420" s="1">
        <f t="shared" si="68"/>
        <v>14.725255183726441</v>
      </c>
    </row>
    <row r="1421" spans="4:11" ht="30.75" thickBot="1">
      <c r="D1421" s="8"/>
      <c r="E1421" s="15" t="s">
        <v>11</v>
      </c>
      <c r="F1421" s="15" t="s">
        <v>12</v>
      </c>
      <c r="G1421" s="17" t="s">
        <v>178</v>
      </c>
      <c r="H1421" s="17"/>
      <c r="I1421" s="1" t="str">
        <f t="shared" si="67"/>
        <v/>
      </c>
      <c r="J1421" s="1" t="str">
        <f t="shared" si="66"/>
        <v/>
      </c>
      <c r="K1421" s="1">
        <f t="shared" si="68"/>
        <v>0</v>
      </c>
    </row>
    <row r="1422" spans="4:11" ht="15" customHeight="1">
      <c r="D1422" s="6" t="s">
        <v>143</v>
      </c>
      <c r="E1422" s="7"/>
      <c r="F1422" s="7"/>
      <c r="G1422" s="17" t="s">
        <v>182</v>
      </c>
      <c r="H1422" s="17">
        <v>4</v>
      </c>
      <c r="I1422" s="1">
        <f t="shared" si="67"/>
        <v>-1</v>
      </c>
      <c r="J1422" s="1">
        <f t="shared" si="66"/>
        <v>0.44731456567265582</v>
      </c>
      <c r="K1422" s="1">
        <f t="shared" si="68"/>
        <v>2.0947194520082282</v>
      </c>
    </row>
    <row r="1423" spans="4:11" ht="15.75" thickBot="1">
      <c r="D1423" s="8"/>
      <c r="E1423" s="15" t="s">
        <v>20</v>
      </c>
      <c r="F1423" s="15" t="s">
        <v>34</v>
      </c>
      <c r="G1423" s="17" t="s">
        <v>178</v>
      </c>
      <c r="H1423" s="17"/>
      <c r="I1423" s="1" t="str">
        <f t="shared" si="67"/>
        <v/>
      </c>
      <c r="J1423" s="1" t="str">
        <f t="shared" si="66"/>
        <v/>
      </c>
      <c r="K1423" s="1">
        <f t="shared" si="68"/>
        <v>0</v>
      </c>
    </row>
    <row r="1424" spans="4:11" ht="15" customHeight="1">
      <c r="D1424" s="6" t="s">
        <v>144</v>
      </c>
      <c r="E1424" s="7"/>
      <c r="F1424" s="7"/>
      <c r="G1424" s="17" t="s">
        <v>185</v>
      </c>
      <c r="H1424" s="17">
        <v>2</v>
      </c>
      <c r="I1424" s="1">
        <f t="shared" si="67"/>
        <v>3</v>
      </c>
      <c r="J1424" s="1">
        <f t="shared" si="66"/>
        <v>-0.4786607447554303</v>
      </c>
      <c r="K1424" s="1">
        <f t="shared" si="68"/>
        <v>12.101080577102405</v>
      </c>
    </row>
    <row r="1425" spans="4:11" ht="15.75" thickBot="1">
      <c r="D1425" s="8"/>
      <c r="E1425" s="15" t="s">
        <v>2</v>
      </c>
      <c r="F1425" s="15" t="s">
        <v>41</v>
      </c>
      <c r="G1425" s="17" t="s">
        <v>178</v>
      </c>
      <c r="H1425" s="17"/>
      <c r="I1425" s="1" t="str">
        <f t="shared" si="67"/>
        <v/>
      </c>
      <c r="J1425" s="1" t="str">
        <f t="shared" si="66"/>
        <v/>
      </c>
      <c r="K1425" s="1">
        <f t="shared" si="68"/>
        <v>0</v>
      </c>
    </row>
    <row r="1426" spans="4:11" ht="15" customHeight="1">
      <c r="D1426" s="6" t="s">
        <v>144</v>
      </c>
      <c r="E1426" s="7"/>
      <c r="F1426" s="7"/>
      <c r="G1426" s="17" t="s">
        <v>181</v>
      </c>
      <c r="H1426" s="17">
        <v>0</v>
      </c>
      <c r="I1426" s="1">
        <f t="shared" si="67"/>
        <v>1</v>
      </c>
      <c r="J1426" s="1">
        <f t="shared" si="66"/>
        <v>-0.19524715929929926</v>
      </c>
      <c r="K1426" s="1">
        <f t="shared" si="68"/>
        <v>1.4286157718130446</v>
      </c>
    </row>
    <row r="1427" spans="4:11" ht="15.75" thickBot="1">
      <c r="D1427" s="8"/>
      <c r="E1427" s="15" t="s">
        <v>443</v>
      </c>
      <c r="F1427" s="15" t="s">
        <v>38</v>
      </c>
      <c r="G1427" s="17" t="s">
        <v>178</v>
      </c>
      <c r="H1427" s="17"/>
      <c r="I1427" s="1" t="str">
        <f t="shared" si="67"/>
        <v/>
      </c>
      <c r="J1427" s="1" t="str">
        <f t="shared" si="66"/>
        <v/>
      </c>
      <c r="K1427" s="1">
        <f t="shared" si="68"/>
        <v>0</v>
      </c>
    </row>
    <row r="1428" spans="4:11" ht="15" customHeight="1">
      <c r="D1428" s="6" t="s">
        <v>144</v>
      </c>
      <c r="E1428" s="7"/>
      <c r="F1428" s="7"/>
      <c r="G1428" s="17" t="s">
        <v>180</v>
      </c>
      <c r="H1428" s="17">
        <v>5</v>
      </c>
      <c r="I1428" s="1">
        <f t="shared" si="67"/>
        <v>-3</v>
      </c>
      <c r="J1428" s="1">
        <f t="shared" si="66"/>
        <v>0.47437096139860557</v>
      </c>
      <c r="K1428" s="1">
        <f t="shared" si="68"/>
        <v>12.071253577409871</v>
      </c>
    </row>
    <row r="1429" spans="4:11" ht="30.75" thickBot="1">
      <c r="D1429" s="8"/>
      <c r="E1429" s="15" t="s">
        <v>25</v>
      </c>
      <c r="F1429" s="15" t="s">
        <v>1</v>
      </c>
      <c r="G1429" s="17" t="s">
        <v>178</v>
      </c>
      <c r="H1429" s="17"/>
      <c r="I1429" s="1" t="str">
        <f t="shared" si="67"/>
        <v/>
      </c>
      <c r="J1429" s="1" t="str">
        <f t="shared" si="66"/>
        <v/>
      </c>
      <c r="K1429" s="1">
        <f t="shared" si="68"/>
        <v>0</v>
      </c>
    </row>
    <row r="1430" spans="4:11" ht="18" customHeight="1">
      <c r="D1430" s="6" t="s">
        <v>144</v>
      </c>
      <c r="E1430" s="7"/>
      <c r="F1430" s="7"/>
      <c r="G1430" s="17" t="s">
        <v>182</v>
      </c>
      <c r="H1430" s="17">
        <v>1</v>
      </c>
      <c r="I1430" s="1">
        <f t="shared" si="67"/>
        <v>2</v>
      </c>
      <c r="J1430" s="1">
        <f t="shared" si="66"/>
        <v>2.7604176736389263E-2</v>
      </c>
      <c r="K1430" s="1">
        <f t="shared" si="68"/>
        <v>3.8903452836277368</v>
      </c>
    </row>
    <row r="1431" spans="4:11" ht="15.75" thickBot="1">
      <c r="D1431" s="8"/>
      <c r="E1431" s="15" t="s">
        <v>26</v>
      </c>
      <c r="F1431" s="15" t="s">
        <v>0</v>
      </c>
      <c r="G1431" s="17" t="s">
        <v>178</v>
      </c>
      <c r="H1431" s="17"/>
      <c r="I1431" s="1" t="str">
        <f t="shared" si="67"/>
        <v/>
      </c>
      <c r="J1431" s="1" t="str">
        <f t="shared" si="66"/>
        <v/>
      </c>
      <c r="K1431" s="1">
        <f t="shared" si="68"/>
        <v>0</v>
      </c>
    </row>
    <row r="1432" spans="4:11" ht="18" customHeight="1">
      <c r="D1432" s="6" t="s">
        <v>144</v>
      </c>
      <c r="E1432" s="7"/>
      <c r="F1432" s="7"/>
      <c r="G1432" s="17" t="s">
        <v>183</v>
      </c>
      <c r="H1432" s="17">
        <v>3</v>
      </c>
      <c r="I1432" s="1">
        <f t="shared" si="67"/>
        <v>3</v>
      </c>
      <c r="J1432" s="1">
        <f t="shared" si="66"/>
        <v>-0.23074551762601914</v>
      </c>
      <c r="K1432" s="1">
        <f t="shared" si="68"/>
        <v>10.437716599660614</v>
      </c>
    </row>
    <row r="1433" spans="4:11" ht="15.75" thickBot="1">
      <c r="D1433" s="8"/>
      <c r="E1433" s="15" t="s">
        <v>21</v>
      </c>
      <c r="F1433" s="15" t="s">
        <v>18</v>
      </c>
      <c r="G1433" s="17" t="s">
        <v>178</v>
      </c>
      <c r="H1433" s="17"/>
      <c r="I1433" s="1" t="str">
        <f t="shared" si="67"/>
        <v/>
      </c>
      <c r="J1433" s="1" t="str">
        <f t="shared" si="66"/>
        <v/>
      </c>
      <c r="K1433" s="1">
        <f t="shared" si="68"/>
        <v>0</v>
      </c>
    </row>
    <row r="1434" spans="4:11" ht="15" customHeight="1">
      <c r="D1434" s="6" t="s">
        <v>144</v>
      </c>
      <c r="E1434" s="7"/>
      <c r="F1434" s="7"/>
      <c r="G1434" s="17" t="s">
        <v>181</v>
      </c>
      <c r="H1434" s="17">
        <v>5</v>
      </c>
      <c r="I1434" s="1">
        <f t="shared" si="67"/>
        <v>-4</v>
      </c>
      <c r="J1434" s="1">
        <f t="shared" si="66"/>
        <v>-0.4157761266975939</v>
      </c>
      <c r="K1434" s="1">
        <f t="shared" si="68"/>
        <v>12.846660773950903</v>
      </c>
    </row>
    <row r="1435" spans="4:11" ht="15.75" thickBot="1">
      <c r="D1435" s="8"/>
      <c r="E1435" s="15" t="s">
        <v>13</v>
      </c>
      <c r="F1435" s="15" t="s">
        <v>37</v>
      </c>
      <c r="G1435" s="17" t="s">
        <v>178</v>
      </c>
      <c r="H1435" s="17"/>
      <c r="I1435" s="1" t="str">
        <f t="shared" si="67"/>
        <v/>
      </c>
      <c r="J1435" s="1" t="str">
        <f t="shared" si="66"/>
        <v/>
      </c>
      <c r="K1435" s="1">
        <f t="shared" si="68"/>
        <v>0</v>
      </c>
    </row>
    <row r="1436" spans="4:11" ht="18" customHeight="1">
      <c r="D1436" s="6" t="s">
        <v>144</v>
      </c>
      <c r="E1436" s="7"/>
      <c r="F1436" s="7"/>
      <c r="G1436" s="17" t="s">
        <v>180</v>
      </c>
      <c r="H1436" s="17">
        <v>3</v>
      </c>
      <c r="I1436" s="1">
        <f t="shared" si="67"/>
        <v>-1</v>
      </c>
      <c r="J1436" s="1">
        <f t="shared" si="66"/>
        <v>-3.1061105126440225E-2</v>
      </c>
      <c r="K1436" s="1">
        <f t="shared" si="68"/>
        <v>0.93884258199879533</v>
      </c>
    </row>
    <row r="1437" spans="4:11" ht="15.75" thickBot="1">
      <c r="D1437" s="8"/>
      <c r="E1437" s="15" t="s">
        <v>7</v>
      </c>
      <c r="F1437" s="15" t="s">
        <v>14</v>
      </c>
      <c r="G1437" s="17" t="s">
        <v>178</v>
      </c>
      <c r="H1437" s="17"/>
      <c r="I1437" s="1" t="str">
        <f t="shared" si="67"/>
        <v/>
      </c>
      <c r="J1437" s="1" t="str">
        <f t="shared" si="66"/>
        <v/>
      </c>
      <c r="K1437" s="1">
        <f t="shared" si="68"/>
        <v>0</v>
      </c>
    </row>
    <row r="1438" spans="4:11" ht="18" customHeight="1">
      <c r="D1438" s="6" t="s">
        <v>144</v>
      </c>
      <c r="E1438" s="7"/>
      <c r="F1438" s="7"/>
      <c r="G1438" s="17" t="s">
        <v>184</v>
      </c>
      <c r="H1438" s="17">
        <v>5</v>
      </c>
      <c r="I1438" s="1">
        <f t="shared" si="67"/>
        <v>-1</v>
      </c>
      <c r="J1438" s="1">
        <f t="shared" si="66"/>
        <v>-0.10112937968297331</v>
      </c>
      <c r="K1438" s="1">
        <f t="shared" si="68"/>
        <v>0.8079683920691163</v>
      </c>
    </row>
    <row r="1439" spans="4:11" ht="15.75" thickBot="1">
      <c r="D1439" s="8"/>
      <c r="E1439" s="15" t="s">
        <v>19</v>
      </c>
      <c r="F1439" s="15" t="s">
        <v>39</v>
      </c>
      <c r="G1439" s="17" t="s">
        <v>178</v>
      </c>
      <c r="H1439" s="17"/>
      <c r="I1439" s="1" t="str">
        <f t="shared" si="67"/>
        <v/>
      </c>
      <c r="J1439" s="1" t="str">
        <f t="shared" si="66"/>
        <v/>
      </c>
      <c r="K1439" s="1">
        <f t="shared" si="68"/>
        <v>0</v>
      </c>
    </row>
    <row r="1440" spans="4:11" ht="15" customHeight="1">
      <c r="D1440" s="6" t="s">
        <v>144</v>
      </c>
      <c r="E1440" s="7"/>
      <c r="F1440" s="7"/>
      <c r="G1440" s="17" t="s">
        <v>181</v>
      </c>
      <c r="H1440" s="17">
        <v>0</v>
      </c>
      <c r="I1440" s="1">
        <f t="shared" si="67"/>
        <v>1</v>
      </c>
      <c r="J1440" s="1">
        <f t="shared" si="66"/>
        <v>0.13413995471559303</v>
      </c>
      <c r="K1440" s="1">
        <f t="shared" si="68"/>
        <v>0.74971361801991532</v>
      </c>
    </row>
    <row r="1441" spans="4:11" ht="15.75" thickBot="1">
      <c r="D1441" s="8"/>
      <c r="E1441" s="15" t="s">
        <v>23</v>
      </c>
      <c r="F1441" s="15" t="s">
        <v>4</v>
      </c>
      <c r="G1441" s="17" t="s">
        <v>178</v>
      </c>
      <c r="H1441" s="17"/>
      <c r="I1441" s="1" t="str">
        <f t="shared" si="67"/>
        <v/>
      </c>
      <c r="J1441" s="1" t="str">
        <f t="shared" si="66"/>
        <v/>
      </c>
      <c r="K1441" s="1">
        <f t="shared" si="68"/>
        <v>0</v>
      </c>
    </row>
    <row r="1442" spans="4:11" ht="15" customHeight="1">
      <c r="D1442" s="6" t="s">
        <v>144</v>
      </c>
      <c r="E1442" s="7"/>
      <c r="F1442" s="7"/>
      <c r="G1442" s="17" t="s">
        <v>180</v>
      </c>
      <c r="H1442" s="17">
        <v>3</v>
      </c>
      <c r="I1442" s="1">
        <f t="shared" si="67"/>
        <v>-1</v>
      </c>
      <c r="J1442" s="1">
        <f t="shared" si="66"/>
        <v>-0.46633435012900293</v>
      </c>
      <c r="K1442" s="1">
        <f t="shared" si="68"/>
        <v>0.28479902585223366</v>
      </c>
    </row>
    <row r="1443" spans="4:11" ht="15.75" thickBot="1">
      <c r="D1443" s="8"/>
      <c r="E1443" s="15" t="s">
        <v>8</v>
      </c>
      <c r="F1443" s="15" t="s">
        <v>24</v>
      </c>
      <c r="G1443" s="17" t="s">
        <v>178</v>
      </c>
      <c r="H1443" s="17"/>
      <c r="I1443" s="1" t="str">
        <f t="shared" si="67"/>
        <v/>
      </c>
      <c r="J1443" s="1" t="str">
        <f t="shared" si="66"/>
        <v/>
      </c>
      <c r="K1443" s="1">
        <f t="shared" si="68"/>
        <v>0</v>
      </c>
    </row>
    <row r="1444" spans="4:11" ht="18" customHeight="1">
      <c r="D1444" s="6" t="s">
        <v>144</v>
      </c>
      <c r="E1444" s="7"/>
      <c r="F1444" s="7"/>
      <c r="G1444" s="17" t="s">
        <v>182</v>
      </c>
      <c r="H1444" s="17">
        <v>6</v>
      </c>
      <c r="I1444" s="1">
        <f t="shared" si="67"/>
        <v>-3</v>
      </c>
      <c r="J1444" s="1">
        <f t="shared" si="66"/>
        <v>-0.4868947757543225</v>
      </c>
      <c r="K1444" s="1">
        <f t="shared" si="68"/>
        <v>6.3156978681309166</v>
      </c>
    </row>
    <row r="1445" spans="4:11" ht="15.75" thickBot="1">
      <c r="D1445" s="8"/>
      <c r="E1445" s="15" t="s">
        <v>10</v>
      </c>
      <c r="F1445" s="15" t="s">
        <v>33</v>
      </c>
      <c r="G1445" s="17" t="s">
        <v>178</v>
      </c>
      <c r="H1445" s="17"/>
      <c r="I1445" s="1" t="str">
        <f t="shared" si="67"/>
        <v/>
      </c>
      <c r="J1445" s="1" t="str">
        <f t="shared" si="66"/>
        <v/>
      </c>
      <c r="K1445" s="1">
        <f t="shared" si="68"/>
        <v>0</v>
      </c>
    </row>
    <row r="1446" spans="4:11" ht="15" customHeight="1">
      <c r="D1446" s="6" t="s">
        <v>145</v>
      </c>
      <c r="E1446" s="7"/>
      <c r="F1446" s="7"/>
      <c r="G1446" s="17" t="s">
        <v>180</v>
      </c>
      <c r="H1446" s="17">
        <v>1</v>
      </c>
      <c r="I1446" s="1">
        <f t="shared" si="67"/>
        <v>1</v>
      </c>
      <c r="J1446" s="1">
        <f t="shared" si="66"/>
        <v>0.62808430365640788</v>
      </c>
      <c r="K1446" s="1">
        <f t="shared" si="68"/>
        <v>0.13832128518673903</v>
      </c>
    </row>
    <row r="1447" spans="4:11" ht="15.75" thickBot="1">
      <c r="D1447" s="8"/>
      <c r="E1447" s="15" t="s">
        <v>11</v>
      </c>
      <c r="F1447" s="15" t="s">
        <v>36</v>
      </c>
      <c r="G1447" s="17" t="s">
        <v>178</v>
      </c>
      <c r="H1447" s="17"/>
      <c r="I1447" s="1" t="str">
        <f t="shared" si="67"/>
        <v/>
      </c>
      <c r="J1447" s="1" t="str">
        <f t="shared" si="66"/>
        <v/>
      </c>
      <c r="K1447" s="1">
        <f t="shared" si="68"/>
        <v>0</v>
      </c>
    </row>
    <row r="1448" spans="4:11" ht="15" customHeight="1">
      <c r="D1448" s="6" t="s">
        <v>145</v>
      </c>
      <c r="E1448" s="7"/>
      <c r="F1448" s="7"/>
      <c r="G1448" s="17" t="s">
        <v>182</v>
      </c>
      <c r="H1448" s="17">
        <v>2</v>
      </c>
      <c r="I1448" s="1">
        <f t="shared" si="67"/>
        <v>1</v>
      </c>
      <c r="J1448" s="1">
        <f t="shared" si="66"/>
        <v>0.88039657943760119</v>
      </c>
      <c r="K1448" s="1">
        <f t="shared" si="68"/>
        <v>1.4304978210226043E-2</v>
      </c>
    </row>
    <row r="1449" spans="4:11" ht="15.75" thickBot="1">
      <c r="D1449" s="8"/>
      <c r="E1449" s="15" t="s">
        <v>39</v>
      </c>
      <c r="F1449" s="15" t="s">
        <v>28</v>
      </c>
      <c r="G1449" s="17" t="s">
        <v>178</v>
      </c>
      <c r="H1449" s="17"/>
      <c r="I1449" s="1" t="str">
        <f t="shared" si="67"/>
        <v/>
      </c>
      <c r="J1449" s="1" t="str">
        <f t="shared" si="66"/>
        <v/>
      </c>
      <c r="K1449" s="1">
        <f t="shared" si="68"/>
        <v>0</v>
      </c>
    </row>
    <row r="1450" spans="4:11" ht="15" customHeight="1">
      <c r="D1450" s="6" t="s">
        <v>145</v>
      </c>
      <c r="E1450" s="7"/>
      <c r="F1450" s="7"/>
      <c r="G1450" s="17" t="s">
        <v>179</v>
      </c>
      <c r="H1450" s="17">
        <v>3</v>
      </c>
      <c r="I1450" s="1">
        <f t="shared" si="67"/>
        <v>-3</v>
      </c>
      <c r="J1450" s="1">
        <f t="shared" si="66"/>
        <v>0.44595449252430797</v>
      </c>
      <c r="K1450" s="1">
        <f t="shared" si="68"/>
        <v>11.87460236454846</v>
      </c>
    </row>
    <row r="1451" spans="4:11" ht="15.75" thickBot="1">
      <c r="D1451" s="8"/>
      <c r="E1451" s="15" t="s">
        <v>19</v>
      </c>
      <c r="F1451" s="15" t="s">
        <v>22</v>
      </c>
      <c r="G1451" s="17" t="s">
        <v>178</v>
      </c>
      <c r="H1451" s="17"/>
      <c r="I1451" s="1" t="str">
        <f t="shared" si="67"/>
        <v/>
      </c>
      <c r="J1451" s="1" t="str">
        <f t="shared" si="66"/>
        <v/>
      </c>
      <c r="K1451" s="1">
        <f t="shared" si="68"/>
        <v>0</v>
      </c>
    </row>
    <row r="1452" spans="4:11" ht="15" customHeight="1">
      <c r="D1452" s="6" t="s">
        <v>145</v>
      </c>
      <c r="E1452" s="7"/>
      <c r="F1452" s="7"/>
      <c r="G1452" s="17" t="s">
        <v>180</v>
      </c>
      <c r="H1452" s="17">
        <v>5</v>
      </c>
      <c r="I1452" s="1">
        <f t="shared" si="67"/>
        <v>-3</v>
      </c>
      <c r="J1452" s="1">
        <f t="shared" si="66"/>
        <v>-1.5240328599494575</v>
      </c>
      <c r="K1452" s="1">
        <f t="shared" si="68"/>
        <v>2.1784789985089779</v>
      </c>
    </row>
    <row r="1453" spans="4:11" ht="15.75" thickBot="1">
      <c r="D1453" s="8"/>
      <c r="E1453" s="15" t="s">
        <v>8</v>
      </c>
      <c r="F1453" s="15" t="s">
        <v>3</v>
      </c>
      <c r="G1453" s="17" t="s">
        <v>178</v>
      </c>
      <c r="H1453" s="17"/>
      <c r="I1453" s="1" t="str">
        <f t="shared" si="67"/>
        <v/>
      </c>
      <c r="J1453" s="1" t="str">
        <f t="shared" si="66"/>
        <v/>
      </c>
      <c r="K1453" s="1">
        <f t="shared" si="68"/>
        <v>0</v>
      </c>
    </row>
    <row r="1454" spans="4:11" ht="18" customHeight="1">
      <c r="D1454" s="6" t="s">
        <v>145</v>
      </c>
      <c r="E1454" s="7"/>
      <c r="F1454" s="7"/>
      <c r="G1454" s="17" t="s">
        <v>184</v>
      </c>
      <c r="H1454" s="17">
        <v>1</v>
      </c>
      <c r="I1454" s="1">
        <f t="shared" si="67"/>
        <v>3</v>
      </c>
      <c r="J1454" s="1">
        <f t="shared" si="66"/>
        <v>1.0699108759898905</v>
      </c>
      <c r="K1454" s="1">
        <f t="shared" si="68"/>
        <v>3.7252440266221116</v>
      </c>
    </row>
    <row r="1455" spans="4:11" ht="15.75" thickBot="1">
      <c r="D1455" s="8"/>
      <c r="E1455" s="15" t="s">
        <v>20</v>
      </c>
      <c r="F1455" s="15" t="s">
        <v>10</v>
      </c>
      <c r="G1455" s="17" t="s">
        <v>178</v>
      </c>
      <c r="H1455" s="17"/>
      <c r="I1455" s="1" t="str">
        <f t="shared" si="67"/>
        <v/>
      </c>
      <c r="J1455" s="1" t="str">
        <f t="shared" si="66"/>
        <v/>
      </c>
      <c r="K1455" s="1">
        <f t="shared" si="68"/>
        <v>0</v>
      </c>
    </row>
    <row r="1456" spans="4:11" ht="15" customHeight="1">
      <c r="D1456" s="6" t="s">
        <v>146</v>
      </c>
      <c r="E1456" s="7"/>
      <c r="F1456" s="7"/>
      <c r="G1456" s="17" t="s">
        <v>179</v>
      </c>
      <c r="H1456" s="17">
        <v>1</v>
      </c>
      <c r="I1456" s="1">
        <f t="shared" si="67"/>
        <v>-1</v>
      </c>
      <c r="J1456" s="1">
        <f t="shared" si="66"/>
        <v>9.4108916957921451E-2</v>
      </c>
      <c r="K1456" s="1">
        <f t="shared" si="68"/>
        <v>1.1970743221668358</v>
      </c>
    </row>
    <row r="1457" spans="4:11" ht="15.75" thickBot="1">
      <c r="D1457" s="8"/>
      <c r="E1457" s="15" t="s">
        <v>12</v>
      </c>
      <c r="F1457" s="15" t="s">
        <v>443</v>
      </c>
      <c r="G1457" s="17" t="s">
        <v>178</v>
      </c>
      <c r="H1457" s="17"/>
      <c r="I1457" s="1" t="str">
        <f t="shared" si="67"/>
        <v/>
      </c>
      <c r="J1457" s="1" t="str">
        <f t="shared" si="66"/>
        <v/>
      </c>
      <c r="K1457" s="1">
        <f t="shared" si="68"/>
        <v>0</v>
      </c>
    </row>
    <row r="1458" spans="4:11" ht="15" customHeight="1">
      <c r="D1458" s="6" t="s">
        <v>146</v>
      </c>
      <c r="E1458" s="7"/>
      <c r="F1458" s="7"/>
      <c r="G1458" s="17" t="s">
        <v>181</v>
      </c>
      <c r="H1458" s="17">
        <v>4</v>
      </c>
      <c r="I1458" s="1">
        <f t="shared" si="67"/>
        <v>-3</v>
      </c>
      <c r="J1458" s="1">
        <f t="shared" si="66"/>
        <v>0.41467964137967783</v>
      </c>
      <c r="K1458" s="1">
        <f t="shared" si="68"/>
        <v>11.660037053252845</v>
      </c>
    </row>
    <row r="1459" spans="4:11" ht="15.75" thickBot="1">
      <c r="D1459" s="8"/>
      <c r="E1459" s="15" t="s">
        <v>41</v>
      </c>
      <c r="F1459" s="15" t="s">
        <v>13</v>
      </c>
      <c r="G1459" s="17" t="s">
        <v>178</v>
      </c>
      <c r="H1459" s="17"/>
      <c r="I1459" s="1" t="str">
        <f t="shared" si="67"/>
        <v/>
      </c>
      <c r="J1459" s="1" t="str">
        <f t="shared" si="66"/>
        <v/>
      </c>
      <c r="K1459" s="1">
        <f t="shared" si="68"/>
        <v>0</v>
      </c>
    </row>
    <row r="1460" spans="4:11" ht="18" customHeight="1">
      <c r="D1460" s="6" t="s">
        <v>146</v>
      </c>
      <c r="E1460" s="7"/>
      <c r="F1460" s="7"/>
      <c r="G1460" s="17" t="s">
        <v>180</v>
      </c>
      <c r="H1460" s="17">
        <v>7</v>
      </c>
      <c r="I1460" s="1">
        <f t="shared" si="67"/>
        <v>-5</v>
      </c>
      <c r="J1460" s="1">
        <f t="shared" si="66"/>
        <v>-0.68022042637045388</v>
      </c>
      <c r="K1460" s="1">
        <f t="shared" si="68"/>
        <v>18.660495564747063</v>
      </c>
    </row>
    <row r="1461" spans="4:11" ht="15.75" thickBot="1">
      <c r="D1461" s="8"/>
      <c r="E1461" s="15" t="s">
        <v>26</v>
      </c>
      <c r="F1461" s="15" t="s">
        <v>18</v>
      </c>
      <c r="G1461" s="17" t="s">
        <v>178</v>
      </c>
      <c r="H1461" s="17"/>
      <c r="I1461" s="1" t="str">
        <f t="shared" si="67"/>
        <v/>
      </c>
      <c r="J1461" s="1" t="str">
        <f t="shared" si="66"/>
        <v/>
      </c>
      <c r="K1461" s="1">
        <f t="shared" si="68"/>
        <v>0</v>
      </c>
    </row>
    <row r="1462" spans="4:11" ht="15" customHeight="1">
      <c r="D1462" s="6" t="s">
        <v>146</v>
      </c>
      <c r="E1462" s="7"/>
      <c r="F1462" s="7"/>
      <c r="G1462" s="17" t="s">
        <v>181</v>
      </c>
      <c r="H1462" s="17">
        <v>3</v>
      </c>
      <c r="I1462" s="1">
        <f t="shared" si="67"/>
        <v>-2</v>
      </c>
      <c r="J1462" s="1">
        <f t="shared" si="66"/>
        <v>3.8320470408024221E-2</v>
      </c>
      <c r="K1462" s="1">
        <f t="shared" si="68"/>
        <v>4.154750340084389</v>
      </c>
    </row>
    <row r="1463" spans="4:11" ht="15.75" thickBot="1">
      <c r="D1463" s="8"/>
      <c r="E1463" s="15" t="s">
        <v>34</v>
      </c>
      <c r="F1463" s="15" t="s">
        <v>2</v>
      </c>
      <c r="G1463" s="17" t="s">
        <v>178</v>
      </c>
      <c r="H1463" s="17"/>
      <c r="I1463" s="1" t="str">
        <f t="shared" si="67"/>
        <v/>
      </c>
      <c r="J1463" s="1" t="str">
        <f t="shared" si="66"/>
        <v/>
      </c>
      <c r="K1463" s="1">
        <f t="shared" si="68"/>
        <v>0</v>
      </c>
    </row>
    <row r="1464" spans="4:11" ht="15" customHeight="1">
      <c r="D1464" s="6" t="s">
        <v>146</v>
      </c>
      <c r="E1464" s="7"/>
      <c r="F1464" s="7"/>
      <c r="G1464" s="17" t="s">
        <v>181</v>
      </c>
      <c r="H1464" s="17">
        <v>3</v>
      </c>
      <c r="I1464" s="1">
        <f t="shared" si="67"/>
        <v>-2</v>
      </c>
      <c r="J1464" s="1">
        <f t="shared" si="66"/>
        <v>9.0318653484871447E-2</v>
      </c>
      <c r="K1464" s="1">
        <f t="shared" si="68"/>
        <v>4.3694320731068057</v>
      </c>
    </row>
    <row r="1465" spans="4:11" ht="15.75" thickBot="1">
      <c r="D1465" s="8"/>
      <c r="E1465" s="15" t="s">
        <v>14</v>
      </c>
      <c r="F1465" s="15" t="s">
        <v>36</v>
      </c>
      <c r="G1465" s="17" t="s">
        <v>178</v>
      </c>
      <c r="H1465" s="17"/>
      <c r="I1465" s="1" t="str">
        <f t="shared" si="67"/>
        <v/>
      </c>
      <c r="J1465" s="1" t="str">
        <f t="shared" si="66"/>
        <v/>
      </c>
      <c r="K1465" s="1">
        <f t="shared" si="68"/>
        <v>0</v>
      </c>
    </row>
    <row r="1466" spans="4:11" ht="15" customHeight="1">
      <c r="D1466" s="6" t="s">
        <v>146</v>
      </c>
      <c r="E1466" s="7"/>
      <c r="F1466" s="7"/>
      <c r="G1466" s="17" t="s">
        <v>181</v>
      </c>
      <c r="H1466" s="17">
        <v>4</v>
      </c>
      <c r="I1466" s="1">
        <f t="shared" si="67"/>
        <v>-3</v>
      </c>
      <c r="J1466" s="1">
        <f t="shared" si="66"/>
        <v>-0.90759281447076035</v>
      </c>
      <c r="K1466" s="1">
        <f t="shared" si="68"/>
        <v>4.3781678300543936</v>
      </c>
    </row>
    <row r="1467" spans="4:11" ht="15.75" thickBot="1">
      <c r="D1467" s="8"/>
      <c r="E1467" s="15" t="s">
        <v>28</v>
      </c>
      <c r="F1467" s="15" t="s">
        <v>38</v>
      </c>
      <c r="G1467" s="17" t="s">
        <v>178</v>
      </c>
      <c r="H1467" s="17"/>
      <c r="I1467" s="1" t="str">
        <f t="shared" si="67"/>
        <v/>
      </c>
      <c r="J1467" s="1" t="str">
        <f t="shared" si="66"/>
        <v/>
      </c>
      <c r="K1467" s="1">
        <f t="shared" si="68"/>
        <v>0</v>
      </c>
    </row>
    <row r="1468" spans="4:11" ht="15" customHeight="1">
      <c r="D1468" s="6" t="s">
        <v>146</v>
      </c>
      <c r="E1468" s="7"/>
      <c r="F1468" s="7"/>
      <c r="G1468" s="17" t="s">
        <v>179</v>
      </c>
      <c r="H1468" s="17">
        <v>1</v>
      </c>
      <c r="I1468" s="1">
        <f t="shared" si="67"/>
        <v>-1</v>
      </c>
      <c r="J1468" s="1">
        <f t="shared" si="66"/>
        <v>-0.2786189080401158</v>
      </c>
      <c r="K1468" s="1">
        <f t="shared" si="68"/>
        <v>0.52039067983723486</v>
      </c>
    </row>
    <row r="1469" spans="4:11" ht="30.75" thickBot="1">
      <c r="D1469" s="8"/>
      <c r="E1469" s="15" t="s">
        <v>0</v>
      </c>
      <c r="F1469" s="15" t="s">
        <v>1</v>
      </c>
      <c r="G1469" s="17" t="s">
        <v>178</v>
      </c>
      <c r="H1469" s="17"/>
      <c r="I1469" s="1" t="str">
        <f t="shared" si="67"/>
        <v/>
      </c>
      <c r="J1469" s="1" t="str">
        <f t="shared" si="66"/>
        <v/>
      </c>
      <c r="K1469" s="1">
        <f t="shared" si="68"/>
        <v>0</v>
      </c>
    </row>
    <row r="1470" spans="4:11" ht="15" customHeight="1">
      <c r="D1470" s="6" t="s">
        <v>146</v>
      </c>
      <c r="E1470" s="7"/>
      <c r="F1470" s="7"/>
      <c r="G1470" s="17" t="s">
        <v>185</v>
      </c>
      <c r="H1470" s="17">
        <v>2</v>
      </c>
      <c r="I1470" s="1">
        <f t="shared" si="67"/>
        <v>3</v>
      </c>
      <c r="J1470" s="1">
        <f t="shared" si="66"/>
        <v>-0.27591078395789737</v>
      </c>
      <c r="K1470" s="1">
        <f t="shared" si="68"/>
        <v>10.731591464451645</v>
      </c>
    </row>
    <row r="1471" spans="4:11" ht="15.75" thickBot="1">
      <c r="D1471" s="8"/>
      <c r="E1471" s="15" t="s">
        <v>21</v>
      </c>
      <c r="F1471" s="15" t="s">
        <v>25</v>
      </c>
      <c r="G1471" s="17" t="s">
        <v>178</v>
      </c>
      <c r="H1471" s="17"/>
      <c r="I1471" s="1" t="str">
        <f t="shared" si="67"/>
        <v/>
      </c>
      <c r="J1471" s="1" t="str">
        <f t="shared" si="66"/>
        <v/>
      </c>
      <c r="K1471" s="1">
        <f t="shared" si="68"/>
        <v>0</v>
      </c>
    </row>
    <row r="1472" spans="4:11" ht="15" customHeight="1">
      <c r="D1472" s="6" t="s">
        <v>146</v>
      </c>
      <c r="E1472" s="7"/>
      <c r="F1472" s="7"/>
      <c r="G1472" s="17" t="s">
        <v>181</v>
      </c>
      <c r="H1472" s="17">
        <v>3</v>
      </c>
      <c r="I1472" s="1">
        <f t="shared" si="67"/>
        <v>-2</v>
      </c>
      <c r="J1472" s="1">
        <f t="shared" si="66"/>
        <v>-0.83371146194974699</v>
      </c>
      <c r="K1472" s="1">
        <f t="shared" si="68"/>
        <v>1.3602289539873964</v>
      </c>
    </row>
    <row r="1473" spans="4:11" ht="15.75" thickBot="1">
      <c r="D1473" s="8"/>
      <c r="E1473" s="15" t="s">
        <v>7</v>
      </c>
      <c r="F1473" s="15" t="s">
        <v>37</v>
      </c>
      <c r="G1473" s="17" t="s">
        <v>178</v>
      </c>
      <c r="H1473" s="17"/>
      <c r="I1473" s="1" t="str">
        <f t="shared" si="67"/>
        <v/>
      </c>
      <c r="J1473" s="1" t="str">
        <f t="shared" si="66"/>
        <v/>
      </c>
      <c r="K1473" s="1">
        <f t="shared" si="68"/>
        <v>0</v>
      </c>
    </row>
    <row r="1474" spans="4:11" ht="15" customHeight="1">
      <c r="D1474" s="6" t="s">
        <v>146</v>
      </c>
      <c r="E1474" s="7"/>
      <c r="F1474" s="7"/>
      <c r="G1474" s="17" t="s">
        <v>180</v>
      </c>
      <c r="H1474" s="17">
        <v>4</v>
      </c>
      <c r="I1474" s="1">
        <f t="shared" si="67"/>
        <v>-2</v>
      </c>
      <c r="J1474" s="1">
        <f t="shared" si="66"/>
        <v>-1.1692314577554157</v>
      </c>
      <c r="K1474" s="1">
        <f t="shared" si="68"/>
        <v>0.69017637078319161</v>
      </c>
    </row>
    <row r="1475" spans="4:11" ht="15.75" thickBot="1">
      <c r="D1475" s="8"/>
      <c r="E1475" s="15" t="s">
        <v>24</v>
      </c>
      <c r="F1475" s="15" t="s">
        <v>4</v>
      </c>
      <c r="G1475" s="17" t="s">
        <v>178</v>
      </c>
      <c r="H1475" s="17"/>
      <c r="I1475" s="1" t="str">
        <f t="shared" si="67"/>
        <v/>
      </c>
      <c r="J1475" s="1" t="str">
        <f t="shared" ref="J1475:J1538" si="69">IF(F1476="","",VLOOKUP(F1476,$A$2:$B$31,2)+$B$33-VLOOKUP(E1476,$A$2:$B$31,2))</f>
        <v/>
      </c>
      <c r="K1475" s="1">
        <f t="shared" si="68"/>
        <v>0</v>
      </c>
    </row>
    <row r="1476" spans="4:11" ht="18.75" customHeight="1">
      <c r="D1476" s="6" t="s">
        <v>146</v>
      </c>
      <c r="E1476" s="7"/>
      <c r="F1476" s="7"/>
      <c r="G1476" s="17" t="s">
        <v>179</v>
      </c>
      <c r="H1476" s="17">
        <v>2</v>
      </c>
      <c r="I1476" s="1">
        <f t="shared" ref="I1476:I1539" si="70">IF(G1476="","",G1476-H1476)</f>
        <v>-2</v>
      </c>
      <c r="J1476" s="1">
        <f t="shared" si="69"/>
        <v>0.58301610023556805</v>
      </c>
      <c r="K1476" s="1">
        <f t="shared" ref="K1476:K1539" si="71">IF(J1476="",0,(I1476-J1476)^2)</f>
        <v>6.6719721740761617</v>
      </c>
    </row>
    <row r="1477" spans="4:11" ht="15.75" thickBot="1">
      <c r="D1477" s="8"/>
      <c r="E1477" s="16" t="s">
        <v>20</v>
      </c>
      <c r="F1477" s="16" t="s">
        <v>33</v>
      </c>
      <c r="G1477" s="17" t="s">
        <v>178</v>
      </c>
      <c r="H1477" s="17"/>
      <c r="I1477" s="1" t="str">
        <f t="shared" si="70"/>
        <v/>
      </c>
      <c r="J1477" s="1" t="str">
        <f t="shared" si="69"/>
        <v/>
      </c>
      <c r="K1477" s="1">
        <f t="shared" si="71"/>
        <v>0</v>
      </c>
    </row>
    <row r="1478" spans="4:11" ht="15" customHeight="1">
      <c r="D1478" s="6" t="s">
        <v>147</v>
      </c>
      <c r="E1478" s="12"/>
      <c r="F1478" s="12"/>
      <c r="G1478" s="17" t="s">
        <v>182</v>
      </c>
      <c r="H1478" s="17">
        <v>2</v>
      </c>
      <c r="I1478" s="1">
        <f t="shared" si="70"/>
        <v>1</v>
      </c>
      <c r="J1478" s="1">
        <f t="shared" si="69"/>
        <v>-0.86768942536534155</v>
      </c>
      <c r="K1478" s="1">
        <f t="shared" si="71"/>
        <v>3.4882637896215196</v>
      </c>
    </row>
    <row r="1479" spans="4:11" ht="15.75" thickBot="1">
      <c r="D1479" s="8"/>
      <c r="E1479" s="15" t="s">
        <v>26</v>
      </c>
      <c r="F1479" s="15" t="s">
        <v>443</v>
      </c>
      <c r="G1479" s="17" t="s">
        <v>178</v>
      </c>
      <c r="H1479" s="17"/>
      <c r="I1479" s="1" t="str">
        <f t="shared" si="70"/>
        <v/>
      </c>
      <c r="J1479" s="1" t="str">
        <f t="shared" si="69"/>
        <v/>
      </c>
      <c r="K1479" s="1">
        <f t="shared" si="71"/>
        <v>0</v>
      </c>
    </row>
    <row r="1480" spans="4:11" ht="15" customHeight="1">
      <c r="D1480" s="6" t="s">
        <v>147</v>
      </c>
      <c r="E1480" s="7"/>
      <c r="F1480" s="7"/>
      <c r="G1480" s="17" t="s">
        <v>184</v>
      </c>
      <c r="H1480" s="17">
        <v>3</v>
      </c>
      <c r="I1480" s="1">
        <f t="shared" si="70"/>
        <v>1</v>
      </c>
      <c r="J1480" s="1">
        <f t="shared" si="69"/>
        <v>7.3942007308218649E-2</v>
      </c>
      <c r="K1480" s="1">
        <f t="shared" si="71"/>
        <v>0.85758340582833137</v>
      </c>
    </row>
    <row r="1481" spans="4:11" ht="30.75" thickBot="1">
      <c r="D1481" s="8"/>
      <c r="E1481" s="15" t="s">
        <v>39</v>
      </c>
      <c r="F1481" s="15" t="s">
        <v>12</v>
      </c>
      <c r="G1481" s="17" t="s">
        <v>178</v>
      </c>
      <c r="H1481" s="17"/>
      <c r="I1481" s="1" t="str">
        <f t="shared" si="70"/>
        <v/>
      </c>
      <c r="J1481" s="1" t="str">
        <f t="shared" si="69"/>
        <v/>
      </c>
      <c r="K1481" s="1">
        <f t="shared" si="71"/>
        <v>0</v>
      </c>
    </row>
    <row r="1482" spans="4:11" ht="15" customHeight="1">
      <c r="D1482" s="6" t="s">
        <v>147</v>
      </c>
      <c r="E1482" s="7"/>
      <c r="F1482" s="7"/>
      <c r="G1482" s="17" t="s">
        <v>184</v>
      </c>
      <c r="H1482" s="17">
        <v>0</v>
      </c>
      <c r="I1482" s="1">
        <f t="shared" si="70"/>
        <v>4</v>
      </c>
      <c r="J1482" s="1">
        <f t="shared" si="69"/>
        <v>0.1354626066177218</v>
      </c>
      <c r="K1482" s="1">
        <f t="shared" si="71"/>
        <v>14.934649264849893</v>
      </c>
    </row>
    <row r="1483" spans="4:11" ht="15.75" thickBot="1">
      <c r="D1483" s="8"/>
      <c r="E1483" s="15" t="s">
        <v>19</v>
      </c>
      <c r="F1483" s="15" t="s">
        <v>11</v>
      </c>
      <c r="G1483" s="17" t="s">
        <v>178</v>
      </c>
      <c r="H1483" s="17"/>
      <c r="I1483" s="1" t="str">
        <f t="shared" si="70"/>
        <v/>
      </c>
      <c r="J1483" s="1" t="str">
        <f t="shared" si="69"/>
        <v/>
      </c>
      <c r="K1483" s="1">
        <f t="shared" si="71"/>
        <v>0</v>
      </c>
    </row>
    <row r="1484" spans="4:11" ht="15" customHeight="1">
      <c r="D1484" s="6" t="s">
        <v>147</v>
      </c>
      <c r="E1484" s="7"/>
      <c r="F1484" s="7"/>
      <c r="G1484" s="17" t="s">
        <v>184</v>
      </c>
      <c r="H1484" s="17">
        <v>2</v>
      </c>
      <c r="I1484" s="1">
        <f t="shared" si="70"/>
        <v>2</v>
      </c>
      <c r="J1484" s="1">
        <f t="shared" si="69"/>
        <v>0.24567290265055419</v>
      </c>
      <c r="K1484" s="1">
        <f t="shared" si="71"/>
        <v>3.0776635644945318</v>
      </c>
    </row>
    <row r="1485" spans="4:11" ht="15.75" thickBot="1">
      <c r="D1485" s="8"/>
      <c r="E1485" s="15" t="s">
        <v>23</v>
      </c>
      <c r="F1485" s="15" t="s">
        <v>3</v>
      </c>
      <c r="G1485" s="17" t="s">
        <v>178</v>
      </c>
      <c r="H1485" s="17"/>
      <c r="I1485" s="1" t="str">
        <f t="shared" si="70"/>
        <v/>
      </c>
      <c r="J1485" s="1" t="str">
        <f t="shared" si="69"/>
        <v/>
      </c>
      <c r="K1485" s="1">
        <f t="shared" si="71"/>
        <v>0</v>
      </c>
    </row>
    <row r="1486" spans="4:11" ht="15" customHeight="1">
      <c r="D1486" s="6" t="s">
        <v>148</v>
      </c>
      <c r="E1486" s="7"/>
      <c r="F1486" s="7"/>
      <c r="G1486" s="17" t="s">
        <v>182</v>
      </c>
      <c r="H1486" s="17">
        <v>6</v>
      </c>
      <c r="I1486" s="1">
        <f t="shared" si="70"/>
        <v>-3</v>
      </c>
      <c r="J1486" s="1">
        <f t="shared" si="69"/>
        <v>-0.8015538715053907</v>
      </c>
      <c r="K1486" s="1">
        <f t="shared" si="71"/>
        <v>4.8331653798929359</v>
      </c>
    </row>
    <row r="1487" spans="4:11" ht="15.75" thickBot="1">
      <c r="D1487" s="8"/>
      <c r="E1487" s="15" t="s">
        <v>14</v>
      </c>
      <c r="F1487" s="15" t="s">
        <v>38</v>
      </c>
      <c r="G1487" s="17" t="s">
        <v>178</v>
      </c>
      <c r="H1487" s="17"/>
      <c r="I1487" s="1" t="str">
        <f t="shared" si="70"/>
        <v/>
      </c>
      <c r="J1487" s="1" t="str">
        <f t="shared" si="69"/>
        <v/>
      </c>
      <c r="K1487" s="1">
        <f t="shared" si="71"/>
        <v>0</v>
      </c>
    </row>
    <row r="1488" spans="4:11" ht="18" customHeight="1">
      <c r="D1488" s="6" t="s">
        <v>148</v>
      </c>
      <c r="E1488" s="7"/>
      <c r="F1488" s="7"/>
      <c r="G1488" s="17" t="s">
        <v>180</v>
      </c>
      <c r="H1488" s="17">
        <v>5</v>
      </c>
      <c r="I1488" s="1">
        <f t="shared" si="70"/>
        <v>-3</v>
      </c>
      <c r="J1488" s="1">
        <f t="shared" si="69"/>
        <v>-8.4443220786639017E-2</v>
      </c>
      <c r="K1488" s="1">
        <f t="shared" si="71"/>
        <v>8.5004713328169874</v>
      </c>
    </row>
    <row r="1489" spans="4:11" ht="15.75" thickBot="1">
      <c r="D1489" s="8"/>
      <c r="E1489" s="15" t="s">
        <v>25</v>
      </c>
      <c r="F1489" s="15" t="s">
        <v>4</v>
      </c>
      <c r="G1489" s="17" t="s">
        <v>178</v>
      </c>
      <c r="H1489" s="17"/>
      <c r="I1489" s="1" t="str">
        <f t="shared" si="70"/>
        <v/>
      </c>
      <c r="J1489" s="1" t="str">
        <f t="shared" si="69"/>
        <v/>
      </c>
      <c r="K1489" s="1">
        <f t="shared" si="71"/>
        <v>0</v>
      </c>
    </row>
    <row r="1490" spans="4:11" ht="15" customHeight="1">
      <c r="D1490" s="6" t="s">
        <v>148</v>
      </c>
      <c r="E1490" s="7"/>
      <c r="F1490" s="7"/>
      <c r="G1490" s="17" t="s">
        <v>185</v>
      </c>
      <c r="H1490" s="17">
        <v>4</v>
      </c>
      <c r="I1490" s="1">
        <f t="shared" si="70"/>
        <v>1</v>
      </c>
      <c r="J1490" s="1">
        <f t="shared" si="69"/>
        <v>-0.84629732002076707</v>
      </c>
      <c r="K1490" s="1">
        <f t="shared" si="71"/>
        <v>3.4088137939158667</v>
      </c>
    </row>
    <row r="1491" spans="4:11" ht="15.75" thickBot="1">
      <c r="D1491" s="8"/>
      <c r="E1491" s="15" t="s">
        <v>24</v>
      </c>
      <c r="F1491" s="15" t="s">
        <v>33</v>
      </c>
      <c r="G1491" s="17" t="s">
        <v>178</v>
      </c>
      <c r="H1491" s="17"/>
      <c r="I1491" s="1" t="str">
        <f t="shared" si="70"/>
        <v/>
      </c>
      <c r="J1491" s="1" t="str">
        <f t="shared" si="69"/>
        <v/>
      </c>
      <c r="K1491" s="1">
        <f t="shared" si="71"/>
        <v>0</v>
      </c>
    </row>
    <row r="1492" spans="4:11" ht="15" customHeight="1">
      <c r="D1492" s="6" t="s">
        <v>149</v>
      </c>
      <c r="E1492" s="7"/>
      <c r="F1492" s="7"/>
      <c r="G1492" s="17" t="s">
        <v>181</v>
      </c>
      <c r="H1492" s="17">
        <v>2</v>
      </c>
      <c r="I1492" s="1">
        <f t="shared" si="70"/>
        <v>-1</v>
      </c>
      <c r="J1492" s="1">
        <f t="shared" si="69"/>
        <v>0.50915636669607522</v>
      </c>
      <c r="K1492" s="1">
        <f t="shared" si="71"/>
        <v>2.2775529391392988</v>
      </c>
    </row>
    <row r="1493" spans="4:11" ht="15.75" thickBot="1">
      <c r="D1493" s="8"/>
      <c r="E1493" s="15" t="s">
        <v>18</v>
      </c>
      <c r="F1493" s="15" t="s">
        <v>36</v>
      </c>
      <c r="G1493" s="17" t="s">
        <v>178</v>
      </c>
      <c r="H1493" s="17"/>
      <c r="I1493" s="1" t="str">
        <f t="shared" si="70"/>
        <v/>
      </c>
      <c r="J1493" s="1" t="str">
        <f t="shared" si="69"/>
        <v/>
      </c>
      <c r="K1493" s="1">
        <f t="shared" si="71"/>
        <v>0</v>
      </c>
    </row>
    <row r="1494" spans="4:11" ht="15" customHeight="1">
      <c r="D1494" s="6" t="s">
        <v>149</v>
      </c>
      <c r="E1494" s="7"/>
      <c r="F1494" s="7"/>
      <c r="G1494" s="17" t="s">
        <v>184</v>
      </c>
      <c r="H1494" s="17">
        <v>2</v>
      </c>
      <c r="I1494" s="1">
        <f t="shared" si="70"/>
        <v>2</v>
      </c>
      <c r="J1494" s="1">
        <f t="shared" si="69"/>
        <v>-0.8015538715053907</v>
      </c>
      <c r="K1494" s="1">
        <f t="shared" si="71"/>
        <v>7.848704094946843</v>
      </c>
    </row>
    <row r="1495" spans="4:11" ht="15.75" thickBot="1">
      <c r="D1495" s="8"/>
      <c r="E1495" s="15" t="s">
        <v>14</v>
      </c>
      <c r="F1495" s="15" t="s">
        <v>41</v>
      </c>
      <c r="G1495" s="17" t="s">
        <v>178</v>
      </c>
      <c r="H1495" s="17"/>
      <c r="I1495" s="1" t="str">
        <f t="shared" si="70"/>
        <v/>
      </c>
      <c r="J1495" s="1" t="str">
        <f t="shared" si="69"/>
        <v/>
      </c>
      <c r="K1495" s="1">
        <f t="shared" si="71"/>
        <v>0</v>
      </c>
    </row>
    <row r="1496" spans="4:11" ht="15" customHeight="1">
      <c r="D1496" s="6" t="s">
        <v>149</v>
      </c>
      <c r="E1496" s="7"/>
      <c r="F1496" s="7"/>
      <c r="G1496" s="17" t="s">
        <v>179</v>
      </c>
      <c r="H1496" s="17">
        <v>4</v>
      </c>
      <c r="I1496" s="1">
        <f t="shared" si="70"/>
        <v>-4</v>
      </c>
      <c r="J1496" s="1">
        <f t="shared" si="69"/>
        <v>-0.33920203200602828</v>
      </c>
      <c r="K1496" s="1">
        <f t="shared" si="71"/>
        <v>13.401441762468792</v>
      </c>
    </row>
    <row r="1497" spans="4:11" ht="30.75" thickBot="1">
      <c r="D1497" s="8"/>
      <c r="E1497" s="15" t="s">
        <v>34</v>
      </c>
      <c r="F1497" s="15" t="s">
        <v>12</v>
      </c>
      <c r="G1497" s="17" t="s">
        <v>178</v>
      </c>
      <c r="H1497" s="17"/>
      <c r="I1497" s="1" t="str">
        <f t="shared" si="70"/>
        <v/>
      </c>
      <c r="J1497" s="1" t="str">
        <f t="shared" si="69"/>
        <v/>
      </c>
      <c r="K1497" s="1">
        <f t="shared" si="71"/>
        <v>0</v>
      </c>
    </row>
    <row r="1498" spans="4:11" ht="15" customHeight="1">
      <c r="D1498" s="6" t="s">
        <v>149</v>
      </c>
      <c r="E1498" s="7"/>
      <c r="F1498" s="7"/>
      <c r="G1498" s="17" t="s">
        <v>184</v>
      </c>
      <c r="H1498" s="17">
        <v>1</v>
      </c>
      <c r="I1498" s="1">
        <f t="shared" si="70"/>
        <v>3</v>
      </c>
      <c r="J1498" s="1">
        <f t="shared" si="69"/>
        <v>-0.23032160803280988</v>
      </c>
      <c r="K1498" s="1">
        <f t="shared" si="71"/>
        <v>10.434977691323679</v>
      </c>
    </row>
    <row r="1499" spans="4:11" ht="15.75" thickBot="1">
      <c r="D1499" s="8"/>
      <c r="E1499" s="15" t="s">
        <v>26</v>
      </c>
      <c r="F1499" s="15" t="s">
        <v>7</v>
      </c>
      <c r="G1499" s="17" t="s">
        <v>178</v>
      </c>
      <c r="H1499" s="17"/>
      <c r="I1499" s="1" t="str">
        <f t="shared" si="70"/>
        <v/>
      </c>
      <c r="J1499" s="1" t="str">
        <f t="shared" si="69"/>
        <v/>
      </c>
      <c r="K1499" s="1">
        <f t="shared" si="71"/>
        <v>0</v>
      </c>
    </row>
    <row r="1500" spans="4:11" ht="15" customHeight="1">
      <c r="D1500" s="6" t="s">
        <v>149</v>
      </c>
      <c r="E1500" s="7"/>
      <c r="F1500" s="7"/>
      <c r="G1500" s="17" t="s">
        <v>182</v>
      </c>
      <c r="H1500" s="17">
        <v>2</v>
      </c>
      <c r="I1500" s="1">
        <f t="shared" si="70"/>
        <v>1</v>
      </c>
      <c r="J1500" s="1">
        <f t="shared" si="69"/>
        <v>-1.6934263197607891</v>
      </c>
      <c r="K1500" s="1">
        <f t="shared" si="71"/>
        <v>7.2545453399801483</v>
      </c>
    </row>
    <row r="1501" spans="4:11" ht="15.75" thickBot="1">
      <c r="D1501" s="8"/>
      <c r="E1501" s="15" t="s">
        <v>8</v>
      </c>
      <c r="F1501" s="15" t="s">
        <v>443</v>
      </c>
      <c r="G1501" s="17" t="s">
        <v>178</v>
      </c>
      <c r="H1501" s="17"/>
      <c r="I1501" s="1" t="str">
        <f t="shared" si="70"/>
        <v/>
      </c>
      <c r="J1501" s="1" t="str">
        <f t="shared" si="69"/>
        <v/>
      </c>
      <c r="K1501" s="1">
        <f t="shared" si="71"/>
        <v>0</v>
      </c>
    </row>
    <row r="1502" spans="4:11" ht="15" customHeight="1">
      <c r="D1502" s="6" t="s">
        <v>149</v>
      </c>
      <c r="E1502" s="7"/>
      <c r="F1502" s="7"/>
      <c r="G1502" s="17" t="s">
        <v>181</v>
      </c>
      <c r="H1502" s="17">
        <v>2</v>
      </c>
      <c r="I1502" s="1">
        <f t="shared" si="70"/>
        <v>-1</v>
      </c>
      <c r="J1502" s="1">
        <f t="shared" si="69"/>
        <v>2.8292720351075218E-2</v>
      </c>
      <c r="K1502" s="1">
        <f t="shared" si="71"/>
        <v>1.0573859187270145</v>
      </c>
    </row>
    <row r="1503" spans="4:11" ht="15.75" thickBot="1">
      <c r="D1503" s="8"/>
      <c r="E1503" s="15" t="s">
        <v>37</v>
      </c>
      <c r="F1503" s="15" t="s">
        <v>39</v>
      </c>
      <c r="G1503" s="17" t="s">
        <v>178</v>
      </c>
      <c r="H1503" s="17"/>
      <c r="I1503" s="1" t="str">
        <f t="shared" si="70"/>
        <v/>
      </c>
      <c r="J1503" s="1" t="str">
        <f t="shared" si="69"/>
        <v/>
      </c>
      <c r="K1503" s="1">
        <f t="shared" si="71"/>
        <v>0</v>
      </c>
    </row>
    <row r="1504" spans="4:11" ht="15" customHeight="1">
      <c r="D1504" s="6" t="s">
        <v>149</v>
      </c>
      <c r="E1504" s="7"/>
      <c r="F1504" s="7"/>
      <c r="G1504" s="17" t="s">
        <v>182</v>
      </c>
      <c r="H1504" s="17">
        <v>4</v>
      </c>
      <c r="I1504" s="1">
        <f t="shared" si="70"/>
        <v>-1</v>
      </c>
      <c r="J1504" s="1">
        <f t="shared" si="69"/>
        <v>-0.9622151466848976</v>
      </c>
      <c r="K1504" s="1">
        <f t="shared" si="71"/>
        <v>1.4276951400438046E-3</v>
      </c>
    </row>
    <row r="1505" spans="4:11" ht="15.75" thickBot="1">
      <c r="D1505" s="8"/>
      <c r="E1505" s="15" t="s">
        <v>0</v>
      </c>
      <c r="F1505" s="15" t="s">
        <v>19</v>
      </c>
      <c r="G1505" s="17" t="s">
        <v>178</v>
      </c>
      <c r="H1505" s="17"/>
      <c r="I1505" s="1" t="str">
        <f t="shared" si="70"/>
        <v/>
      </c>
      <c r="J1505" s="1" t="str">
        <f t="shared" si="69"/>
        <v/>
      </c>
      <c r="K1505" s="1">
        <f t="shared" si="71"/>
        <v>0</v>
      </c>
    </row>
    <row r="1506" spans="4:11" ht="15" customHeight="1">
      <c r="D1506" s="6" t="s">
        <v>149</v>
      </c>
      <c r="E1506" s="7"/>
      <c r="F1506" s="7"/>
      <c r="G1506" s="17" t="s">
        <v>179</v>
      </c>
      <c r="H1506" s="17">
        <v>3</v>
      </c>
      <c r="I1506" s="1">
        <f t="shared" si="70"/>
        <v>-3</v>
      </c>
      <c r="J1506" s="1">
        <f t="shared" si="69"/>
        <v>0.12594200778532638</v>
      </c>
      <c r="K1506" s="1">
        <f t="shared" si="71"/>
        <v>9.7715134360369582</v>
      </c>
    </row>
    <row r="1507" spans="4:11" ht="15.75" thickBot="1">
      <c r="D1507" s="8"/>
      <c r="E1507" s="15" t="s">
        <v>20</v>
      </c>
      <c r="F1507" s="15" t="s">
        <v>23</v>
      </c>
      <c r="G1507" s="17" t="s">
        <v>178</v>
      </c>
      <c r="H1507" s="17"/>
      <c r="I1507" s="1" t="str">
        <f t="shared" si="70"/>
        <v/>
      </c>
      <c r="J1507" s="1" t="str">
        <f t="shared" si="69"/>
        <v/>
      </c>
      <c r="K1507" s="1">
        <f t="shared" si="71"/>
        <v>0</v>
      </c>
    </row>
    <row r="1508" spans="4:11" ht="15" customHeight="1">
      <c r="D1508" s="6" t="s">
        <v>149</v>
      </c>
      <c r="E1508" s="7"/>
      <c r="F1508" s="7"/>
      <c r="G1508" s="17" t="s">
        <v>182</v>
      </c>
      <c r="H1508" s="17">
        <v>2</v>
      </c>
      <c r="I1508" s="1">
        <f t="shared" si="70"/>
        <v>1</v>
      </c>
      <c r="J1508" s="1">
        <f t="shared" si="69"/>
        <v>3.9181568679765633E-2</v>
      </c>
      <c r="K1508" s="1">
        <f t="shared" si="71"/>
        <v>0.92317205796467594</v>
      </c>
    </row>
    <row r="1509" spans="4:11" ht="15.75" thickBot="1">
      <c r="D1509" s="8"/>
      <c r="E1509" s="15" t="s">
        <v>22</v>
      </c>
      <c r="F1509" s="15" t="s">
        <v>21</v>
      </c>
      <c r="G1509" s="17" t="s">
        <v>178</v>
      </c>
      <c r="H1509" s="17"/>
      <c r="I1509" s="1" t="str">
        <f t="shared" si="70"/>
        <v/>
      </c>
      <c r="J1509" s="1" t="str">
        <f t="shared" si="69"/>
        <v/>
      </c>
      <c r="K1509" s="1">
        <f t="shared" si="71"/>
        <v>0</v>
      </c>
    </row>
    <row r="1510" spans="4:11" ht="15" customHeight="1">
      <c r="D1510" s="6" t="s">
        <v>149</v>
      </c>
      <c r="E1510" s="7"/>
      <c r="F1510" s="7"/>
      <c r="G1510" s="17" t="s">
        <v>180</v>
      </c>
      <c r="H1510" s="17">
        <v>3</v>
      </c>
      <c r="I1510" s="1">
        <f t="shared" si="70"/>
        <v>-1</v>
      </c>
      <c r="J1510" s="1">
        <f t="shared" si="69"/>
        <v>2.708972714832214E-2</v>
      </c>
      <c r="K1510" s="1">
        <f t="shared" si="71"/>
        <v>1.0549133076136148</v>
      </c>
    </row>
    <row r="1511" spans="4:11" ht="15.75" thickBot="1">
      <c r="D1511" s="8"/>
      <c r="E1511" s="15" t="s">
        <v>25</v>
      </c>
      <c r="F1511" s="15" t="s">
        <v>3</v>
      </c>
      <c r="G1511" s="17" t="s">
        <v>178</v>
      </c>
      <c r="H1511" s="17"/>
      <c r="I1511" s="1" t="str">
        <f t="shared" si="70"/>
        <v/>
      </c>
      <c r="J1511" s="1" t="str">
        <f t="shared" si="69"/>
        <v/>
      </c>
      <c r="K1511" s="1">
        <f t="shared" si="71"/>
        <v>0</v>
      </c>
    </row>
    <row r="1512" spans="4:11" ht="18" customHeight="1">
      <c r="D1512" s="6" t="s">
        <v>149</v>
      </c>
      <c r="E1512" s="7"/>
      <c r="F1512" s="7"/>
      <c r="G1512" s="17" t="s">
        <v>184</v>
      </c>
      <c r="H1512" s="17">
        <v>5</v>
      </c>
      <c r="I1512" s="1">
        <f t="shared" si="70"/>
        <v>-1</v>
      </c>
      <c r="J1512" s="1">
        <f t="shared" si="69"/>
        <v>0.15534377019388046</v>
      </c>
      <c r="K1512" s="1">
        <f t="shared" si="71"/>
        <v>1.3348192273258102</v>
      </c>
    </row>
    <row r="1513" spans="4:11" ht="15.75" thickBot="1">
      <c r="D1513" s="8"/>
      <c r="E1513" s="15" t="s">
        <v>28</v>
      </c>
      <c r="F1513" s="15" t="s">
        <v>10</v>
      </c>
      <c r="G1513" s="17" t="s">
        <v>178</v>
      </c>
      <c r="H1513" s="17"/>
      <c r="I1513" s="1" t="str">
        <f t="shared" si="70"/>
        <v/>
      </c>
      <c r="J1513" s="1" t="str">
        <f t="shared" si="69"/>
        <v/>
      </c>
      <c r="K1513" s="1">
        <f t="shared" si="71"/>
        <v>0</v>
      </c>
    </row>
    <row r="1514" spans="4:11" ht="15" customHeight="1">
      <c r="D1514" s="6" t="s">
        <v>150</v>
      </c>
      <c r="E1514" s="7"/>
      <c r="F1514" s="7"/>
      <c r="G1514" s="17" t="s">
        <v>180</v>
      </c>
      <c r="H1514" s="17">
        <v>3</v>
      </c>
      <c r="I1514" s="1">
        <f t="shared" si="70"/>
        <v>-1</v>
      </c>
      <c r="J1514" s="1">
        <f t="shared" si="69"/>
        <v>-0.4786607447554303</v>
      </c>
      <c r="K1514" s="1">
        <f t="shared" si="71"/>
        <v>0.27179461905896257</v>
      </c>
    </row>
    <row r="1515" spans="4:11" ht="15.75" thickBot="1">
      <c r="D1515" s="8"/>
      <c r="E1515" s="15" t="s">
        <v>2</v>
      </c>
      <c r="F1515" s="15" t="s">
        <v>38</v>
      </c>
      <c r="G1515" s="17" t="s">
        <v>178</v>
      </c>
      <c r="H1515" s="17"/>
      <c r="I1515" s="1" t="str">
        <f t="shared" si="70"/>
        <v/>
      </c>
      <c r="J1515" s="1" t="str">
        <f t="shared" si="69"/>
        <v/>
      </c>
      <c r="K1515" s="1">
        <f t="shared" si="71"/>
        <v>0</v>
      </c>
    </row>
    <row r="1516" spans="4:11" ht="15" customHeight="1">
      <c r="D1516" s="6" t="s">
        <v>150</v>
      </c>
      <c r="E1516" s="7"/>
      <c r="F1516" s="7"/>
      <c r="G1516" s="17" t="s">
        <v>180</v>
      </c>
      <c r="H1516" s="17">
        <v>0</v>
      </c>
      <c r="I1516" s="1">
        <f t="shared" si="70"/>
        <v>2</v>
      </c>
      <c r="J1516" s="1">
        <f t="shared" si="69"/>
        <v>1.1585509075972311</v>
      </c>
      <c r="K1516" s="1">
        <f t="shared" si="71"/>
        <v>0.70803657510544349</v>
      </c>
    </row>
    <row r="1517" spans="4:11" ht="15.75" thickBot="1">
      <c r="D1517" s="8"/>
      <c r="E1517" s="15" t="s">
        <v>11</v>
      </c>
      <c r="F1517" s="15" t="s">
        <v>24</v>
      </c>
      <c r="G1517" s="17" t="s">
        <v>178</v>
      </c>
      <c r="H1517" s="17"/>
      <c r="I1517" s="1" t="str">
        <f t="shared" si="70"/>
        <v/>
      </c>
      <c r="J1517" s="1" t="str">
        <f t="shared" si="69"/>
        <v/>
      </c>
      <c r="K1517" s="1">
        <f t="shared" si="71"/>
        <v>0</v>
      </c>
    </row>
    <row r="1518" spans="4:11" ht="18" customHeight="1">
      <c r="D1518" s="6" t="s">
        <v>150</v>
      </c>
      <c r="E1518" s="7"/>
      <c r="F1518" s="7"/>
      <c r="G1518" s="17" t="s">
        <v>181</v>
      </c>
      <c r="H1518" s="17">
        <v>3</v>
      </c>
      <c r="I1518" s="1">
        <f t="shared" si="70"/>
        <v>-2</v>
      </c>
      <c r="J1518" s="1">
        <f t="shared" si="69"/>
        <v>-0.32293413773464863</v>
      </c>
      <c r="K1518" s="1">
        <f t="shared" si="71"/>
        <v>2.8125499063758266</v>
      </c>
    </row>
    <row r="1519" spans="4:11" ht="15.75" thickBot="1">
      <c r="D1519" s="8"/>
      <c r="E1519" s="15" t="s">
        <v>33</v>
      </c>
      <c r="F1519" s="15" t="s">
        <v>4</v>
      </c>
      <c r="G1519" s="17" t="s">
        <v>178</v>
      </c>
      <c r="H1519" s="17"/>
      <c r="I1519" s="1" t="str">
        <f t="shared" si="70"/>
        <v/>
      </c>
      <c r="J1519" s="1" t="str">
        <f t="shared" si="69"/>
        <v/>
      </c>
      <c r="K1519" s="1">
        <f t="shared" si="71"/>
        <v>0</v>
      </c>
    </row>
    <row r="1520" spans="4:11" ht="18" customHeight="1">
      <c r="D1520" s="6" t="s">
        <v>151</v>
      </c>
      <c r="E1520" s="7"/>
      <c r="F1520" s="7"/>
      <c r="G1520" s="17" t="s">
        <v>182</v>
      </c>
      <c r="H1520" s="17">
        <v>0</v>
      </c>
      <c r="I1520" s="1">
        <f t="shared" si="70"/>
        <v>3</v>
      </c>
      <c r="J1520" s="1">
        <f t="shared" si="69"/>
        <v>1.8614772440269292</v>
      </c>
      <c r="K1520" s="1">
        <f t="shared" si="71"/>
        <v>1.2962340658685165</v>
      </c>
    </row>
    <row r="1521" spans="4:11" ht="15.75" thickBot="1">
      <c r="D1521" s="8"/>
      <c r="E1521" s="15" t="s">
        <v>39</v>
      </c>
      <c r="F1521" s="15" t="s">
        <v>8</v>
      </c>
      <c r="G1521" s="17" t="s">
        <v>178</v>
      </c>
      <c r="H1521" s="17"/>
      <c r="I1521" s="1" t="str">
        <f t="shared" si="70"/>
        <v/>
      </c>
      <c r="J1521" s="1" t="str">
        <f t="shared" si="69"/>
        <v/>
      </c>
      <c r="K1521" s="1">
        <f t="shared" si="71"/>
        <v>0</v>
      </c>
    </row>
    <row r="1522" spans="4:11" ht="15" customHeight="1">
      <c r="D1522" s="6" t="s">
        <v>151</v>
      </c>
      <c r="E1522" s="7"/>
      <c r="F1522" s="7"/>
      <c r="G1522" s="17" t="s">
        <v>182</v>
      </c>
      <c r="H1522" s="17">
        <v>2</v>
      </c>
      <c r="I1522" s="1">
        <f t="shared" si="70"/>
        <v>1</v>
      </c>
      <c r="J1522" s="1">
        <f t="shared" si="69"/>
        <v>0.81192185336091427</v>
      </c>
      <c r="K1522" s="1">
        <f t="shared" si="71"/>
        <v>3.5373389243193436E-2</v>
      </c>
    </row>
    <row r="1523" spans="4:11" ht="30.75" thickBot="1">
      <c r="D1523" s="8"/>
      <c r="E1523" s="15" t="s">
        <v>41</v>
      </c>
      <c r="F1523" s="15" t="s">
        <v>1</v>
      </c>
      <c r="G1523" s="17" t="s">
        <v>178</v>
      </c>
      <c r="H1523" s="17"/>
      <c r="I1523" s="1" t="str">
        <f t="shared" si="70"/>
        <v/>
      </c>
      <c r="J1523" s="1" t="str">
        <f t="shared" si="69"/>
        <v/>
      </c>
      <c r="K1523" s="1">
        <f t="shared" si="71"/>
        <v>0</v>
      </c>
    </row>
    <row r="1524" spans="4:11" ht="15" customHeight="1">
      <c r="D1524" s="6" t="s">
        <v>151</v>
      </c>
      <c r="E1524" s="7"/>
      <c r="F1524" s="7"/>
      <c r="G1524" s="17" t="s">
        <v>180</v>
      </c>
      <c r="H1524" s="17">
        <v>1</v>
      </c>
      <c r="I1524" s="1">
        <f t="shared" si="70"/>
        <v>1</v>
      </c>
      <c r="J1524" s="1">
        <f t="shared" si="69"/>
        <v>0.28157791595280912</v>
      </c>
      <c r="K1524" s="1">
        <f t="shared" si="71"/>
        <v>0.51613029084670903</v>
      </c>
    </row>
    <row r="1525" spans="4:11" ht="15.75" thickBot="1">
      <c r="D1525" s="8"/>
      <c r="E1525" s="15" t="s">
        <v>12</v>
      </c>
      <c r="F1525" s="15" t="s">
        <v>18</v>
      </c>
      <c r="G1525" s="17" t="s">
        <v>178</v>
      </c>
      <c r="H1525" s="17"/>
      <c r="I1525" s="1" t="str">
        <f t="shared" si="70"/>
        <v/>
      </c>
      <c r="J1525" s="1" t="str">
        <f t="shared" si="69"/>
        <v/>
      </c>
      <c r="K1525" s="1">
        <f t="shared" si="71"/>
        <v>0</v>
      </c>
    </row>
    <row r="1526" spans="4:11" ht="15" customHeight="1">
      <c r="D1526" s="6" t="s">
        <v>151</v>
      </c>
      <c r="E1526" s="7"/>
      <c r="F1526" s="7"/>
      <c r="G1526" s="17" t="s">
        <v>180</v>
      </c>
      <c r="H1526" s="17">
        <v>3</v>
      </c>
      <c r="I1526" s="1">
        <f t="shared" si="70"/>
        <v>-1</v>
      </c>
      <c r="J1526" s="1">
        <f t="shared" si="69"/>
        <v>0.36121359715798462</v>
      </c>
      <c r="K1526" s="1">
        <f t="shared" si="71"/>
        <v>1.8529024570877801</v>
      </c>
    </row>
    <row r="1527" spans="4:11" ht="15.75" thickBot="1">
      <c r="D1527" s="8"/>
      <c r="E1527" s="15" t="s">
        <v>34</v>
      </c>
      <c r="F1527" s="15" t="s">
        <v>14</v>
      </c>
      <c r="G1527" s="17" t="s">
        <v>178</v>
      </c>
      <c r="H1527" s="17"/>
      <c r="I1527" s="1" t="str">
        <f t="shared" si="70"/>
        <v/>
      </c>
      <c r="J1527" s="1" t="str">
        <f t="shared" si="69"/>
        <v/>
      </c>
      <c r="K1527" s="1">
        <f t="shared" si="71"/>
        <v>0</v>
      </c>
    </row>
    <row r="1528" spans="4:11" ht="15" customHeight="1">
      <c r="D1528" s="6" t="s">
        <v>151</v>
      </c>
      <c r="E1528" s="7"/>
      <c r="F1528" s="7"/>
      <c r="G1528" s="17" t="s">
        <v>185</v>
      </c>
      <c r="H1528" s="17">
        <v>2</v>
      </c>
      <c r="I1528" s="1">
        <f t="shared" si="70"/>
        <v>3</v>
      </c>
      <c r="J1528" s="1">
        <f t="shared" si="69"/>
        <v>-0.93461096994850834</v>
      </c>
      <c r="K1528" s="1">
        <f t="shared" si="71"/>
        <v>15.481163484839142</v>
      </c>
    </row>
    <row r="1529" spans="4:11" ht="15.75" thickBot="1">
      <c r="D1529" s="8"/>
      <c r="E1529" s="15" t="s">
        <v>10</v>
      </c>
      <c r="F1529" s="15" t="s">
        <v>19</v>
      </c>
      <c r="G1529" s="17" t="s">
        <v>178</v>
      </c>
      <c r="H1529" s="17"/>
      <c r="I1529" s="1" t="str">
        <f t="shared" si="70"/>
        <v/>
      </c>
      <c r="J1529" s="1" t="str">
        <f t="shared" si="69"/>
        <v/>
      </c>
      <c r="K1529" s="1">
        <f t="shared" si="71"/>
        <v>0</v>
      </c>
    </row>
    <row r="1530" spans="4:11" ht="15" customHeight="1">
      <c r="D1530" s="6" t="s">
        <v>151</v>
      </c>
      <c r="E1530" s="7"/>
      <c r="F1530" s="7"/>
      <c r="G1530" s="17" t="s">
        <v>185</v>
      </c>
      <c r="H1530" s="17">
        <v>3</v>
      </c>
      <c r="I1530" s="1">
        <f t="shared" si="70"/>
        <v>2</v>
      </c>
      <c r="J1530" s="1">
        <f t="shared" si="69"/>
        <v>0.61455816123812212</v>
      </c>
      <c r="K1530" s="1">
        <f t="shared" si="71"/>
        <v>1.9194490885918931</v>
      </c>
    </row>
    <row r="1531" spans="4:11" ht="15.75" thickBot="1">
      <c r="D1531" s="8"/>
      <c r="E1531" s="15" t="s">
        <v>37</v>
      </c>
      <c r="F1531" s="15" t="s">
        <v>21</v>
      </c>
      <c r="G1531" s="17" t="s">
        <v>178</v>
      </c>
      <c r="H1531" s="17"/>
      <c r="I1531" s="1" t="str">
        <f t="shared" si="70"/>
        <v/>
      </c>
      <c r="J1531" s="1" t="str">
        <f t="shared" si="69"/>
        <v/>
      </c>
      <c r="K1531" s="1">
        <f t="shared" si="71"/>
        <v>0</v>
      </c>
    </row>
    <row r="1532" spans="4:11" ht="15" customHeight="1">
      <c r="D1532" s="6" t="s">
        <v>151</v>
      </c>
      <c r="E1532" s="7"/>
      <c r="F1532" s="7"/>
      <c r="G1532" s="17" t="s">
        <v>182</v>
      </c>
      <c r="H1532" s="17">
        <v>0</v>
      </c>
      <c r="I1532" s="1">
        <f t="shared" si="70"/>
        <v>3</v>
      </c>
      <c r="J1532" s="1">
        <f t="shared" si="69"/>
        <v>0.1596004658607626</v>
      </c>
      <c r="K1532" s="1">
        <f t="shared" si="71"/>
        <v>8.0678695135383975</v>
      </c>
    </row>
    <row r="1533" spans="4:11" ht="15.75" thickBot="1">
      <c r="D1533" s="8"/>
      <c r="E1533" s="15" t="s">
        <v>13</v>
      </c>
      <c r="F1533" s="15" t="s">
        <v>22</v>
      </c>
      <c r="G1533" s="17" t="s">
        <v>178</v>
      </c>
      <c r="H1533" s="17"/>
      <c r="I1533" s="1" t="str">
        <f t="shared" si="70"/>
        <v/>
      </c>
      <c r="J1533" s="1" t="str">
        <f t="shared" si="69"/>
        <v/>
      </c>
      <c r="K1533" s="1">
        <f t="shared" si="71"/>
        <v>0</v>
      </c>
    </row>
    <row r="1534" spans="4:11" ht="18" customHeight="1">
      <c r="D1534" s="6" t="s">
        <v>151</v>
      </c>
      <c r="E1534" s="7"/>
      <c r="F1534" s="7"/>
      <c r="G1534" s="17" t="s">
        <v>180</v>
      </c>
      <c r="H1534" s="17">
        <v>1</v>
      </c>
      <c r="I1534" s="1">
        <f t="shared" si="70"/>
        <v>1</v>
      </c>
      <c r="J1534" s="1">
        <f t="shared" si="69"/>
        <v>0.15534377019388046</v>
      </c>
      <c r="K1534" s="1">
        <f t="shared" si="71"/>
        <v>0.71344414655028821</v>
      </c>
    </row>
    <row r="1535" spans="4:11" ht="15.75" thickBot="1">
      <c r="D1535" s="8"/>
      <c r="E1535" s="15" t="s">
        <v>28</v>
      </c>
      <c r="F1535" s="15" t="s">
        <v>26</v>
      </c>
      <c r="G1535" s="17" t="s">
        <v>178</v>
      </c>
      <c r="H1535" s="17"/>
      <c r="I1535" s="1" t="str">
        <f t="shared" si="70"/>
        <v/>
      </c>
      <c r="J1535" s="1" t="str">
        <f t="shared" si="69"/>
        <v/>
      </c>
      <c r="K1535" s="1">
        <f t="shared" si="71"/>
        <v>0</v>
      </c>
    </row>
    <row r="1536" spans="4:11" ht="15" customHeight="1">
      <c r="D1536" s="6" t="s">
        <v>151</v>
      </c>
      <c r="E1536" s="7"/>
      <c r="F1536" s="7"/>
      <c r="G1536" s="17" t="s">
        <v>185</v>
      </c>
      <c r="H1536" s="17">
        <v>1</v>
      </c>
      <c r="I1536" s="1">
        <f t="shared" si="70"/>
        <v>4</v>
      </c>
      <c r="J1536" s="1">
        <f t="shared" si="69"/>
        <v>-0.21140118979968747</v>
      </c>
      <c r="K1536" s="1">
        <f t="shared" si="71"/>
        <v>17.735899981446224</v>
      </c>
    </row>
    <row r="1537" spans="4:11" ht="15.75" thickBot="1">
      <c r="D1537" s="8"/>
      <c r="E1537" s="15" t="s">
        <v>33</v>
      </c>
      <c r="F1537" s="15" t="s">
        <v>3</v>
      </c>
      <c r="G1537" s="17" t="s">
        <v>178</v>
      </c>
      <c r="H1537" s="17"/>
      <c r="I1537" s="1" t="str">
        <f t="shared" si="70"/>
        <v/>
      </c>
      <c r="J1537" s="1" t="str">
        <f t="shared" si="69"/>
        <v/>
      </c>
      <c r="K1537" s="1">
        <f t="shared" si="71"/>
        <v>0</v>
      </c>
    </row>
    <row r="1538" spans="4:11" ht="15" customHeight="1">
      <c r="D1538" s="6" t="s">
        <v>152</v>
      </c>
      <c r="E1538" s="7"/>
      <c r="F1538" s="7"/>
      <c r="G1538" s="17" t="s">
        <v>181</v>
      </c>
      <c r="H1538" s="17">
        <v>4</v>
      </c>
      <c r="I1538" s="1">
        <f t="shared" si="70"/>
        <v>-3</v>
      </c>
      <c r="J1538" s="1">
        <f t="shared" si="69"/>
        <v>-0.19866823641076792</v>
      </c>
      <c r="K1538" s="1">
        <f t="shared" si="71"/>
        <v>7.847459649693957</v>
      </c>
    </row>
    <row r="1539" spans="4:11" ht="15.75" thickBot="1">
      <c r="D1539" s="8"/>
      <c r="E1539" s="15" t="s">
        <v>0</v>
      </c>
      <c r="F1539" s="15" t="s">
        <v>36</v>
      </c>
      <c r="G1539" s="17" t="s">
        <v>178</v>
      </c>
      <c r="H1539" s="17"/>
      <c r="I1539" s="1" t="str">
        <f t="shared" si="70"/>
        <v/>
      </c>
      <c r="J1539" s="1" t="str">
        <f t="shared" ref="J1539:J1602" si="72">IF(F1540="","",VLOOKUP(F1540,$A$2:$B$31,2)+$B$33-VLOOKUP(E1540,$A$2:$B$31,2))</f>
        <v/>
      </c>
      <c r="K1539" s="1">
        <f t="shared" si="71"/>
        <v>0</v>
      </c>
    </row>
    <row r="1540" spans="4:11" ht="15" customHeight="1">
      <c r="D1540" s="6" t="s">
        <v>152</v>
      </c>
      <c r="E1540" s="7"/>
      <c r="F1540" s="7"/>
      <c r="G1540" s="17" t="s">
        <v>180</v>
      </c>
      <c r="H1540" s="17">
        <v>3</v>
      </c>
      <c r="I1540" s="1">
        <f t="shared" ref="I1540:I1603" si="73">IF(G1540="","",G1540-H1540)</f>
        <v>-1</v>
      </c>
      <c r="J1540" s="1">
        <f t="shared" si="72"/>
        <v>-0.961798342323263</v>
      </c>
      <c r="K1540" s="1">
        <f t="shared" ref="K1540:K1603" si="74">IF(J1540="",0,(I1540-J1540)^2)</f>
        <v>1.4593666492505989E-3</v>
      </c>
    </row>
    <row r="1541" spans="4:11" ht="30.75" thickBot="1">
      <c r="D1541" s="8"/>
      <c r="E1541" s="15" t="s">
        <v>10</v>
      </c>
      <c r="F1541" s="15" t="s">
        <v>12</v>
      </c>
      <c r="G1541" s="17" t="s">
        <v>178</v>
      </c>
      <c r="H1541" s="17"/>
      <c r="I1541" s="1" t="str">
        <f t="shared" si="73"/>
        <v/>
      </c>
      <c r="J1541" s="1" t="str">
        <f t="shared" si="72"/>
        <v/>
      </c>
      <c r="K1541" s="1">
        <f t="shared" si="74"/>
        <v>0</v>
      </c>
    </row>
    <row r="1542" spans="4:11" ht="15" customHeight="1">
      <c r="D1542" s="6" t="s">
        <v>152</v>
      </c>
      <c r="E1542" s="7"/>
      <c r="F1542" s="7"/>
      <c r="G1542" s="17" t="s">
        <v>181</v>
      </c>
      <c r="H1542" s="17">
        <v>7</v>
      </c>
      <c r="I1542" s="1">
        <f t="shared" si="73"/>
        <v>-6</v>
      </c>
      <c r="J1542" s="1">
        <f t="shared" si="72"/>
        <v>0.80541874159867177</v>
      </c>
      <c r="K1542" s="1">
        <f t="shared" si="74"/>
        <v>46.313724248502446</v>
      </c>
    </row>
    <row r="1543" spans="4:11" ht="15.75" thickBot="1">
      <c r="D1543" s="8"/>
      <c r="E1543" s="15" t="s">
        <v>39</v>
      </c>
      <c r="F1543" s="15" t="s">
        <v>7</v>
      </c>
      <c r="G1543" s="17" t="s">
        <v>178</v>
      </c>
      <c r="H1543" s="17"/>
      <c r="I1543" s="1" t="str">
        <f t="shared" si="73"/>
        <v/>
      </c>
      <c r="J1543" s="1" t="str">
        <f t="shared" si="72"/>
        <v/>
      </c>
      <c r="K1543" s="1">
        <f t="shared" si="74"/>
        <v>0</v>
      </c>
    </row>
    <row r="1544" spans="4:11" ht="15" customHeight="1">
      <c r="D1544" s="6" t="s">
        <v>152</v>
      </c>
      <c r="E1544" s="7"/>
      <c r="F1544" s="7"/>
      <c r="G1544" s="17" t="s">
        <v>180</v>
      </c>
      <c r="H1544" s="17">
        <v>1</v>
      </c>
      <c r="I1544" s="1">
        <f t="shared" si="73"/>
        <v>1</v>
      </c>
      <c r="J1544" s="1">
        <f t="shared" si="72"/>
        <v>0.34452518328755843</v>
      </c>
      <c r="K1544" s="1">
        <f t="shared" si="74"/>
        <v>0.42964723534420884</v>
      </c>
    </row>
    <row r="1545" spans="4:11" ht="15.75" thickBot="1">
      <c r="D1545" s="8"/>
      <c r="E1545" s="15" t="s">
        <v>20</v>
      </c>
      <c r="F1545" s="15" t="s">
        <v>25</v>
      </c>
      <c r="G1545" s="17" t="s">
        <v>178</v>
      </c>
      <c r="H1545" s="17"/>
      <c r="I1545" s="1" t="str">
        <f t="shared" si="73"/>
        <v/>
      </c>
      <c r="J1545" s="1" t="str">
        <f t="shared" si="72"/>
        <v/>
      </c>
      <c r="K1545" s="1">
        <f t="shared" si="74"/>
        <v>0</v>
      </c>
    </row>
    <row r="1546" spans="4:11" ht="15" customHeight="1">
      <c r="D1546" s="6" t="s">
        <v>152</v>
      </c>
      <c r="E1546" s="7"/>
      <c r="F1546" s="7"/>
      <c r="G1546" s="17" t="s">
        <v>184</v>
      </c>
      <c r="H1546" s="17">
        <v>0</v>
      </c>
      <c r="I1546" s="1">
        <f t="shared" si="73"/>
        <v>4</v>
      </c>
      <c r="J1546" s="1">
        <f t="shared" si="72"/>
        <v>-1.0680550158184587E-2</v>
      </c>
      <c r="K1546" s="1">
        <f t="shared" si="74"/>
        <v>16.085558475417159</v>
      </c>
    </row>
    <row r="1547" spans="4:11" ht="15.75" thickBot="1">
      <c r="D1547" s="8"/>
      <c r="E1547" s="15" t="s">
        <v>11</v>
      </c>
      <c r="F1547" s="15" t="s">
        <v>4</v>
      </c>
      <c r="G1547" s="17" t="s">
        <v>178</v>
      </c>
      <c r="H1547" s="17"/>
      <c r="I1547" s="1" t="str">
        <f t="shared" si="73"/>
        <v/>
      </c>
      <c r="J1547" s="1" t="str">
        <f t="shared" si="72"/>
        <v/>
      </c>
      <c r="K1547" s="1">
        <f t="shared" si="74"/>
        <v>0</v>
      </c>
    </row>
    <row r="1548" spans="4:11" ht="15" customHeight="1">
      <c r="D1548" s="6" t="s">
        <v>153</v>
      </c>
      <c r="E1548" s="7"/>
      <c r="F1548" s="7"/>
      <c r="G1548" s="17" t="s">
        <v>180</v>
      </c>
      <c r="H1548" s="17">
        <v>3</v>
      </c>
      <c r="I1548" s="1">
        <f t="shared" si="73"/>
        <v>-1</v>
      </c>
      <c r="J1548" s="1">
        <f t="shared" si="72"/>
        <v>0.12832561471613246</v>
      </c>
      <c r="K1548" s="1">
        <f t="shared" si="74"/>
        <v>1.2731186928245382</v>
      </c>
    </row>
    <row r="1549" spans="4:11" ht="15.75" thickBot="1">
      <c r="D1549" s="8"/>
      <c r="E1549" s="15" t="s">
        <v>38</v>
      </c>
      <c r="F1549" s="15" t="s">
        <v>19</v>
      </c>
      <c r="G1549" s="17" t="s">
        <v>178</v>
      </c>
      <c r="H1549" s="17"/>
      <c r="I1549" s="1" t="str">
        <f t="shared" si="73"/>
        <v/>
      </c>
      <c r="J1549" s="1" t="str">
        <f t="shared" si="72"/>
        <v/>
      </c>
      <c r="K1549" s="1">
        <f t="shared" si="74"/>
        <v>0</v>
      </c>
    </row>
    <row r="1550" spans="4:11" ht="15" customHeight="1">
      <c r="D1550" s="6" t="s">
        <v>153</v>
      </c>
      <c r="E1550" s="7"/>
      <c r="F1550" s="7"/>
      <c r="G1550" s="17" t="s">
        <v>184</v>
      </c>
      <c r="H1550" s="17">
        <v>2</v>
      </c>
      <c r="I1550" s="1">
        <f t="shared" si="73"/>
        <v>2</v>
      </c>
      <c r="J1550" s="1">
        <f t="shared" si="72"/>
        <v>-0.44143675966532214</v>
      </c>
      <c r="K1550" s="1">
        <f t="shared" si="74"/>
        <v>5.9606134514451083</v>
      </c>
    </row>
    <row r="1551" spans="4:11" ht="15.75" thickBot="1">
      <c r="D1551" s="8"/>
      <c r="E1551" s="15" t="s">
        <v>34</v>
      </c>
      <c r="F1551" s="15" t="s">
        <v>37</v>
      </c>
      <c r="G1551" s="17" t="s">
        <v>178</v>
      </c>
      <c r="H1551" s="17"/>
      <c r="I1551" s="1" t="str">
        <f t="shared" si="73"/>
        <v/>
      </c>
      <c r="J1551" s="1" t="str">
        <f t="shared" si="72"/>
        <v/>
      </c>
      <c r="K1551" s="1">
        <f t="shared" si="74"/>
        <v>0</v>
      </c>
    </row>
    <row r="1552" spans="4:11" ht="15" customHeight="1">
      <c r="D1552" s="6" t="s">
        <v>153</v>
      </c>
      <c r="E1552" s="7"/>
      <c r="F1552" s="7"/>
      <c r="G1552" s="17" t="s">
        <v>181</v>
      </c>
      <c r="H1552" s="17">
        <v>2</v>
      </c>
      <c r="I1552" s="1">
        <f t="shared" si="73"/>
        <v>-1</v>
      </c>
      <c r="J1552" s="1">
        <f t="shared" si="72"/>
        <v>0.4786607447554303</v>
      </c>
      <c r="K1552" s="1">
        <f t="shared" si="74"/>
        <v>2.1864375980806838</v>
      </c>
    </row>
    <row r="1553" spans="4:11" ht="15.75" thickBot="1">
      <c r="D1553" s="8"/>
      <c r="E1553" s="15" t="s">
        <v>41</v>
      </c>
      <c r="F1553" s="15" t="s">
        <v>2</v>
      </c>
      <c r="G1553" s="17" t="s">
        <v>178</v>
      </c>
      <c r="H1553" s="17"/>
      <c r="I1553" s="1" t="str">
        <f t="shared" si="73"/>
        <v/>
      </c>
      <c r="J1553" s="1" t="str">
        <f t="shared" si="72"/>
        <v/>
      </c>
      <c r="K1553" s="1">
        <f t="shared" si="74"/>
        <v>0</v>
      </c>
    </row>
    <row r="1554" spans="4:11" ht="18" customHeight="1">
      <c r="D1554" s="6" t="s">
        <v>153</v>
      </c>
      <c r="E1554" s="7"/>
      <c r="F1554" s="7"/>
      <c r="G1554" s="17" t="s">
        <v>180</v>
      </c>
      <c r="H1554" s="17">
        <v>3</v>
      </c>
      <c r="I1554" s="1">
        <f t="shared" si="73"/>
        <v>-1</v>
      </c>
      <c r="J1554" s="1">
        <f t="shared" si="72"/>
        <v>1.2752118031398822</v>
      </c>
      <c r="K1554" s="1">
        <f t="shared" si="74"/>
        <v>5.1765887491470339</v>
      </c>
    </row>
    <row r="1555" spans="4:11" ht="15.75" thickBot="1">
      <c r="D1555" s="8"/>
      <c r="E1555" s="15" t="s">
        <v>21</v>
      </c>
      <c r="F1555" s="15" t="s">
        <v>8</v>
      </c>
      <c r="G1555" s="17" t="s">
        <v>178</v>
      </c>
      <c r="H1555" s="17"/>
      <c r="I1555" s="1" t="str">
        <f t="shared" si="73"/>
        <v/>
      </c>
      <c r="J1555" s="1" t="str">
        <f t="shared" si="72"/>
        <v/>
      </c>
      <c r="K1555" s="1">
        <f t="shared" si="74"/>
        <v>0</v>
      </c>
    </row>
    <row r="1556" spans="4:11" ht="15" customHeight="1">
      <c r="D1556" s="6" t="s">
        <v>153</v>
      </c>
      <c r="E1556" s="7"/>
      <c r="F1556" s="7"/>
      <c r="G1556" s="17" t="s">
        <v>181</v>
      </c>
      <c r="H1556" s="17">
        <v>5</v>
      </c>
      <c r="I1556" s="1">
        <f t="shared" si="73"/>
        <v>-4</v>
      </c>
      <c r="J1556" s="1">
        <f t="shared" si="72"/>
        <v>-0.33179836753005532</v>
      </c>
      <c r="K1556" s="1">
        <f t="shared" si="74"/>
        <v>13.455703216455166</v>
      </c>
    </row>
    <row r="1557" spans="4:11" ht="15.75" thickBot="1">
      <c r="D1557" s="8"/>
      <c r="E1557" s="15" t="s">
        <v>24</v>
      </c>
      <c r="F1557" s="15" t="s">
        <v>0</v>
      </c>
      <c r="G1557" s="17" t="s">
        <v>178</v>
      </c>
      <c r="H1557" s="17"/>
      <c r="I1557" s="1" t="str">
        <f t="shared" si="73"/>
        <v/>
      </c>
      <c r="J1557" s="1" t="str">
        <f t="shared" si="72"/>
        <v/>
      </c>
      <c r="K1557" s="1">
        <f t="shared" si="74"/>
        <v>0</v>
      </c>
    </row>
    <row r="1558" spans="4:11" ht="15" customHeight="1">
      <c r="D1558" s="6" t="s">
        <v>153</v>
      </c>
      <c r="E1558" s="7"/>
      <c r="F1558" s="7"/>
      <c r="G1558" s="17" t="s">
        <v>180</v>
      </c>
      <c r="H1558" s="17">
        <v>6</v>
      </c>
      <c r="I1558" s="1">
        <f t="shared" si="73"/>
        <v>-4</v>
      </c>
      <c r="J1558" s="1">
        <f t="shared" si="72"/>
        <v>-0.69662536569096289</v>
      </c>
      <c r="K1558" s="1">
        <f t="shared" si="74"/>
        <v>10.912283974596365</v>
      </c>
    </row>
    <row r="1559" spans="4:11" ht="15.75" thickBot="1">
      <c r="D1559" s="8"/>
      <c r="E1559" s="15" t="s">
        <v>36</v>
      </c>
      <c r="F1559" s="15" t="s">
        <v>443</v>
      </c>
      <c r="G1559" s="17" t="s">
        <v>178</v>
      </c>
      <c r="H1559" s="17"/>
      <c r="I1559" s="1" t="str">
        <f t="shared" si="73"/>
        <v/>
      </c>
      <c r="J1559" s="1" t="str">
        <f t="shared" si="72"/>
        <v/>
      </c>
      <c r="K1559" s="1">
        <f t="shared" si="74"/>
        <v>0</v>
      </c>
    </row>
    <row r="1560" spans="4:11" ht="18" customHeight="1">
      <c r="D1560" s="6" t="s">
        <v>153</v>
      </c>
      <c r="E1560" s="7"/>
      <c r="F1560" s="7"/>
      <c r="G1560" s="17" t="s">
        <v>184</v>
      </c>
      <c r="H1560" s="17">
        <v>1</v>
      </c>
      <c r="I1560" s="1">
        <f t="shared" si="73"/>
        <v>3</v>
      </c>
      <c r="J1560" s="1">
        <f t="shared" si="72"/>
        <v>-0.449898818337644</v>
      </c>
      <c r="K1560" s="1">
        <f t="shared" si="74"/>
        <v>11.901801856767472</v>
      </c>
    </row>
    <row r="1561" spans="4:11" ht="15.75" thickBot="1">
      <c r="D1561" s="8"/>
      <c r="E1561" s="15" t="s">
        <v>7</v>
      </c>
      <c r="F1561" s="15" t="s">
        <v>18</v>
      </c>
      <c r="G1561" s="17" t="s">
        <v>178</v>
      </c>
      <c r="H1561" s="17"/>
      <c r="I1561" s="1" t="str">
        <f t="shared" si="73"/>
        <v/>
      </c>
      <c r="J1561" s="1" t="str">
        <f t="shared" si="72"/>
        <v/>
      </c>
      <c r="K1561" s="1">
        <f t="shared" si="74"/>
        <v>0</v>
      </c>
    </row>
    <row r="1562" spans="4:11" ht="15" customHeight="1">
      <c r="D1562" s="6" t="s">
        <v>153</v>
      </c>
      <c r="E1562" s="7"/>
      <c r="F1562" s="7"/>
      <c r="G1562" s="17" t="s">
        <v>179</v>
      </c>
      <c r="H1562" s="17">
        <v>1</v>
      </c>
      <c r="I1562" s="1">
        <f t="shared" si="73"/>
        <v>-1</v>
      </c>
      <c r="J1562" s="1">
        <f t="shared" si="72"/>
        <v>-0.45531239078036378</v>
      </c>
      <c r="K1562" s="1">
        <f t="shared" si="74"/>
        <v>0.29668459163740313</v>
      </c>
    </row>
    <row r="1563" spans="4:11" ht="15.75" thickBot="1">
      <c r="D1563" s="8"/>
      <c r="E1563" s="15" t="s">
        <v>22</v>
      </c>
      <c r="F1563" s="15" t="s">
        <v>23</v>
      </c>
      <c r="G1563" s="17" t="s">
        <v>178</v>
      </c>
      <c r="H1563" s="17"/>
      <c r="I1563" s="1" t="str">
        <f t="shared" si="73"/>
        <v/>
      </c>
      <c r="J1563" s="1" t="str">
        <f t="shared" si="72"/>
        <v/>
      </c>
      <c r="K1563" s="1">
        <f t="shared" si="74"/>
        <v>0</v>
      </c>
    </row>
    <row r="1564" spans="4:11" ht="15" customHeight="1">
      <c r="D1564" s="6" t="s">
        <v>153</v>
      </c>
      <c r="E1564" s="7"/>
      <c r="F1564" s="7"/>
      <c r="G1564" s="17" t="s">
        <v>182</v>
      </c>
      <c r="H1564" s="17">
        <v>1</v>
      </c>
      <c r="I1564" s="1">
        <f t="shared" si="73"/>
        <v>2</v>
      </c>
      <c r="J1564" s="1">
        <f t="shared" si="72"/>
        <v>0.64825694328496297</v>
      </c>
      <c r="K1564" s="1">
        <f t="shared" si="74"/>
        <v>1.8272092913773119</v>
      </c>
    </row>
    <row r="1565" spans="4:11" ht="15.75" thickBot="1">
      <c r="D1565" s="8"/>
      <c r="E1565" s="15" t="s">
        <v>13</v>
      </c>
      <c r="F1565" s="15" t="s">
        <v>26</v>
      </c>
      <c r="G1565" s="17" t="s">
        <v>178</v>
      </c>
      <c r="H1565" s="17"/>
      <c r="I1565" s="1" t="str">
        <f t="shared" si="73"/>
        <v/>
      </c>
      <c r="J1565" s="1" t="str">
        <f t="shared" si="72"/>
        <v/>
      </c>
      <c r="K1565" s="1">
        <f t="shared" si="74"/>
        <v>0</v>
      </c>
    </row>
    <row r="1566" spans="4:11" ht="15" customHeight="1">
      <c r="D1566" s="6" t="s">
        <v>153</v>
      </c>
      <c r="E1566" s="7"/>
      <c r="F1566" s="7"/>
      <c r="G1566" s="17" t="s">
        <v>179</v>
      </c>
      <c r="H1566" s="17">
        <v>5</v>
      </c>
      <c r="I1566" s="1">
        <f t="shared" si="73"/>
        <v>-5</v>
      </c>
      <c r="J1566" s="1">
        <f t="shared" si="72"/>
        <v>0.10085239777677657</v>
      </c>
      <c r="K1566" s="1">
        <f t="shared" si="74"/>
        <v>26.018695183905091</v>
      </c>
    </row>
    <row r="1567" spans="4:11" ht="15.75" thickBot="1">
      <c r="D1567" s="8"/>
      <c r="E1567" s="15" t="s">
        <v>11</v>
      </c>
      <c r="F1567" s="15" t="s">
        <v>3</v>
      </c>
      <c r="G1567" s="17" t="s">
        <v>178</v>
      </c>
      <c r="H1567" s="17"/>
      <c r="I1567" s="1" t="str">
        <f t="shared" si="73"/>
        <v/>
      </c>
      <c r="J1567" s="1" t="str">
        <f t="shared" si="72"/>
        <v/>
      </c>
      <c r="K1567" s="1">
        <f t="shared" si="74"/>
        <v>0</v>
      </c>
    </row>
    <row r="1568" spans="4:11" ht="18" customHeight="1">
      <c r="D1568" s="6" t="s">
        <v>153</v>
      </c>
      <c r="E1568" s="7"/>
      <c r="F1568" s="7"/>
      <c r="G1568" s="17" t="s">
        <v>185</v>
      </c>
      <c r="H1568" s="17">
        <v>4</v>
      </c>
      <c r="I1568" s="1">
        <f t="shared" si="73"/>
        <v>1</v>
      </c>
      <c r="J1568" s="1">
        <f t="shared" si="72"/>
        <v>-0.33155100556044204</v>
      </c>
      <c r="K1568" s="1">
        <f t="shared" si="74"/>
        <v>1.7730280804090244</v>
      </c>
    </row>
    <row r="1569" spans="4:11" ht="15.75" thickBot="1">
      <c r="D1569" s="8"/>
      <c r="E1569" s="15" t="s">
        <v>28</v>
      </c>
      <c r="F1569" s="15" t="s">
        <v>33</v>
      </c>
      <c r="G1569" s="17" t="s">
        <v>178</v>
      </c>
      <c r="H1569" s="17"/>
      <c r="I1569" s="1" t="str">
        <f t="shared" si="73"/>
        <v/>
      </c>
      <c r="J1569" s="1" t="str">
        <f t="shared" si="72"/>
        <v/>
      </c>
      <c r="K1569" s="1">
        <f t="shared" si="74"/>
        <v>0</v>
      </c>
    </row>
    <row r="1570" spans="4:11" ht="18" customHeight="1">
      <c r="D1570" s="6" t="s">
        <v>154</v>
      </c>
      <c r="E1570" s="7"/>
      <c r="F1570" s="7"/>
      <c r="G1570" s="17" t="s">
        <v>184</v>
      </c>
      <c r="H1570" s="17">
        <v>2</v>
      </c>
      <c r="I1570" s="1">
        <f t="shared" si="73"/>
        <v>2</v>
      </c>
      <c r="J1570" s="1">
        <f t="shared" si="72"/>
        <v>3.4170526358408893E-2</v>
      </c>
      <c r="K1570" s="1">
        <f t="shared" si="74"/>
        <v>3.864485519437975</v>
      </c>
    </row>
    <row r="1571" spans="4:11" ht="15.75" thickBot="1">
      <c r="D1571" s="8"/>
      <c r="E1571" s="15" t="s">
        <v>20</v>
      </c>
      <c r="F1571" s="15" t="s">
        <v>39</v>
      </c>
      <c r="G1571" s="17" t="s">
        <v>178</v>
      </c>
      <c r="H1571" s="17"/>
      <c r="I1571" s="1" t="str">
        <f t="shared" si="73"/>
        <v/>
      </c>
      <c r="J1571" s="1" t="str">
        <f t="shared" si="72"/>
        <v/>
      </c>
      <c r="K1571" s="1">
        <f t="shared" si="74"/>
        <v>0</v>
      </c>
    </row>
    <row r="1572" spans="4:11" ht="18" customHeight="1">
      <c r="D1572" s="6" t="s">
        <v>154</v>
      </c>
      <c r="E1572" s="7"/>
      <c r="F1572" s="7"/>
      <c r="G1572" s="17" t="s">
        <v>182</v>
      </c>
      <c r="H1572" s="17">
        <v>2</v>
      </c>
      <c r="I1572" s="1">
        <f t="shared" si="73"/>
        <v>1</v>
      </c>
      <c r="J1572" s="1">
        <f t="shared" si="72"/>
        <v>0.67322825678925824</v>
      </c>
      <c r="K1572" s="1">
        <f t="shared" si="74"/>
        <v>0.10677977216098695</v>
      </c>
    </row>
    <row r="1573" spans="4:11" ht="15.75" thickBot="1">
      <c r="D1573" s="8"/>
      <c r="E1573" s="15" t="s">
        <v>19</v>
      </c>
      <c r="F1573" s="15" t="s">
        <v>14</v>
      </c>
      <c r="G1573" s="17" t="s">
        <v>178</v>
      </c>
      <c r="H1573" s="17"/>
      <c r="I1573" s="1" t="str">
        <f t="shared" si="73"/>
        <v/>
      </c>
      <c r="J1573" s="1" t="str">
        <f t="shared" si="72"/>
        <v/>
      </c>
      <c r="K1573" s="1">
        <f t="shared" si="74"/>
        <v>0</v>
      </c>
    </row>
    <row r="1574" spans="4:11" ht="15" customHeight="1">
      <c r="D1574" s="6" t="s">
        <v>154</v>
      </c>
      <c r="E1574" s="7"/>
      <c r="F1574" s="7"/>
      <c r="G1574" s="17" t="s">
        <v>182</v>
      </c>
      <c r="H1574" s="17">
        <v>1</v>
      </c>
      <c r="I1574" s="1">
        <f t="shared" si="73"/>
        <v>2</v>
      </c>
      <c r="J1574" s="1">
        <f t="shared" si="72"/>
        <v>-0.71078361101953647</v>
      </c>
      <c r="K1574" s="1">
        <f t="shared" si="74"/>
        <v>7.348347785772118</v>
      </c>
    </row>
    <row r="1575" spans="4:11" ht="30.75" thickBot="1">
      <c r="D1575" s="8"/>
      <c r="E1575" s="15" t="s">
        <v>1</v>
      </c>
      <c r="F1575" s="15" t="s">
        <v>12</v>
      </c>
      <c r="G1575" s="17" t="s">
        <v>178</v>
      </c>
      <c r="H1575" s="17"/>
      <c r="I1575" s="1" t="str">
        <f t="shared" si="73"/>
        <v/>
      </c>
      <c r="J1575" s="1" t="str">
        <f t="shared" si="72"/>
        <v/>
      </c>
      <c r="K1575" s="1">
        <f t="shared" si="74"/>
        <v>0</v>
      </c>
    </row>
    <row r="1576" spans="4:11" ht="15" customHeight="1">
      <c r="D1576" s="6" t="s">
        <v>154</v>
      </c>
      <c r="E1576" s="7"/>
      <c r="F1576" s="7"/>
      <c r="G1576" s="17" t="s">
        <v>182</v>
      </c>
      <c r="H1576" s="17">
        <v>2</v>
      </c>
      <c r="I1576" s="1">
        <f t="shared" si="73"/>
        <v>1</v>
      </c>
      <c r="J1576" s="1">
        <f t="shared" si="72"/>
        <v>1.8886734790600883</v>
      </c>
      <c r="K1576" s="1">
        <f t="shared" si="74"/>
        <v>0.78974055238476126</v>
      </c>
    </row>
    <row r="1577" spans="4:11" ht="15.75" thickBot="1">
      <c r="D1577" s="8"/>
      <c r="E1577" s="15" t="s">
        <v>41</v>
      </c>
      <c r="F1577" s="15" t="s">
        <v>8</v>
      </c>
      <c r="G1577" s="17" t="s">
        <v>178</v>
      </c>
      <c r="H1577" s="17"/>
      <c r="I1577" s="1" t="str">
        <f t="shared" si="73"/>
        <v/>
      </c>
      <c r="J1577" s="1" t="str">
        <f t="shared" si="72"/>
        <v/>
      </c>
      <c r="K1577" s="1">
        <f t="shared" si="74"/>
        <v>0</v>
      </c>
    </row>
    <row r="1578" spans="4:11" ht="15" customHeight="1">
      <c r="D1578" s="6" t="s">
        <v>154</v>
      </c>
      <c r="E1578" s="7"/>
      <c r="F1578" s="7"/>
      <c r="G1578" s="17" t="s">
        <v>182</v>
      </c>
      <c r="H1578" s="17">
        <v>5</v>
      </c>
      <c r="I1578" s="1">
        <f t="shared" si="73"/>
        <v>-2</v>
      </c>
      <c r="J1578" s="1">
        <f t="shared" si="72"/>
        <v>-1.0640330699825569</v>
      </c>
      <c r="K1578" s="1">
        <f t="shared" si="74"/>
        <v>0.8760340940862773</v>
      </c>
    </row>
    <row r="1579" spans="4:11" ht="15.75" thickBot="1">
      <c r="D1579" s="8"/>
      <c r="E1579" s="15" t="s">
        <v>10</v>
      </c>
      <c r="F1579" s="15" t="s">
        <v>37</v>
      </c>
      <c r="G1579" s="17" t="s">
        <v>178</v>
      </c>
      <c r="H1579" s="17"/>
      <c r="I1579" s="1" t="str">
        <f t="shared" si="73"/>
        <v/>
      </c>
      <c r="J1579" s="1" t="str">
        <f t="shared" si="72"/>
        <v/>
      </c>
      <c r="K1579" s="1">
        <f t="shared" si="74"/>
        <v>0</v>
      </c>
    </row>
    <row r="1580" spans="4:11" ht="15" customHeight="1">
      <c r="D1580" s="6" t="s">
        <v>154</v>
      </c>
      <c r="E1580" s="7"/>
      <c r="F1580" s="7"/>
      <c r="G1580" s="17" t="s">
        <v>182</v>
      </c>
      <c r="H1580" s="17">
        <v>2</v>
      </c>
      <c r="I1580" s="1">
        <f t="shared" si="73"/>
        <v>1</v>
      </c>
      <c r="J1580" s="1">
        <f t="shared" si="72"/>
        <v>-0.61346167592020606</v>
      </c>
      <c r="K1580" s="1">
        <f t="shared" si="74"/>
        <v>2.6032585796632399</v>
      </c>
    </row>
    <row r="1581" spans="4:11" ht="15.75" thickBot="1">
      <c r="D1581" s="8"/>
      <c r="E1581" s="15" t="s">
        <v>21</v>
      </c>
      <c r="F1581" s="15" t="s">
        <v>38</v>
      </c>
      <c r="G1581" s="17" t="s">
        <v>178</v>
      </c>
      <c r="H1581" s="17"/>
      <c r="I1581" s="1" t="str">
        <f t="shared" si="73"/>
        <v/>
      </c>
      <c r="J1581" s="1" t="str">
        <f t="shared" si="72"/>
        <v/>
      </c>
      <c r="K1581" s="1">
        <f t="shared" si="74"/>
        <v>0</v>
      </c>
    </row>
    <row r="1582" spans="4:11" ht="15" customHeight="1">
      <c r="D1582" s="6" t="s">
        <v>154</v>
      </c>
      <c r="E1582" s="7"/>
      <c r="F1582" s="7"/>
      <c r="G1582" s="17" t="s">
        <v>182</v>
      </c>
      <c r="H1582" s="17">
        <v>5</v>
      </c>
      <c r="I1582" s="1">
        <f t="shared" si="73"/>
        <v>-2</v>
      </c>
      <c r="J1582" s="1">
        <f t="shared" si="72"/>
        <v>-0.23672921527813173</v>
      </c>
      <c r="K1582" s="1">
        <f t="shared" si="74"/>
        <v>3.109123860253673</v>
      </c>
    </row>
    <row r="1583" spans="4:11" ht="15.75" thickBot="1">
      <c r="D1583" s="8"/>
      <c r="E1583" s="15" t="s">
        <v>22</v>
      </c>
      <c r="F1583" s="15" t="s">
        <v>25</v>
      </c>
      <c r="G1583" s="17" t="s">
        <v>178</v>
      </c>
      <c r="H1583" s="17"/>
      <c r="I1583" s="1" t="str">
        <f t="shared" si="73"/>
        <v/>
      </c>
      <c r="J1583" s="1" t="str">
        <f t="shared" si="72"/>
        <v/>
      </c>
      <c r="K1583" s="1">
        <f t="shared" si="74"/>
        <v>0</v>
      </c>
    </row>
    <row r="1584" spans="4:11" ht="18" customHeight="1">
      <c r="D1584" s="6" t="s">
        <v>154</v>
      </c>
      <c r="E1584" s="7"/>
      <c r="F1584" s="7"/>
      <c r="G1584" s="17" t="s">
        <v>182</v>
      </c>
      <c r="H1584" s="17">
        <v>1</v>
      </c>
      <c r="I1584" s="1">
        <f t="shared" si="73"/>
        <v>2</v>
      </c>
      <c r="J1584" s="1">
        <f t="shared" si="72"/>
        <v>0.28341358545613105</v>
      </c>
      <c r="K1584" s="1">
        <f t="shared" si="74"/>
        <v>2.9466689185965755</v>
      </c>
    </row>
    <row r="1585" spans="4:11" ht="15.75" thickBot="1">
      <c r="D1585" s="8"/>
      <c r="E1585" s="15" t="s">
        <v>443</v>
      </c>
      <c r="F1585" s="15" t="s">
        <v>2</v>
      </c>
      <c r="G1585" s="17" t="s">
        <v>178</v>
      </c>
      <c r="H1585" s="17"/>
      <c r="I1585" s="1" t="str">
        <f t="shared" si="73"/>
        <v/>
      </c>
      <c r="J1585" s="1" t="str">
        <f t="shared" si="72"/>
        <v/>
      </c>
      <c r="K1585" s="1">
        <f t="shared" si="74"/>
        <v>0</v>
      </c>
    </row>
    <row r="1586" spans="4:11" ht="15" customHeight="1">
      <c r="D1586" s="6" t="s">
        <v>155</v>
      </c>
      <c r="E1586" s="7"/>
      <c r="F1586" s="7"/>
      <c r="G1586" s="17" t="s">
        <v>180</v>
      </c>
      <c r="H1586" s="17">
        <v>1</v>
      </c>
      <c r="I1586" s="1">
        <f t="shared" si="73"/>
        <v>1</v>
      </c>
      <c r="J1586" s="1">
        <f t="shared" si="72"/>
        <v>-0.53046660394082323</v>
      </c>
      <c r="K1586" s="1">
        <f t="shared" si="74"/>
        <v>2.3423280257781567</v>
      </c>
    </row>
    <row r="1587" spans="4:11" ht="15.75" thickBot="1">
      <c r="D1587" s="8"/>
      <c r="E1587" s="15" t="s">
        <v>24</v>
      </c>
      <c r="F1587" s="15" t="s">
        <v>36</v>
      </c>
      <c r="G1587" s="17" t="s">
        <v>178</v>
      </c>
      <c r="H1587" s="17"/>
      <c r="I1587" s="1" t="str">
        <f t="shared" si="73"/>
        <v/>
      </c>
      <c r="J1587" s="1" t="str">
        <f t="shared" si="72"/>
        <v/>
      </c>
      <c r="K1587" s="1">
        <f t="shared" si="74"/>
        <v>0</v>
      </c>
    </row>
    <row r="1588" spans="4:11" ht="15" customHeight="1">
      <c r="D1588" s="6" t="s">
        <v>155</v>
      </c>
      <c r="E1588" s="7"/>
      <c r="F1588" s="7"/>
      <c r="G1588" s="17" t="s">
        <v>184</v>
      </c>
      <c r="H1588" s="17">
        <v>3</v>
      </c>
      <c r="I1588" s="1">
        <f t="shared" si="73"/>
        <v>1</v>
      </c>
      <c r="J1588" s="1">
        <f t="shared" si="72"/>
        <v>0.39227470228442485</v>
      </c>
      <c r="K1588" s="1">
        <f t="shared" si="74"/>
        <v>0.36933003748348447</v>
      </c>
    </row>
    <row r="1589" spans="4:11" ht="15.75" thickBot="1">
      <c r="D1589" s="8"/>
      <c r="E1589" s="15" t="s">
        <v>34</v>
      </c>
      <c r="F1589" s="15" t="s">
        <v>7</v>
      </c>
      <c r="G1589" s="17" t="s">
        <v>178</v>
      </c>
      <c r="H1589" s="17"/>
      <c r="I1589" s="1" t="str">
        <f t="shared" si="73"/>
        <v/>
      </c>
      <c r="J1589" s="1" t="str">
        <f t="shared" si="72"/>
        <v/>
      </c>
      <c r="K1589" s="1">
        <f t="shared" si="74"/>
        <v>0</v>
      </c>
    </row>
    <row r="1590" spans="4:11" ht="15" customHeight="1">
      <c r="D1590" s="6" t="s">
        <v>155</v>
      </c>
      <c r="E1590" s="7"/>
      <c r="F1590" s="7"/>
      <c r="G1590" s="17" t="s">
        <v>182</v>
      </c>
      <c r="H1590" s="17">
        <v>5</v>
      </c>
      <c r="I1590" s="1">
        <f t="shared" si="73"/>
        <v>-2</v>
      </c>
      <c r="J1590" s="1">
        <f t="shared" si="72"/>
        <v>-0.24567290265055419</v>
      </c>
      <c r="K1590" s="1">
        <f t="shared" si="74"/>
        <v>3.0776635644945318</v>
      </c>
    </row>
    <row r="1591" spans="4:11" ht="15.75" thickBot="1">
      <c r="D1591" s="8"/>
      <c r="E1591" s="15" t="s">
        <v>3</v>
      </c>
      <c r="F1591" s="15" t="s">
        <v>23</v>
      </c>
      <c r="G1591" s="17" t="s">
        <v>178</v>
      </c>
      <c r="H1591" s="17"/>
      <c r="I1591" s="1" t="str">
        <f t="shared" si="73"/>
        <v/>
      </c>
      <c r="J1591" s="1" t="str">
        <f t="shared" si="72"/>
        <v/>
      </c>
      <c r="K1591" s="1">
        <f t="shared" si="74"/>
        <v>0</v>
      </c>
    </row>
    <row r="1592" spans="4:11" ht="18" customHeight="1">
      <c r="D1592" s="6" t="s">
        <v>155</v>
      </c>
      <c r="E1592" s="7"/>
      <c r="F1592" s="7"/>
      <c r="G1592" s="17" t="s">
        <v>182</v>
      </c>
      <c r="H1592" s="17">
        <v>2</v>
      </c>
      <c r="I1592" s="1">
        <f t="shared" si="73"/>
        <v>1</v>
      </c>
      <c r="J1592" s="1">
        <f t="shared" si="72"/>
        <v>-1.0699108759898905</v>
      </c>
      <c r="K1592" s="1">
        <f t="shared" si="74"/>
        <v>4.284531034541236</v>
      </c>
    </row>
    <row r="1593" spans="4:11" ht="15.75" thickBot="1">
      <c r="D1593" s="8"/>
      <c r="E1593" s="15" t="s">
        <v>26</v>
      </c>
      <c r="F1593" s="15" t="s">
        <v>20</v>
      </c>
      <c r="G1593" s="17" t="s">
        <v>178</v>
      </c>
      <c r="H1593" s="17"/>
      <c r="I1593" s="1" t="str">
        <f t="shared" si="73"/>
        <v/>
      </c>
      <c r="J1593" s="1" t="str">
        <f t="shared" si="72"/>
        <v/>
      </c>
      <c r="K1593" s="1">
        <f t="shared" si="74"/>
        <v>0</v>
      </c>
    </row>
    <row r="1594" spans="4:11" ht="18" customHeight="1">
      <c r="D1594" s="6" t="s">
        <v>155</v>
      </c>
      <c r="E1594" s="7"/>
      <c r="F1594" s="7"/>
      <c r="G1594" s="17" t="s">
        <v>184</v>
      </c>
      <c r="H1594" s="17">
        <v>1</v>
      </c>
      <c r="I1594" s="1">
        <f t="shared" si="73"/>
        <v>3</v>
      </c>
      <c r="J1594" s="1">
        <f t="shared" si="72"/>
        <v>0.32293413773464863</v>
      </c>
      <c r="K1594" s="1">
        <f t="shared" si="74"/>
        <v>7.1666816309065293</v>
      </c>
    </row>
    <row r="1595" spans="4:11" ht="15.75" thickBot="1">
      <c r="D1595" s="8"/>
      <c r="E1595" s="15" t="s">
        <v>4</v>
      </c>
      <c r="F1595" s="15" t="s">
        <v>33</v>
      </c>
      <c r="G1595" s="17" t="s">
        <v>178</v>
      </c>
      <c r="H1595" s="17"/>
      <c r="I1595" s="1" t="str">
        <f t="shared" si="73"/>
        <v/>
      </c>
      <c r="J1595" s="1" t="str">
        <f t="shared" si="72"/>
        <v/>
      </c>
      <c r="K1595" s="1">
        <f t="shared" si="74"/>
        <v>0</v>
      </c>
    </row>
    <row r="1596" spans="4:11" ht="18" customHeight="1">
      <c r="D1596" s="6" t="s">
        <v>156</v>
      </c>
      <c r="E1596" s="7"/>
      <c r="F1596" s="7"/>
      <c r="G1596" s="17" t="s">
        <v>185</v>
      </c>
      <c r="H1596" s="17">
        <v>3</v>
      </c>
      <c r="I1596" s="1">
        <f t="shared" si="73"/>
        <v>2</v>
      </c>
      <c r="J1596" s="1">
        <f t="shared" si="72"/>
        <v>-0.13480093116477576</v>
      </c>
      <c r="K1596" s="1">
        <f t="shared" si="74"/>
        <v>4.5573750157019939</v>
      </c>
    </row>
    <row r="1597" spans="4:11" ht="15.75" thickBot="1">
      <c r="D1597" s="8"/>
      <c r="E1597" s="15" t="s">
        <v>21</v>
      </c>
      <c r="F1597" s="15" t="s">
        <v>2</v>
      </c>
      <c r="G1597" s="17" t="s">
        <v>178</v>
      </c>
      <c r="H1597" s="17"/>
      <c r="I1597" s="1" t="str">
        <f t="shared" si="73"/>
        <v/>
      </c>
      <c r="J1597" s="1" t="str">
        <f t="shared" si="72"/>
        <v/>
      </c>
      <c r="K1597" s="1">
        <f t="shared" si="74"/>
        <v>0</v>
      </c>
    </row>
    <row r="1598" spans="4:11" ht="18" customHeight="1">
      <c r="D1598" s="6" t="s">
        <v>156</v>
      </c>
      <c r="E1598" s="7"/>
      <c r="F1598" s="7"/>
      <c r="G1598" s="17" t="s">
        <v>180</v>
      </c>
      <c r="H1598" s="17">
        <v>1</v>
      </c>
      <c r="I1598" s="1">
        <f t="shared" si="73"/>
        <v>1</v>
      </c>
      <c r="J1598" s="1">
        <f t="shared" si="72"/>
        <v>1.5059573207659014</v>
      </c>
      <c r="K1598" s="1">
        <f t="shared" si="74"/>
        <v>0.25599281043660921</v>
      </c>
    </row>
    <row r="1599" spans="4:11" ht="15.75" thickBot="1">
      <c r="D1599" s="8"/>
      <c r="E1599" s="15" t="s">
        <v>18</v>
      </c>
      <c r="F1599" s="15" t="s">
        <v>8</v>
      </c>
      <c r="G1599" s="17" t="s">
        <v>178</v>
      </c>
      <c r="H1599" s="17"/>
      <c r="I1599" s="1" t="str">
        <f t="shared" si="73"/>
        <v/>
      </c>
      <c r="J1599" s="1" t="str">
        <f t="shared" si="72"/>
        <v/>
      </c>
      <c r="K1599" s="1">
        <f t="shared" si="74"/>
        <v>0</v>
      </c>
    </row>
    <row r="1600" spans="4:11" ht="15" customHeight="1">
      <c r="D1600" s="6" t="s">
        <v>156</v>
      </c>
      <c r="E1600" s="7"/>
      <c r="F1600" s="7"/>
      <c r="G1600" s="17" t="s">
        <v>180</v>
      </c>
      <c r="H1600" s="17">
        <v>3</v>
      </c>
      <c r="I1600" s="1">
        <f t="shared" si="73"/>
        <v>-1</v>
      </c>
      <c r="J1600" s="1">
        <f t="shared" si="72"/>
        <v>-1.4223391289310854</v>
      </c>
      <c r="K1600" s="1">
        <f t="shared" si="74"/>
        <v>0.17837033982626796</v>
      </c>
    </row>
    <row r="1601" spans="4:11" ht="15.75" thickBot="1">
      <c r="D1601" s="8"/>
      <c r="E1601" s="15" t="s">
        <v>24</v>
      </c>
      <c r="F1601" s="15" t="s">
        <v>41</v>
      </c>
      <c r="G1601" s="17" t="s">
        <v>178</v>
      </c>
      <c r="H1601" s="17"/>
      <c r="I1601" s="1" t="str">
        <f t="shared" si="73"/>
        <v/>
      </c>
      <c r="J1601" s="1" t="str">
        <f t="shared" si="72"/>
        <v/>
      </c>
      <c r="K1601" s="1">
        <f t="shared" si="74"/>
        <v>0</v>
      </c>
    </row>
    <row r="1602" spans="4:11" ht="15" customHeight="1">
      <c r="D1602" s="6" t="s">
        <v>156</v>
      </c>
      <c r="E1602" s="7"/>
      <c r="F1602" s="7"/>
      <c r="G1602" s="17" t="s">
        <v>185</v>
      </c>
      <c r="H1602" s="17">
        <v>4</v>
      </c>
      <c r="I1602" s="1">
        <f t="shared" si="73"/>
        <v>1</v>
      </c>
      <c r="J1602" s="1">
        <f t="shared" si="72"/>
        <v>1.0905407614010301</v>
      </c>
      <c r="K1602" s="1">
        <f t="shared" si="74"/>
        <v>8.1976294750782559E-3</v>
      </c>
    </row>
    <row r="1603" spans="4:11" ht="15.75" thickBot="1">
      <c r="D1603" s="8"/>
      <c r="E1603" s="15" t="s">
        <v>38</v>
      </c>
      <c r="F1603" s="15" t="s">
        <v>0</v>
      </c>
      <c r="G1603" s="17" t="s">
        <v>178</v>
      </c>
      <c r="H1603" s="17"/>
      <c r="I1603" s="1" t="str">
        <f t="shared" si="73"/>
        <v/>
      </c>
      <c r="J1603" s="1" t="str">
        <f t="shared" ref="J1603:J1666" si="75">IF(F1604="","",VLOOKUP(F1604,$A$2:$B$31,2)+$B$33-VLOOKUP(E1604,$A$2:$B$31,2))</f>
        <v/>
      </c>
      <c r="K1603" s="1">
        <f t="shared" si="74"/>
        <v>0</v>
      </c>
    </row>
    <row r="1604" spans="4:11" ht="15" customHeight="1">
      <c r="D1604" s="6" t="s">
        <v>156</v>
      </c>
      <c r="E1604" s="7"/>
      <c r="F1604" s="7"/>
      <c r="G1604" s="17" t="s">
        <v>181</v>
      </c>
      <c r="H1604" s="17">
        <v>2</v>
      </c>
      <c r="I1604" s="1">
        <f t="shared" ref="I1604:I1667" si="76">IF(G1604="","",G1604-H1604)</f>
        <v>-1</v>
      </c>
      <c r="J1604" s="1">
        <f t="shared" si="75"/>
        <v>-0.61667469406161501</v>
      </c>
      <c r="K1604" s="1">
        <f t="shared" ref="K1604:K1667" si="77">IF(J1604="",0,(I1604-J1604)^2)</f>
        <v>0.14693829017275645</v>
      </c>
    </row>
    <row r="1605" spans="4:11" ht="15.75" thickBot="1">
      <c r="D1605" s="8"/>
      <c r="E1605" s="15" t="s">
        <v>1</v>
      </c>
      <c r="F1605" s="15" t="s">
        <v>443</v>
      </c>
      <c r="G1605" s="17" t="s">
        <v>178</v>
      </c>
      <c r="H1605" s="17"/>
      <c r="I1605" s="1" t="str">
        <f t="shared" si="76"/>
        <v/>
      </c>
      <c r="J1605" s="1" t="str">
        <f t="shared" si="75"/>
        <v/>
      </c>
      <c r="K1605" s="1">
        <f t="shared" si="77"/>
        <v>0</v>
      </c>
    </row>
    <row r="1606" spans="4:11" ht="18" customHeight="1">
      <c r="D1606" s="6" t="s">
        <v>156</v>
      </c>
      <c r="E1606" s="7"/>
      <c r="F1606" s="7"/>
      <c r="G1606" s="17" t="s">
        <v>180</v>
      </c>
      <c r="H1606" s="17">
        <v>6</v>
      </c>
      <c r="I1606" s="1">
        <f t="shared" si="76"/>
        <v>-4</v>
      </c>
      <c r="J1606" s="1">
        <f t="shared" si="75"/>
        <v>-0.2613827131592501</v>
      </c>
      <c r="K1606" s="1">
        <f t="shared" si="77"/>
        <v>13.977259217464489</v>
      </c>
    </row>
    <row r="1607" spans="4:11" ht="15.75" thickBot="1">
      <c r="D1607" s="8"/>
      <c r="E1607" s="15" t="s">
        <v>10</v>
      </c>
      <c r="F1607" s="15" t="s">
        <v>14</v>
      </c>
      <c r="G1607" s="17" t="s">
        <v>178</v>
      </c>
      <c r="H1607" s="17"/>
      <c r="I1607" s="1" t="str">
        <f t="shared" si="76"/>
        <v/>
      </c>
      <c r="J1607" s="1" t="str">
        <f t="shared" si="75"/>
        <v/>
      </c>
      <c r="K1607" s="1">
        <f t="shared" si="77"/>
        <v>0</v>
      </c>
    </row>
    <row r="1608" spans="4:11" ht="18" customHeight="1">
      <c r="D1608" s="6" t="s">
        <v>156</v>
      </c>
      <c r="E1608" s="7"/>
      <c r="F1608" s="7"/>
      <c r="G1608" s="17" t="s">
        <v>181</v>
      </c>
      <c r="H1608" s="17">
        <v>2</v>
      </c>
      <c r="I1608" s="1">
        <f t="shared" si="76"/>
        <v>-1</v>
      </c>
      <c r="J1608" s="1">
        <f t="shared" si="75"/>
        <v>-1.0357403496314816</v>
      </c>
      <c r="K1608" s="1">
        <f t="shared" si="77"/>
        <v>1.2773725917805505E-3</v>
      </c>
    </row>
    <row r="1609" spans="4:11" ht="15.75" thickBot="1">
      <c r="D1609" s="8"/>
      <c r="E1609" s="15" t="s">
        <v>26</v>
      </c>
      <c r="F1609" s="15" t="s">
        <v>39</v>
      </c>
      <c r="G1609" s="17" t="s">
        <v>178</v>
      </c>
      <c r="H1609" s="17"/>
      <c r="I1609" s="1" t="str">
        <f t="shared" si="76"/>
        <v/>
      </c>
      <c r="J1609" s="1" t="str">
        <f t="shared" si="75"/>
        <v/>
      </c>
      <c r="K1609" s="1">
        <f t="shared" si="77"/>
        <v>0</v>
      </c>
    </row>
    <row r="1610" spans="4:11" ht="15" customHeight="1">
      <c r="D1610" s="6" t="s">
        <v>156</v>
      </c>
      <c r="E1610" s="7"/>
      <c r="F1610" s="7"/>
      <c r="G1610" s="17" t="s">
        <v>180</v>
      </c>
      <c r="H1610" s="17">
        <v>3</v>
      </c>
      <c r="I1610" s="1">
        <f t="shared" si="76"/>
        <v>-1</v>
      </c>
      <c r="J1610" s="1">
        <f t="shared" si="75"/>
        <v>0.12942210003404853</v>
      </c>
      <c r="K1610" s="1">
        <f t="shared" si="77"/>
        <v>1.2755942800453204</v>
      </c>
    </row>
    <row r="1611" spans="4:11" ht="15.75" thickBot="1">
      <c r="D1611" s="8"/>
      <c r="E1611" s="15" t="s">
        <v>37</v>
      </c>
      <c r="F1611" s="15" t="s">
        <v>19</v>
      </c>
      <c r="G1611" s="17" t="s">
        <v>178</v>
      </c>
      <c r="H1611" s="17"/>
      <c r="I1611" s="1" t="str">
        <f t="shared" si="76"/>
        <v/>
      </c>
      <c r="J1611" s="1" t="str">
        <f t="shared" si="75"/>
        <v/>
      </c>
      <c r="K1611" s="1">
        <f t="shared" si="77"/>
        <v>0</v>
      </c>
    </row>
    <row r="1612" spans="4:11" ht="15" customHeight="1">
      <c r="D1612" s="6" t="s">
        <v>156</v>
      </c>
      <c r="E1612" s="7"/>
      <c r="F1612" s="7"/>
      <c r="G1612" s="17" t="s">
        <v>181</v>
      </c>
      <c r="H1612" s="17">
        <v>2</v>
      </c>
      <c r="I1612" s="1">
        <f t="shared" si="76"/>
        <v>-1</v>
      </c>
      <c r="J1612" s="1">
        <f t="shared" si="75"/>
        <v>0.21858317550223205</v>
      </c>
      <c r="K1612" s="1">
        <f t="shared" si="77"/>
        <v>1.4849449556171037</v>
      </c>
    </row>
    <row r="1613" spans="4:11" ht="15.75" thickBot="1">
      <c r="D1613" s="8"/>
      <c r="E1613" s="15" t="s">
        <v>23</v>
      </c>
      <c r="F1613" s="15" t="s">
        <v>25</v>
      </c>
      <c r="G1613" s="17" t="s">
        <v>178</v>
      </c>
      <c r="H1613" s="17"/>
      <c r="I1613" s="1" t="str">
        <f t="shared" si="76"/>
        <v/>
      </c>
      <c r="J1613" s="1" t="str">
        <f t="shared" si="75"/>
        <v/>
      </c>
      <c r="K1613" s="1">
        <f t="shared" si="77"/>
        <v>0</v>
      </c>
    </row>
    <row r="1614" spans="4:11" ht="15" customHeight="1">
      <c r="D1614" s="6" t="s">
        <v>157</v>
      </c>
      <c r="E1614" s="7"/>
      <c r="F1614" s="7"/>
      <c r="G1614" s="17" t="s">
        <v>181</v>
      </c>
      <c r="H1614" s="17">
        <v>4</v>
      </c>
      <c r="I1614" s="1">
        <f t="shared" si="76"/>
        <v>-3</v>
      </c>
      <c r="J1614" s="1">
        <f t="shared" si="75"/>
        <v>-0.15089142004582357</v>
      </c>
      <c r="K1614" s="1">
        <f t="shared" si="77"/>
        <v>8.1174197003685045</v>
      </c>
    </row>
    <row r="1615" spans="4:11" ht="15.75" thickBot="1">
      <c r="D1615" s="8"/>
      <c r="E1615" s="15" t="s">
        <v>13</v>
      </c>
      <c r="F1615" s="15" t="s">
        <v>11</v>
      </c>
      <c r="G1615" s="17" t="s">
        <v>178</v>
      </c>
      <c r="H1615" s="17"/>
      <c r="I1615" s="1" t="str">
        <f t="shared" si="76"/>
        <v/>
      </c>
      <c r="J1615" s="1" t="str">
        <f t="shared" si="75"/>
        <v/>
      </c>
      <c r="K1615" s="1">
        <f t="shared" si="77"/>
        <v>0</v>
      </c>
    </row>
    <row r="1616" spans="4:11" ht="15" customHeight="1">
      <c r="D1616" s="6" t="s">
        <v>157</v>
      </c>
      <c r="E1616" s="7"/>
      <c r="F1616" s="7"/>
      <c r="G1616" s="17" t="s">
        <v>185</v>
      </c>
      <c r="H1616" s="17">
        <v>4</v>
      </c>
      <c r="I1616" s="1">
        <f t="shared" si="76"/>
        <v>1</v>
      </c>
      <c r="J1616" s="1">
        <f t="shared" si="75"/>
        <v>-0.37161491043588057</v>
      </c>
      <c r="K1616" s="1">
        <f t="shared" si="77"/>
        <v>1.8813274625300287</v>
      </c>
    </row>
    <row r="1617" spans="4:11" ht="15.75" thickBot="1">
      <c r="D1617" s="8"/>
      <c r="E1617" s="15" t="s">
        <v>3</v>
      </c>
      <c r="F1617" s="15" t="s">
        <v>20</v>
      </c>
      <c r="G1617" s="17" t="s">
        <v>178</v>
      </c>
      <c r="H1617" s="17"/>
      <c r="I1617" s="1" t="str">
        <f t="shared" si="76"/>
        <v/>
      </c>
      <c r="J1617" s="1" t="str">
        <f t="shared" si="75"/>
        <v/>
      </c>
      <c r="K1617" s="1">
        <f t="shared" si="77"/>
        <v>0</v>
      </c>
    </row>
    <row r="1618" spans="4:11" ht="15" customHeight="1">
      <c r="D1618" s="6" t="s">
        <v>157</v>
      </c>
      <c r="E1618" s="7"/>
      <c r="F1618" s="7"/>
      <c r="G1618" s="17" t="s">
        <v>185</v>
      </c>
      <c r="H1618" s="17">
        <v>4</v>
      </c>
      <c r="I1618" s="1">
        <f t="shared" si="76"/>
        <v>1</v>
      </c>
      <c r="J1618" s="1">
        <f t="shared" si="75"/>
        <v>0.47490356656894051</v>
      </c>
      <c r="K1618" s="1">
        <f t="shared" si="77"/>
        <v>0.27572626440201908</v>
      </c>
    </row>
    <row r="1619" spans="4:11" ht="15.75" thickBot="1">
      <c r="D1619" s="8"/>
      <c r="E1619" s="15" t="s">
        <v>12</v>
      </c>
      <c r="F1619" s="15" t="s">
        <v>33</v>
      </c>
      <c r="G1619" s="17" t="s">
        <v>178</v>
      </c>
      <c r="H1619" s="17"/>
      <c r="I1619" s="1" t="str">
        <f t="shared" si="76"/>
        <v/>
      </c>
      <c r="J1619" s="1" t="str">
        <f t="shared" si="75"/>
        <v/>
      </c>
      <c r="K1619" s="1">
        <f t="shared" si="77"/>
        <v>0</v>
      </c>
    </row>
    <row r="1620" spans="4:11" ht="15" customHeight="1">
      <c r="D1620" s="6" t="s">
        <v>158</v>
      </c>
      <c r="E1620" s="7"/>
      <c r="F1620" s="7"/>
      <c r="G1620" s="17" t="s">
        <v>180</v>
      </c>
      <c r="H1620" s="17">
        <v>3</v>
      </c>
      <c r="I1620" s="1">
        <f t="shared" si="76"/>
        <v>-1</v>
      </c>
      <c r="J1620" s="1">
        <f t="shared" si="75"/>
        <v>-1.0905407614010301</v>
      </c>
      <c r="K1620" s="1">
        <f t="shared" si="77"/>
        <v>8.1976294750782559E-3</v>
      </c>
    </row>
    <row r="1621" spans="4:11" ht="15.75" thickBot="1">
      <c r="D1621" s="8"/>
      <c r="E1621" s="15" t="s">
        <v>0</v>
      </c>
      <c r="F1621" s="15" t="s">
        <v>41</v>
      </c>
      <c r="G1621" s="17" t="s">
        <v>178</v>
      </c>
      <c r="H1621" s="17"/>
      <c r="I1621" s="1" t="str">
        <f t="shared" si="76"/>
        <v/>
      </c>
      <c r="J1621" s="1" t="str">
        <f t="shared" si="75"/>
        <v/>
      </c>
      <c r="K1621" s="1">
        <f t="shared" si="77"/>
        <v>0</v>
      </c>
    </row>
    <row r="1622" spans="4:11" ht="15" customHeight="1">
      <c r="D1622" s="6" t="s">
        <v>158</v>
      </c>
      <c r="E1622" s="7"/>
      <c r="F1622" s="7"/>
      <c r="G1622" s="17" t="s">
        <v>180</v>
      </c>
      <c r="H1622" s="17">
        <v>1</v>
      </c>
      <c r="I1622" s="1">
        <f t="shared" si="76"/>
        <v>1</v>
      </c>
      <c r="J1622" s="1">
        <f t="shared" si="75"/>
        <v>-0.15534377019388046</v>
      </c>
      <c r="K1622" s="1">
        <f t="shared" si="77"/>
        <v>1.3348192273258102</v>
      </c>
    </row>
    <row r="1623" spans="4:11" ht="15.75" thickBot="1">
      <c r="D1623" s="8"/>
      <c r="E1623" s="15" t="s">
        <v>10</v>
      </c>
      <c r="F1623" s="15" t="s">
        <v>28</v>
      </c>
      <c r="G1623" s="17" t="s">
        <v>178</v>
      </c>
      <c r="H1623" s="17"/>
      <c r="I1623" s="1" t="str">
        <f t="shared" si="76"/>
        <v/>
      </c>
      <c r="J1623" s="1" t="str">
        <f t="shared" si="75"/>
        <v/>
      </c>
      <c r="K1623" s="1">
        <f t="shared" si="77"/>
        <v>0</v>
      </c>
    </row>
    <row r="1624" spans="4:11" ht="15" customHeight="1">
      <c r="D1624" s="6" t="s">
        <v>158</v>
      </c>
      <c r="E1624" s="7"/>
      <c r="F1624" s="7"/>
      <c r="G1624" s="17" t="s">
        <v>184</v>
      </c>
      <c r="H1624" s="17">
        <v>3</v>
      </c>
      <c r="I1624" s="1">
        <f t="shared" si="76"/>
        <v>1</v>
      </c>
      <c r="J1624" s="1">
        <f t="shared" si="75"/>
        <v>-1.2270919696317861</v>
      </c>
      <c r="K1624" s="1">
        <f t="shared" si="77"/>
        <v>4.9599386411983888</v>
      </c>
    </row>
    <row r="1625" spans="4:11" ht="15.75" thickBot="1">
      <c r="D1625" s="8"/>
      <c r="E1625" s="15" t="s">
        <v>24</v>
      </c>
      <c r="F1625" s="15" t="s">
        <v>443</v>
      </c>
      <c r="G1625" s="17" t="s">
        <v>178</v>
      </c>
      <c r="H1625" s="17"/>
      <c r="I1625" s="1" t="str">
        <f t="shared" si="76"/>
        <v/>
      </c>
      <c r="J1625" s="1" t="str">
        <f t="shared" si="75"/>
        <v/>
      </c>
      <c r="K1625" s="1">
        <f t="shared" si="77"/>
        <v>0</v>
      </c>
    </row>
    <row r="1626" spans="4:11" ht="15" customHeight="1">
      <c r="D1626" s="6" t="s">
        <v>158</v>
      </c>
      <c r="E1626" s="7"/>
      <c r="F1626" s="7"/>
      <c r="G1626" s="17" t="s">
        <v>185</v>
      </c>
      <c r="H1626" s="17">
        <v>4</v>
      </c>
      <c r="I1626" s="1">
        <f t="shared" si="76"/>
        <v>1</v>
      </c>
      <c r="J1626" s="1">
        <f t="shared" si="75"/>
        <v>0.11892793696033266</v>
      </c>
      <c r="K1626" s="1">
        <f t="shared" si="77"/>
        <v>0.7762879802689755</v>
      </c>
    </row>
    <row r="1627" spans="4:11" ht="15.75" thickBot="1">
      <c r="D1627" s="8"/>
      <c r="E1627" s="15" t="s">
        <v>11</v>
      </c>
      <c r="F1627" s="15" t="s">
        <v>18</v>
      </c>
      <c r="G1627" s="17" t="s">
        <v>178</v>
      </c>
      <c r="H1627" s="17"/>
      <c r="I1627" s="1" t="str">
        <f t="shared" si="76"/>
        <v/>
      </c>
      <c r="J1627" s="1" t="str">
        <f t="shared" si="75"/>
        <v/>
      </c>
      <c r="K1627" s="1">
        <f t="shared" si="77"/>
        <v>0</v>
      </c>
    </row>
    <row r="1628" spans="4:11" ht="15" customHeight="1">
      <c r="D1628" s="6" t="s">
        <v>158</v>
      </c>
      <c r="E1628" s="7"/>
      <c r="F1628" s="7"/>
      <c r="G1628" s="17" t="s">
        <v>183</v>
      </c>
      <c r="H1628" s="17">
        <v>3</v>
      </c>
      <c r="I1628" s="1">
        <f t="shared" si="76"/>
        <v>3</v>
      </c>
      <c r="J1628" s="1">
        <f t="shared" si="75"/>
        <v>-2.8292720351075218E-2</v>
      </c>
      <c r="K1628" s="1">
        <f t="shared" si="77"/>
        <v>9.1705568001313154</v>
      </c>
    </row>
    <row r="1629" spans="4:11" ht="15.75" thickBot="1">
      <c r="D1629" s="8"/>
      <c r="E1629" s="15" t="s">
        <v>39</v>
      </c>
      <c r="F1629" s="15" t="s">
        <v>37</v>
      </c>
      <c r="G1629" s="17" t="s">
        <v>178</v>
      </c>
      <c r="H1629" s="17"/>
      <c r="I1629" s="1" t="str">
        <f t="shared" si="76"/>
        <v/>
      </c>
      <c r="J1629" s="1" t="str">
        <f t="shared" si="75"/>
        <v/>
      </c>
      <c r="K1629" s="1">
        <f t="shared" si="77"/>
        <v>0</v>
      </c>
    </row>
    <row r="1630" spans="4:11" ht="15" customHeight="1">
      <c r="D1630" s="6" t="s">
        <v>158</v>
      </c>
      <c r="E1630" s="7"/>
      <c r="F1630" s="7"/>
      <c r="G1630" s="17" t="s">
        <v>181</v>
      </c>
      <c r="H1630" s="17">
        <v>3</v>
      </c>
      <c r="I1630" s="1">
        <f t="shared" si="76"/>
        <v>-2</v>
      </c>
      <c r="J1630" s="1">
        <f t="shared" si="75"/>
        <v>-0.20922527724617623</v>
      </c>
      <c r="K1630" s="1">
        <f t="shared" si="77"/>
        <v>3.2068741076540346</v>
      </c>
    </row>
    <row r="1631" spans="4:11" ht="15.75" thickBot="1">
      <c r="D1631" s="8"/>
      <c r="E1631" s="15" t="s">
        <v>25</v>
      </c>
      <c r="F1631" s="15" t="s">
        <v>19</v>
      </c>
      <c r="G1631" s="17" t="s">
        <v>178</v>
      </c>
      <c r="H1631" s="17"/>
      <c r="I1631" s="1" t="str">
        <f t="shared" si="76"/>
        <v/>
      </c>
      <c r="J1631" s="1" t="str">
        <f t="shared" si="75"/>
        <v/>
      </c>
      <c r="K1631" s="1">
        <f t="shared" si="77"/>
        <v>0</v>
      </c>
    </row>
    <row r="1632" spans="4:11" ht="15" customHeight="1">
      <c r="D1632" s="6" t="s">
        <v>158</v>
      </c>
      <c r="E1632" s="7"/>
      <c r="F1632" s="7"/>
      <c r="G1632" s="17" t="s">
        <v>181</v>
      </c>
      <c r="H1632" s="17">
        <v>2</v>
      </c>
      <c r="I1632" s="1">
        <f t="shared" si="76"/>
        <v>-1</v>
      </c>
      <c r="J1632" s="1">
        <f t="shared" si="75"/>
        <v>-0.68258615504531406</v>
      </c>
      <c r="K1632" s="1">
        <f t="shared" si="77"/>
        <v>0.1007515489689174</v>
      </c>
    </row>
    <row r="1633" spans="4:11" ht="15.75" thickBot="1">
      <c r="D1633" s="8"/>
      <c r="E1633" s="15" t="s">
        <v>14</v>
      </c>
      <c r="F1633" s="15" t="s">
        <v>23</v>
      </c>
      <c r="G1633" s="17" t="s">
        <v>178</v>
      </c>
      <c r="H1633" s="17"/>
      <c r="I1633" s="1" t="str">
        <f t="shared" si="76"/>
        <v/>
      </c>
      <c r="J1633" s="1" t="str">
        <f t="shared" si="75"/>
        <v/>
      </c>
      <c r="K1633" s="1">
        <f t="shared" si="77"/>
        <v>0</v>
      </c>
    </row>
    <row r="1634" spans="4:11" ht="15" customHeight="1">
      <c r="D1634" s="6" t="s">
        <v>158</v>
      </c>
      <c r="E1634" s="7"/>
      <c r="F1634" s="7"/>
      <c r="G1634" s="17" t="s">
        <v>183</v>
      </c>
      <c r="H1634" s="17">
        <v>3</v>
      </c>
      <c r="I1634" s="1">
        <f t="shared" si="76"/>
        <v>3</v>
      </c>
      <c r="J1634" s="1">
        <f t="shared" si="75"/>
        <v>0.57428010724044043</v>
      </c>
      <c r="K1634" s="1">
        <f t="shared" si="77"/>
        <v>5.884116998129449</v>
      </c>
    </row>
    <row r="1635" spans="4:11" ht="15.75" thickBot="1">
      <c r="D1635" s="8"/>
      <c r="E1635" s="15" t="s">
        <v>38</v>
      </c>
      <c r="F1635" s="15" t="s">
        <v>22</v>
      </c>
      <c r="G1635" s="17" t="s">
        <v>178</v>
      </c>
      <c r="H1635" s="17"/>
      <c r="I1635" s="1" t="str">
        <f t="shared" si="76"/>
        <v/>
      </c>
      <c r="J1635" s="1" t="str">
        <f t="shared" si="75"/>
        <v/>
      </c>
      <c r="K1635" s="1">
        <f t="shared" si="77"/>
        <v>0</v>
      </c>
    </row>
    <row r="1636" spans="4:11" ht="15" customHeight="1">
      <c r="D1636" s="6" t="s">
        <v>158</v>
      </c>
      <c r="E1636" s="7"/>
      <c r="F1636" s="7"/>
      <c r="G1636" s="17" t="s">
        <v>182</v>
      </c>
      <c r="H1636" s="17">
        <v>5</v>
      </c>
      <c r="I1636" s="1">
        <f t="shared" si="76"/>
        <v>-2</v>
      </c>
      <c r="J1636" s="1">
        <f t="shared" si="75"/>
        <v>0.1872326031717364</v>
      </c>
      <c r="K1636" s="1">
        <f t="shared" si="77"/>
        <v>4.7839864603774105</v>
      </c>
    </row>
    <row r="1637" spans="4:11" ht="15.75" thickBot="1">
      <c r="D1637" s="8"/>
      <c r="E1637" s="15" t="s">
        <v>4</v>
      </c>
      <c r="F1637" s="15" t="s">
        <v>34</v>
      </c>
      <c r="G1637" s="17" t="s">
        <v>178</v>
      </c>
      <c r="H1637" s="17"/>
      <c r="I1637" s="1" t="str">
        <f t="shared" si="76"/>
        <v/>
      </c>
      <c r="J1637" s="1" t="str">
        <f t="shared" si="75"/>
        <v/>
      </c>
      <c r="K1637" s="1">
        <f t="shared" si="77"/>
        <v>0</v>
      </c>
    </row>
    <row r="1638" spans="4:11" ht="15" customHeight="1">
      <c r="D1638" s="6" t="s">
        <v>159</v>
      </c>
      <c r="E1638" s="7"/>
      <c r="F1638" s="7"/>
      <c r="G1638" s="17" t="s">
        <v>182</v>
      </c>
      <c r="H1638" s="17">
        <v>4</v>
      </c>
      <c r="I1638" s="1">
        <f t="shared" si="76"/>
        <v>-1</v>
      </c>
      <c r="J1638" s="1">
        <f t="shared" si="75"/>
        <v>2.0693123270916658E-2</v>
      </c>
      <c r="K1638" s="1">
        <f t="shared" si="77"/>
        <v>1.0418144518925387</v>
      </c>
    </row>
    <row r="1639" spans="4:11" ht="15.75" thickBot="1">
      <c r="D1639" s="8"/>
      <c r="E1639" s="15" t="s">
        <v>1</v>
      </c>
      <c r="F1639" s="15" t="s">
        <v>7</v>
      </c>
      <c r="G1639" s="17" t="s">
        <v>178</v>
      </c>
      <c r="H1639" s="17"/>
      <c r="I1639" s="1" t="str">
        <f t="shared" si="76"/>
        <v/>
      </c>
      <c r="J1639" s="1" t="str">
        <f t="shared" si="75"/>
        <v/>
      </c>
      <c r="K1639" s="1">
        <f t="shared" si="77"/>
        <v>0</v>
      </c>
    </row>
    <row r="1640" spans="4:11" ht="15" customHeight="1">
      <c r="D1640" s="6" t="s">
        <v>159</v>
      </c>
      <c r="E1640" s="7"/>
      <c r="F1640" s="7"/>
      <c r="G1640" s="17" t="s">
        <v>181</v>
      </c>
      <c r="H1640" s="17">
        <v>3</v>
      </c>
      <c r="I1640" s="1">
        <f t="shared" si="76"/>
        <v>-2</v>
      </c>
      <c r="J1640" s="1">
        <f t="shared" si="75"/>
        <v>-0.89884681631551189</v>
      </c>
      <c r="K1640" s="1">
        <f t="shared" si="77"/>
        <v>1.2125383339384841</v>
      </c>
    </row>
    <row r="1641" spans="4:11" ht="15.75" thickBot="1">
      <c r="D1641" s="8"/>
      <c r="E1641" s="15" t="s">
        <v>36</v>
      </c>
      <c r="F1641" s="15" t="s">
        <v>20</v>
      </c>
      <c r="G1641" s="17" t="s">
        <v>178</v>
      </c>
      <c r="H1641" s="17"/>
      <c r="I1641" s="1" t="str">
        <f t="shared" si="76"/>
        <v/>
      </c>
      <c r="J1641" s="1" t="str">
        <f t="shared" si="75"/>
        <v/>
      </c>
      <c r="K1641" s="1">
        <f t="shared" si="77"/>
        <v>0</v>
      </c>
    </row>
    <row r="1642" spans="4:11" ht="18" customHeight="1">
      <c r="D1642" s="6" t="s">
        <v>159</v>
      </c>
      <c r="E1642" s="7"/>
      <c r="F1642" s="7"/>
      <c r="G1642" s="17" t="s">
        <v>179</v>
      </c>
      <c r="H1642" s="17">
        <v>2</v>
      </c>
      <c r="I1642" s="1">
        <f t="shared" si="76"/>
        <v>-2</v>
      </c>
      <c r="J1642" s="1">
        <f t="shared" si="75"/>
        <v>-0.18809219558518464</v>
      </c>
      <c r="K1642" s="1">
        <f t="shared" si="77"/>
        <v>3.2830098916993169</v>
      </c>
    </row>
    <row r="1643" spans="4:11" ht="15.75" thickBot="1">
      <c r="D1643" s="8"/>
      <c r="E1643" s="15" t="s">
        <v>14</v>
      </c>
      <c r="F1643" s="15" t="s">
        <v>21</v>
      </c>
      <c r="G1643" s="17" t="s">
        <v>178</v>
      </c>
      <c r="H1643" s="17"/>
      <c r="I1643" s="1" t="str">
        <f t="shared" si="76"/>
        <v/>
      </c>
      <c r="J1643" s="1" t="str">
        <f t="shared" si="75"/>
        <v/>
      </c>
      <c r="K1643" s="1">
        <f t="shared" si="77"/>
        <v>0</v>
      </c>
    </row>
    <row r="1644" spans="4:11" ht="15" customHeight="1">
      <c r="D1644" s="6" t="s">
        <v>159</v>
      </c>
      <c r="E1644" s="7"/>
      <c r="F1644" s="7"/>
      <c r="G1644" s="17" t="s">
        <v>184</v>
      </c>
      <c r="H1644" s="17">
        <v>2</v>
      </c>
      <c r="I1644" s="1">
        <f t="shared" si="76"/>
        <v>2</v>
      </c>
      <c r="J1644" s="1">
        <f t="shared" si="75"/>
        <v>0.4868947757543225</v>
      </c>
      <c r="K1644" s="1">
        <f t="shared" si="77"/>
        <v>2.289487419639562</v>
      </c>
    </row>
    <row r="1645" spans="4:11" ht="15.75" thickBot="1">
      <c r="D1645" s="8"/>
      <c r="E1645" s="15" t="s">
        <v>33</v>
      </c>
      <c r="F1645" s="15" t="s">
        <v>26</v>
      </c>
      <c r="G1645" s="17" t="s">
        <v>178</v>
      </c>
      <c r="H1645" s="17"/>
      <c r="I1645" s="1" t="str">
        <f t="shared" si="76"/>
        <v/>
      </c>
      <c r="J1645" s="1" t="str">
        <f t="shared" si="75"/>
        <v/>
      </c>
      <c r="K1645" s="1">
        <f t="shared" si="77"/>
        <v>0</v>
      </c>
    </row>
    <row r="1646" spans="4:11" ht="15" customHeight="1">
      <c r="D1646" s="6" t="s">
        <v>159</v>
      </c>
      <c r="E1646" s="7"/>
      <c r="F1646" s="7"/>
      <c r="G1646" s="17" t="s">
        <v>180</v>
      </c>
      <c r="H1646" s="17">
        <v>5</v>
      </c>
      <c r="I1646" s="1">
        <f t="shared" si="76"/>
        <v>-3</v>
      </c>
      <c r="J1646" s="1">
        <f t="shared" si="75"/>
        <v>-0.11402012564479946</v>
      </c>
      <c r="K1646" s="1">
        <f t="shared" si="77"/>
        <v>8.3288798351832583</v>
      </c>
    </row>
    <row r="1647" spans="4:11" ht="15.75" thickBot="1">
      <c r="D1647" s="8"/>
      <c r="E1647" s="15" t="s">
        <v>2</v>
      </c>
      <c r="F1647" s="15" t="s">
        <v>3</v>
      </c>
      <c r="G1647" s="17" t="s">
        <v>178</v>
      </c>
      <c r="H1647" s="17"/>
      <c r="I1647" s="1" t="str">
        <f t="shared" si="76"/>
        <v/>
      </c>
      <c r="J1647" s="1" t="str">
        <f t="shared" si="75"/>
        <v/>
      </c>
      <c r="K1647" s="1">
        <f t="shared" si="77"/>
        <v>0</v>
      </c>
    </row>
    <row r="1648" spans="4:11" ht="15" customHeight="1">
      <c r="D1648" s="6" t="s">
        <v>160</v>
      </c>
      <c r="E1648" s="7"/>
      <c r="F1648" s="7"/>
      <c r="G1648" s="17" t="s">
        <v>180</v>
      </c>
      <c r="H1648" s="17">
        <v>7</v>
      </c>
      <c r="I1648" s="1">
        <f t="shared" si="76"/>
        <v>-5</v>
      </c>
      <c r="J1648" s="1">
        <f t="shared" si="75"/>
        <v>-1.0396229706368985</v>
      </c>
      <c r="K1648" s="1">
        <f t="shared" si="77"/>
        <v>15.684586214706904</v>
      </c>
    </row>
    <row r="1649" spans="4:11" ht="15.75" thickBot="1">
      <c r="D1649" s="8"/>
      <c r="E1649" s="15" t="s">
        <v>24</v>
      </c>
      <c r="F1649" s="15" t="s">
        <v>18</v>
      </c>
      <c r="G1649" s="17" t="s">
        <v>178</v>
      </c>
      <c r="H1649" s="17"/>
      <c r="I1649" s="1" t="str">
        <f t="shared" si="76"/>
        <v/>
      </c>
      <c r="J1649" s="1" t="str">
        <f t="shared" si="75"/>
        <v/>
      </c>
      <c r="K1649" s="1">
        <f t="shared" si="77"/>
        <v>0</v>
      </c>
    </row>
    <row r="1650" spans="4:11" ht="15" customHeight="1">
      <c r="D1650" s="6" t="s">
        <v>160</v>
      </c>
      <c r="E1650" s="7"/>
      <c r="F1650" s="7"/>
      <c r="G1650" s="17" t="s">
        <v>181</v>
      </c>
      <c r="H1650" s="17">
        <v>2</v>
      </c>
      <c r="I1650" s="1">
        <f t="shared" si="76"/>
        <v>-1</v>
      </c>
      <c r="J1650" s="1">
        <f t="shared" si="75"/>
        <v>-0.89529360210173081</v>
      </c>
      <c r="K1650" s="1">
        <f t="shared" si="77"/>
        <v>1.096342976083067E-2</v>
      </c>
    </row>
    <row r="1651" spans="4:11" ht="15.75" thickBot="1">
      <c r="D1651" s="8"/>
      <c r="E1651" s="15" t="s">
        <v>0</v>
      </c>
      <c r="F1651" s="15" t="s">
        <v>443</v>
      </c>
      <c r="G1651" s="17" t="s">
        <v>178</v>
      </c>
      <c r="H1651" s="17"/>
      <c r="I1651" s="1" t="str">
        <f t="shared" si="76"/>
        <v/>
      </c>
      <c r="J1651" s="1" t="str">
        <f t="shared" si="75"/>
        <v/>
      </c>
      <c r="K1651" s="1">
        <f t="shared" si="77"/>
        <v>0</v>
      </c>
    </row>
    <row r="1652" spans="4:11" ht="18" customHeight="1">
      <c r="D1652" s="6" t="s">
        <v>160</v>
      </c>
      <c r="E1652" s="7"/>
      <c r="F1652" s="7"/>
      <c r="G1652" s="17" t="s">
        <v>185</v>
      </c>
      <c r="H1652" s="17">
        <v>4</v>
      </c>
      <c r="I1652" s="1">
        <f t="shared" si="76"/>
        <v>1</v>
      </c>
      <c r="J1652" s="1">
        <f t="shared" si="75"/>
        <v>7.7128749417369136E-2</v>
      </c>
      <c r="K1652" s="1">
        <f t="shared" si="77"/>
        <v>0.851691345151949</v>
      </c>
    </row>
    <row r="1653" spans="4:11" ht="15.75" thickBot="1">
      <c r="D1653" s="8"/>
      <c r="E1653" s="15" t="s">
        <v>25</v>
      </c>
      <c r="F1653" s="15" t="s">
        <v>13</v>
      </c>
      <c r="G1653" s="17" t="s">
        <v>178</v>
      </c>
      <c r="H1653" s="17"/>
      <c r="I1653" s="1" t="str">
        <f t="shared" si="76"/>
        <v/>
      </c>
      <c r="J1653" s="1" t="str">
        <f t="shared" si="75"/>
        <v/>
      </c>
      <c r="K1653" s="1">
        <f t="shared" si="77"/>
        <v>0</v>
      </c>
    </row>
    <row r="1654" spans="4:11" ht="15" customHeight="1">
      <c r="D1654" s="6" t="s">
        <v>160</v>
      </c>
      <c r="E1654" s="7"/>
      <c r="F1654" s="7"/>
      <c r="G1654" s="17" t="s">
        <v>182</v>
      </c>
      <c r="H1654" s="17">
        <v>6</v>
      </c>
      <c r="I1654" s="1">
        <f t="shared" si="76"/>
        <v>-3</v>
      </c>
      <c r="J1654" s="1">
        <f t="shared" si="75"/>
        <v>-0.83261497663183093</v>
      </c>
      <c r="K1654" s="1">
        <f t="shared" si="77"/>
        <v>4.6975578395206385</v>
      </c>
    </row>
    <row r="1655" spans="4:11" ht="15.75" thickBot="1">
      <c r="D1655" s="8"/>
      <c r="E1655" s="15" t="s">
        <v>7</v>
      </c>
      <c r="F1655" s="15" t="s">
        <v>41</v>
      </c>
      <c r="G1655" s="17" t="s">
        <v>178</v>
      </c>
      <c r="H1655" s="17"/>
      <c r="I1655" s="1" t="str">
        <f t="shared" si="76"/>
        <v/>
      </c>
      <c r="J1655" s="1" t="str">
        <f t="shared" si="75"/>
        <v/>
      </c>
      <c r="K1655" s="1">
        <f t="shared" si="77"/>
        <v>0</v>
      </c>
    </row>
    <row r="1656" spans="4:11" ht="15" customHeight="1">
      <c r="D1656" s="6" t="s">
        <v>160</v>
      </c>
      <c r="E1656" s="7"/>
      <c r="F1656" s="7"/>
      <c r="G1656" s="17" t="s">
        <v>181</v>
      </c>
      <c r="H1656" s="17">
        <v>3</v>
      </c>
      <c r="I1656" s="1">
        <f t="shared" si="76"/>
        <v>-2</v>
      </c>
      <c r="J1656" s="1">
        <f t="shared" si="75"/>
        <v>-0.76354691027412969</v>
      </c>
      <c r="K1656" s="1">
        <f t="shared" si="77"/>
        <v>1.5288162430926511</v>
      </c>
    </row>
    <row r="1657" spans="4:11" ht="15.75" thickBot="1">
      <c r="D1657" s="8"/>
      <c r="E1657" s="15" t="s">
        <v>36</v>
      </c>
      <c r="F1657" s="15" t="s">
        <v>19</v>
      </c>
      <c r="G1657" s="17" t="s">
        <v>178</v>
      </c>
      <c r="H1657" s="17"/>
      <c r="I1657" s="1" t="str">
        <f t="shared" si="76"/>
        <v/>
      </c>
      <c r="J1657" s="1" t="str">
        <f t="shared" si="75"/>
        <v/>
      </c>
      <c r="K1657" s="1">
        <f t="shared" si="77"/>
        <v>0</v>
      </c>
    </row>
    <row r="1658" spans="4:11" ht="15" customHeight="1">
      <c r="D1658" s="6" t="s">
        <v>160</v>
      </c>
      <c r="E1658" s="7"/>
      <c r="F1658" s="7"/>
      <c r="G1658" s="17" t="s">
        <v>182</v>
      </c>
      <c r="H1658" s="17">
        <v>6</v>
      </c>
      <c r="I1658" s="1">
        <f t="shared" si="76"/>
        <v>-3</v>
      </c>
      <c r="J1658" s="1">
        <f t="shared" si="75"/>
        <v>-0.7886250980106837</v>
      </c>
      <c r="K1658" s="1">
        <f t="shared" si="77"/>
        <v>4.8901789571482581</v>
      </c>
    </row>
    <row r="1659" spans="4:11" ht="15.75" thickBot="1">
      <c r="D1659" s="8"/>
      <c r="E1659" s="15" t="s">
        <v>28</v>
      </c>
      <c r="F1659" s="15" t="s">
        <v>23</v>
      </c>
      <c r="G1659" s="17" t="s">
        <v>178</v>
      </c>
      <c r="H1659" s="17"/>
      <c r="I1659" s="1" t="str">
        <f t="shared" si="76"/>
        <v/>
      </c>
      <c r="J1659" s="1" t="str">
        <f t="shared" si="75"/>
        <v/>
      </c>
      <c r="K1659" s="1">
        <f t="shared" si="77"/>
        <v>0</v>
      </c>
    </row>
    <row r="1660" spans="4:11" ht="15" customHeight="1">
      <c r="D1660" s="6" t="s">
        <v>160</v>
      </c>
      <c r="E1660" s="7"/>
      <c r="F1660" s="7"/>
      <c r="G1660" s="17" t="s">
        <v>185</v>
      </c>
      <c r="H1660" s="17">
        <v>1</v>
      </c>
      <c r="I1660" s="1">
        <f t="shared" si="76"/>
        <v>4</v>
      </c>
      <c r="J1660" s="1">
        <f t="shared" si="75"/>
        <v>1.0629365846646408</v>
      </c>
      <c r="K1660" s="1">
        <f t="shared" si="77"/>
        <v>8.6263415057014043</v>
      </c>
    </row>
    <row r="1661" spans="4:11" ht="15.75" thickBot="1">
      <c r="D1661" s="8"/>
      <c r="E1661" s="15" t="s">
        <v>38</v>
      </c>
      <c r="F1661" s="15" t="s">
        <v>26</v>
      </c>
      <c r="G1661" s="17" t="s">
        <v>178</v>
      </c>
      <c r="H1661" s="17"/>
      <c r="I1661" s="1" t="str">
        <f t="shared" si="76"/>
        <v/>
      </c>
      <c r="J1661" s="1" t="str">
        <f t="shared" si="75"/>
        <v/>
      </c>
      <c r="K1661" s="1">
        <f t="shared" si="77"/>
        <v>0</v>
      </c>
    </row>
    <row r="1662" spans="4:11" ht="15" customHeight="1">
      <c r="D1662" s="6" t="s">
        <v>160</v>
      </c>
      <c r="E1662" s="7"/>
      <c r="F1662" s="7"/>
      <c r="G1662" s="17" t="s">
        <v>181</v>
      </c>
      <c r="H1662" s="17">
        <v>4</v>
      </c>
      <c r="I1662" s="1">
        <f t="shared" si="76"/>
        <v>-3</v>
      </c>
      <c r="J1662" s="1">
        <f t="shared" si="75"/>
        <v>-3.9181568679765633E-2</v>
      </c>
      <c r="K1662" s="1">
        <f t="shared" si="77"/>
        <v>8.7664457832456133</v>
      </c>
    </row>
    <row r="1663" spans="4:11" ht="15.75" thickBot="1">
      <c r="D1663" s="8"/>
      <c r="E1663" s="15" t="s">
        <v>21</v>
      </c>
      <c r="F1663" s="15" t="s">
        <v>22</v>
      </c>
      <c r="G1663" s="17" t="s">
        <v>178</v>
      </c>
      <c r="H1663" s="17"/>
      <c r="I1663" s="1" t="str">
        <f t="shared" si="76"/>
        <v/>
      </c>
      <c r="J1663" s="1" t="str">
        <f t="shared" si="75"/>
        <v/>
      </c>
      <c r="K1663" s="1">
        <f t="shared" si="77"/>
        <v>0</v>
      </c>
    </row>
    <row r="1664" spans="4:11" ht="15" customHeight="1">
      <c r="D1664" s="6" t="s">
        <v>160</v>
      </c>
      <c r="E1664" s="7"/>
      <c r="F1664" s="7"/>
      <c r="G1664" s="17" t="s">
        <v>180</v>
      </c>
      <c r="H1664" s="17">
        <v>3</v>
      </c>
      <c r="I1664" s="1">
        <f t="shared" si="76"/>
        <v>-1</v>
      </c>
      <c r="J1664" s="1">
        <f t="shared" si="75"/>
        <v>-0.11153294793496116</v>
      </c>
      <c r="K1664" s="1">
        <f t="shared" si="77"/>
        <v>0.78937370260514039</v>
      </c>
    </row>
    <row r="1665" spans="4:11" ht="15.75" thickBot="1">
      <c r="D1665" s="8"/>
      <c r="E1665" s="15" t="s">
        <v>3</v>
      </c>
      <c r="F1665" s="15" t="s">
        <v>4</v>
      </c>
      <c r="G1665" s="17" t="s">
        <v>178</v>
      </c>
      <c r="H1665" s="17"/>
      <c r="I1665" s="1" t="str">
        <f t="shared" si="76"/>
        <v/>
      </c>
      <c r="J1665" s="1" t="str">
        <f t="shared" si="75"/>
        <v/>
      </c>
      <c r="K1665" s="1">
        <f t="shared" si="77"/>
        <v>0</v>
      </c>
    </row>
    <row r="1666" spans="4:11" ht="15" customHeight="1">
      <c r="D1666" s="6" t="s">
        <v>160</v>
      </c>
      <c r="E1666" s="7"/>
      <c r="F1666" s="7"/>
      <c r="G1666" s="17" t="s">
        <v>181</v>
      </c>
      <c r="H1666" s="17">
        <v>3</v>
      </c>
      <c r="I1666" s="1">
        <f t="shared" si="76"/>
        <v>-2</v>
      </c>
      <c r="J1666" s="1">
        <f t="shared" si="75"/>
        <v>0.33920203200602828</v>
      </c>
      <c r="K1666" s="1">
        <f t="shared" si="77"/>
        <v>5.4718661465411316</v>
      </c>
    </row>
    <row r="1667" spans="4:11" ht="15.75" thickBot="1">
      <c r="D1667" s="8"/>
      <c r="E1667" s="15" t="s">
        <v>12</v>
      </c>
      <c r="F1667" s="15" t="s">
        <v>34</v>
      </c>
      <c r="G1667" s="17" t="s">
        <v>178</v>
      </c>
      <c r="H1667" s="17"/>
      <c r="I1667" s="1" t="str">
        <f t="shared" si="76"/>
        <v/>
      </c>
      <c r="J1667" s="1" t="str">
        <f t="shared" ref="J1667:J1730" si="78">IF(F1668="","",VLOOKUP(F1668,$A$2:$B$31,2)+$B$33-VLOOKUP(E1668,$A$2:$B$31,2))</f>
        <v/>
      </c>
      <c r="K1667" s="1">
        <f t="shared" si="77"/>
        <v>0</v>
      </c>
    </row>
    <row r="1668" spans="4:11" ht="15" customHeight="1">
      <c r="D1668" s="6" t="s">
        <v>161</v>
      </c>
      <c r="E1668" s="7"/>
      <c r="F1668" s="7"/>
      <c r="G1668" s="17" t="s">
        <v>181</v>
      </c>
      <c r="H1668" s="17">
        <v>2</v>
      </c>
      <c r="I1668" s="1">
        <f t="shared" ref="I1668:I1731" si="79">IF(G1668="","",G1668-H1668)</f>
        <v>-1</v>
      </c>
      <c r="J1668" s="1">
        <f t="shared" si="78"/>
        <v>-0.270762512659104</v>
      </c>
      <c r="K1668" s="1">
        <f t="shared" ref="K1668:K1731" si="80">IF(J1668="",0,(I1668-J1668)^2)</f>
        <v>0.53178731294326342</v>
      </c>
    </row>
    <row r="1669" spans="4:11" ht="15.75" thickBot="1">
      <c r="D1669" s="8"/>
      <c r="E1669" s="15" t="s">
        <v>11</v>
      </c>
      <c r="F1669" s="15" t="s">
        <v>20</v>
      </c>
      <c r="G1669" s="17" t="s">
        <v>178</v>
      </c>
      <c r="H1669" s="17"/>
      <c r="I1669" s="1" t="str">
        <f t="shared" si="79"/>
        <v/>
      </c>
      <c r="J1669" s="1" t="str">
        <f t="shared" si="78"/>
        <v/>
      </c>
      <c r="K1669" s="1">
        <f t="shared" si="80"/>
        <v>0</v>
      </c>
    </row>
    <row r="1670" spans="4:11" ht="18" customHeight="1">
      <c r="D1670" s="6" t="s">
        <v>161</v>
      </c>
      <c r="E1670" s="7"/>
      <c r="F1670" s="7"/>
      <c r="G1670" s="17" t="s">
        <v>180</v>
      </c>
      <c r="H1670" s="17">
        <v>1</v>
      </c>
      <c r="I1670" s="1">
        <f t="shared" si="79"/>
        <v>1</v>
      </c>
      <c r="J1670" s="1">
        <f t="shared" si="78"/>
        <v>0.77435763647223155</v>
      </c>
      <c r="K1670" s="1">
        <f t="shared" si="80"/>
        <v>5.0914476218397613E-2</v>
      </c>
    </row>
    <row r="1671" spans="4:11" ht="15.75" thickBot="1">
      <c r="D1671" s="8"/>
      <c r="E1671" s="15" t="s">
        <v>39</v>
      </c>
      <c r="F1671" s="15" t="s">
        <v>14</v>
      </c>
      <c r="G1671" s="17" t="s">
        <v>178</v>
      </c>
      <c r="H1671" s="17"/>
      <c r="I1671" s="1" t="str">
        <f t="shared" si="79"/>
        <v/>
      </c>
      <c r="J1671" s="1" t="str">
        <f t="shared" si="78"/>
        <v/>
      </c>
      <c r="K1671" s="1">
        <f t="shared" si="80"/>
        <v>0</v>
      </c>
    </row>
    <row r="1672" spans="4:11" ht="15" customHeight="1">
      <c r="D1672" s="6" t="s">
        <v>161</v>
      </c>
      <c r="E1672" s="7"/>
      <c r="F1672" s="7"/>
      <c r="G1672" s="17" t="s">
        <v>180</v>
      </c>
      <c r="H1672" s="17">
        <v>1</v>
      </c>
      <c r="I1672" s="1">
        <f t="shared" si="79"/>
        <v>1</v>
      </c>
      <c r="J1672" s="1">
        <f t="shared" si="78"/>
        <v>1.076751625699174</v>
      </c>
      <c r="K1672" s="1">
        <f t="shared" si="80"/>
        <v>5.8908120474661131E-3</v>
      </c>
    </row>
    <row r="1673" spans="4:11" ht="15.75" thickBot="1">
      <c r="D1673" s="8"/>
      <c r="E1673" s="15" t="s">
        <v>1</v>
      </c>
      <c r="F1673" s="15" t="s">
        <v>8</v>
      </c>
      <c r="G1673" s="17" t="s">
        <v>178</v>
      </c>
      <c r="H1673" s="17"/>
      <c r="I1673" s="1" t="str">
        <f t="shared" si="79"/>
        <v/>
      </c>
      <c r="J1673" s="1" t="str">
        <f t="shared" si="78"/>
        <v/>
      </c>
      <c r="K1673" s="1">
        <f t="shared" si="80"/>
        <v>0</v>
      </c>
    </row>
    <row r="1674" spans="4:11" ht="15" customHeight="1">
      <c r="D1674" s="6" t="s">
        <v>161</v>
      </c>
      <c r="E1674" s="7"/>
      <c r="F1674" s="7"/>
      <c r="G1674" s="17" t="s">
        <v>185</v>
      </c>
      <c r="H1674" s="17">
        <v>3</v>
      </c>
      <c r="I1674" s="1">
        <f t="shared" si="79"/>
        <v>2</v>
      </c>
      <c r="J1674" s="1">
        <f t="shared" si="78"/>
        <v>0.961798342323263</v>
      </c>
      <c r="K1674" s="1">
        <f t="shared" si="80"/>
        <v>1.0778626820027246</v>
      </c>
    </row>
    <row r="1675" spans="4:11" ht="15.75" thickBot="1">
      <c r="D1675" s="8"/>
      <c r="E1675" s="15" t="s">
        <v>12</v>
      </c>
      <c r="F1675" s="15" t="s">
        <v>10</v>
      </c>
      <c r="G1675" s="17" t="s">
        <v>178</v>
      </c>
      <c r="H1675" s="17"/>
      <c r="I1675" s="1" t="str">
        <f t="shared" si="79"/>
        <v/>
      </c>
      <c r="J1675" s="1" t="str">
        <f t="shared" si="78"/>
        <v/>
      </c>
      <c r="K1675" s="1">
        <f t="shared" si="80"/>
        <v>0</v>
      </c>
    </row>
    <row r="1676" spans="4:11" ht="15" customHeight="1">
      <c r="D1676" s="6" t="s">
        <v>161</v>
      </c>
      <c r="E1676" s="7"/>
      <c r="F1676" s="7"/>
      <c r="G1676" s="17" t="s">
        <v>185</v>
      </c>
      <c r="H1676" s="17">
        <v>2</v>
      </c>
      <c r="I1676" s="1">
        <f t="shared" si="79"/>
        <v>3</v>
      </c>
      <c r="J1676" s="1">
        <f t="shared" si="78"/>
        <v>0.57713829422823437</v>
      </c>
      <c r="K1676" s="1">
        <f t="shared" si="80"/>
        <v>5.87025884529527</v>
      </c>
    </row>
    <row r="1677" spans="4:11" ht="15.75" thickBot="1">
      <c r="D1677" s="8"/>
      <c r="E1677" s="15" t="s">
        <v>37</v>
      </c>
      <c r="F1677" s="15" t="s">
        <v>33</v>
      </c>
      <c r="G1677" s="17" t="s">
        <v>178</v>
      </c>
      <c r="H1677" s="17"/>
      <c r="I1677" s="1" t="str">
        <f t="shared" si="79"/>
        <v/>
      </c>
      <c r="J1677" s="1" t="str">
        <f t="shared" si="78"/>
        <v/>
      </c>
      <c r="K1677" s="1">
        <f t="shared" si="80"/>
        <v>0</v>
      </c>
    </row>
    <row r="1678" spans="4:11" ht="15" customHeight="1">
      <c r="D1678" s="6" t="s">
        <v>162</v>
      </c>
      <c r="E1678" s="7"/>
      <c r="F1678" s="7"/>
      <c r="G1678" s="17" t="s">
        <v>183</v>
      </c>
      <c r="H1678" s="17">
        <v>5</v>
      </c>
      <c r="I1678" s="1">
        <f t="shared" si="79"/>
        <v>1</v>
      </c>
      <c r="J1678" s="1">
        <f t="shared" si="78"/>
        <v>0</v>
      </c>
      <c r="K1678" s="1">
        <f t="shared" si="80"/>
        <v>1</v>
      </c>
    </row>
    <row r="1679" spans="4:11" ht="15.75" thickBot="1">
      <c r="D1679" s="8"/>
      <c r="E1679" s="15" t="s">
        <v>38</v>
      </c>
      <c r="F1679" s="15" t="s">
        <v>41</v>
      </c>
      <c r="G1679" s="17" t="s">
        <v>178</v>
      </c>
      <c r="H1679" s="17"/>
      <c r="I1679" s="1" t="str">
        <f t="shared" si="79"/>
        <v/>
      </c>
      <c r="J1679" s="1" t="str">
        <f t="shared" si="78"/>
        <v/>
      </c>
      <c r="K1679" s="1">
        <f t="shared" si="80"/>
        <v>0</v>
      </c>
    </row>
    <row r="1680" spans="4:11" ht="18" customHeight="1">
      <c r="D1680" s="6" t="s">
        <v>162</v>
      </c>
      <c r="E1680" s="7"/>
      <c r="F1680" s="7"/>
      <c r="G1680" s="17" t="s">
        <v>183</v>
      </c>
      <c r="H1680" s="17">
        <v>3</v>
      </c>
      <c r="I1680" s="1">
        <f t="shared" si="79"/>
        <v>3</v>
      </c>
      <c r="J1680" s="1">
        <f t="shared" si="78"/>
        <v>-0.52487665617657342</v>
      </c>
      <c r="K1680" s="1">
        <f t="shared" si="80"/>
        <v>12.424755441258542</v>
      </c>
    </row>
    <row r="1681" spans="4:11" ht="15.75" thickBot="1">
      <c r="D1681" s="8"/>
      <c r="E1681" s="15" t="s">
        <v>28</v>
      </c>
      <c r="F1681" s="15" t="s">
        <v>18</v>
      </c>
      <c r="G1681" s="17" t="s">
        <v>178</v>
      </c>
      <c r="H1681" s="17"/>
      <c r="I1681" s="1" t="str">
        <f t="shared" si="79"/>
        <v/>
      </c>
      <c r="J1681" s="1" t="str">
        <f t="shared" si="78"/>
        <v/>
      </c>
      <c r="K1681" s="1">
        <f t="shared" si="80"/>
        <v>0</v>
      </c>
    </row>
    <row r="1682" spans="4:11" ht="18" customHeight="1">
      <c r="D1682" s="6" t="s">
        <v>162</v>
      </c>
      <c r="E1682" s="7"/>
      <c r="F1682" s="7"/>
      <c r="G1682" s="17" t="s">
        <v>180</v>
      </c>
      <c r="H1682" s="17">
        <v>0</v>
      </c>
      <c r="I1682" s="1">
        <f t="shared" si="79"/>
        <v>2</v>
      </c>
      <c r="J1682" s="1">
        <f t="shared" si="78"/>
        <v>0.21943248208037858</v>
      </c>
      <c r="K1682" s="1">
        <f t="shared" si="80"/>
        <v>3.1704206858704413</v>
      </c>
    </row>
    <row r="1683" spans="4:11" ht="15.75" thickBot="1">
      <c r="D1683" s="8"/>
      <c r="E1683" s="15" t="s">
        <v>443</v>
      </c>
      <c r="F1683" s="15" t="s">
        <v>13</v>
      </c>
      <c r="G1683" s="17" t="s">
        <v>178</v>
      </c>
      <c r="H1683" s="17"/>
      <c r="I1683" s="1" t="str">
        <f t="shared" si="79"/>
        <v/>
      </c>
      <c r="J1683" s="1" t="str">
        <f t="shared" si="78"/>
        <v/>
      </c>
      <c r="K1683" s="1">
        <f t="shared" si="80"/>
        <v>0</v>
      </c>
    </row>
    <row r="1684" spans="4:11" ht="15" customHeight="1">
      <c r="D1684" s="6" t="s">
        <v>162</v>
      </c>
      <c r="E1684" s="7"/>
      <c r="F1684" s="7"/>
      <c r="G1684" s="17" t="s">
        <v>184</v>
      </c>
      <c r="H1684" s="17">
        <v>5</v>
      </c>
      <c r="I1684" s="1">
        <f t="shared" si="79"/>
        <v>-1</v>
      </c>
      <c r="J1684" s="1">
        <f t="shared" si="78"/>
        <v>-1.0847882369687767</v>
      </c>
      <c r="K1684" s="1">
        <f t="shared" si="80"/>
        <v>7.1890451282734299E-3</v>
      </c>
    </row>
    <row r="1685" spans="4:11" ht="15.75" thickBot="1">
      <c r="D1685" s="8"/>
      <c r="E1685" s="15" t="s">
        <v>24</v>
      </c>
      <c r="F1685" s="15" t="s">
        <v>25</v>
      </c>
      <c r="G1685" s="17" t="s">
        <v>178</v>
      </c>
      <c r="H1685" s="17"/>
      <c r="I1685" s="1" t="str">
        <f t="shared" si="79"/>
        <v/>
      </c>
      <c r="J1685" s="1" t="str">
        <f t="shared" si="78"/>
        <v/>
      </c>
      <c r="K1685" s="1">
        <f t="shared" si="80"/>
        <v>0</v>
      </c>
    </row>
    <row r="1686" spans="4:11" ht="15" customHeight="1">
      <c r="D1686" s="6" t="s">
        <v>162</v>
      </c>
      <c r="E1686" s="7"/>
      <c r="F1686" s="7"/>
      <c r="G1686" s="17" t="s">
        <v>180</v>
      </c>
      <c r="H1686" s="17">
        <v>5</v>
      </c>
      <c r="I1686" s="1">
        <f t="shared" si="79"/>
        <v>-3</v>
      </c>
      <c r="J1686" s="1">
        <f t="shared" si="78"/>
        <v>-0.48865647742420038</v>
      </c>
      <c r="K1686" s="1">
        <f t="shared" si="80"/>
        <v>6.3068462883834258</v>
      </c>
    </row>
    <row r="1687" spans="4:11" ht="15.75" thickBot="1">
      <c r="D1687" s="8"/>
      <c r="E1687" s="15" t="s">
        <v>26</v>
      </c>
      <c r="F1687" s="15" t="s">
        <v>22</v>
      </c>
      <c r="G1687" s="17" t="s">
        <v>178</v>
      </c>
      <c r="H1687" s="17"/>
      <c r="I1687" s="1" t="str">
        <f t="shared" si="79"/>
        <v/>
      </c>
      <c r="J1687" s="1" t="str">
        <f t="shared" si="78"/>
        <v/>
      </c>
      <c r="K1687" s="1">
        <f t="shared" si="80"/>
        <v>0</v>
      </c>
    </row>
    <row r="1688" spans="4:11" ht="18" customHeight="1">
      <c r="D1688" s="6" t="s">
        <v>162</v>
      </c>
      <c r="E1688" s="7"/>
      <c r="F1688" s="7"/>
      <c r="G1688" s="17" t="s">
        <v>182</v>
      </c>
      <c r="H1688" s="17">
        <v>4</v>
      </c>
      <c r="I1688" s="1">
        <f t="shared" si="79"/>
        <v>-1</v>
      </c>
      <c r="J1688" s="1">
        <f t="shared" si="78"/>
        <v>-0.22555307357976062</v>
      </c>
      <c r="K1688" s="1">
        <f t="shared" si="80"/>
        <v>0.59976804184175569</v>
      </c>
    </row>
    <row r="1689" spans="4:11" ht="15.75" thickBot="1">
      <c r="D1689" s="8"/>
      <c r="E1689" s="15" t="s">
        <v>2</v>
      </c>
      <c r="F1689" s="15" t="s">
        <v>4</v>
      </c>
      <c r="G1689" s="17" t="s">
        <v>178</v>
      </c>
      <c r="H1689" s="17"/>
      <c r="I1689" s="1" t="str">
        <f t="shared" si="79"/>
        <v/>
      </c>
      <c r="J1689" s="1" t="str">
        <f t="shared" si="78"/>
        <v/>
      </c>
      <c r="K1689" s="1">
        <f t="shared" si="80"/>
        <v>0</v>
      </c>
    </row>
    <row r="1690" spans="4:11" ht="15" customHeight="1">
      <c r="D1690" s="6" t="s">
        <v>162</v>
      </c>
      <c r="E1690" s="7"/>
      <c r="F1690" s="7"/>
      <c r="G1690" s="17" t="s">
        <v>180</v>
      </c>
      <c r="H1690" s="17">
        <v>3</v>
      </c>
      <c r="I1690" s="1">
        <f t="shared" si="79"/>
        <v>-1</v>
      </c>
      <c r="J1690" s="1">
        <f t="shared" si="78"/>
        <v>0.24567290265055419</v>
      </c>
      <c r="K1690" s="1">
        <f t="shared" si="80"/>
        <v>1.551700980397857</v>
      </c>
    </row>
    <row r="1691" spans="4:11" ht="15.75" thickBot="1">
      <c r="D1691" s="8"/>
      <c r="E1691" s="15" t="s">
        <v>23</v>
      </c>
      <c r="F1691" s="15" t="s">
        <v>3</v>
      </c>
      <c r="G1691" s="17" t="s">
        <v>178</v>
      </c>
      <c r="H1691" s="17"/>
      <c r="I1691" s="1" t="str">
        <f t="shared" si="79"/>
        <v/>
      </c>
      <c r="J1691" s="1" t="str">
        <f t="shared" si="78"/>
        <v/>
      </c>
      <c r="K1691" s="1">
        <f t="shared" si="80"/>
        <v>0</v>
      </c>
    </row>
    <row r="1692" spans="4:11" ht="15" customHeight="1">
      <c r="D1692" s="6" t="s">
        <v>162</v>
      </c>
      <c r="E1692" s="7"/>
      <c r="F1692" s="7"/>
      <c r="G1692" s="17" t="s">
        <v>180</v>
      </c>
      <c r="H1692" s="17">
        <v>3</v>
      </c>
      <c r="I1692" s="1">
        <f t="shared" si="79"/>
        <v>-1</v>
      </c>
      <c r="J1692" s="1">
        <f t="shared" si="78"/>
        <v>0.44143675966532214</v>
      </c>
      <c r="K1692" s="1">
        <f t="shared" si="80"/>
        <v>2.0777399321144636</v>
      </c>
    </row>
    <row r="1693" spans="4:11" ht="15.75" thickBot="1">
      <c r="D1693" s="8"/>
      <c r="E1693" s="15" t="s">
        <v>37</v>
      </c>
      <c r="F1693" s="15" t="s">
        <v>34</v>
      </c>
      <c r="G1693" s="17" t="s">
        <v>178</v>
      </c>
      <c r="H1693" s="17"/>
      <c r="I1693" s="1" t="str">
        <f t="shared" si="79"/>
        <v/>
      </c>
      <c r="J1693" s="1" t="str">
        <f t="shared" si="78"/>
        <v/>
      </c>
      <c r="K1693" s="1">
        <f t="shared" si="80"/>
        <v>0</v>
      </c>
    </row>
    <row r="1694" spans="4:11" ht="15" customHeight="1">
      <c r="D1694" s="6" t="s">
        <v>163</v>
      </c>
      <c r="E1694" s="7"/>
      <c r="F1694" s="7"/>
      <c r="G1694" s="17" t="s">
        <v>185</v>
      </c>
      <c r="H1694" s="17">
        <v>2</v>
      </c>
      <c r="I1694" s="1">
        <f t="shared" si="79"/>
        <v>3</v>
      </c>
      <c r="J1694" s="1">
        <f t="shared" si="78"/>
        <v>-2.0693123270916658E-2</v>
      </c>
      <c r="K1694" s="1">
        <f t="shared" si="80"/>
        <v>9.1245869449762047</v>
      </c>
    </row>
    <row r="1695" spans="4:11" ht="30.75" thickBot="1">
      <c r="D1695" s="8"/>
      <c r="E1695" s="15" t="s">
        <v>7</v>
      </c>
      <c r="F1695" s="15" t="s">
        <v>1</v>
      </c>
      <c r="G1695" s="17" t="s">
        <v>178</v>
      </c>
      <c r="H1695" s="17"/>
      <c r="I1695" s="1" t="str">
        <f t="shared" si="79"/>
        <v/>
      </c>
      <c r="J1695" s="1" t="str">
        <f t="shared" si="78"/>
        <v/>
      </c>
      <c r="K1695" s="1">
        <f t="shared" si="80"/>
        <v>0</v>
      </c>
    </row>
    <row r="1696" spans="4:11" ht="15" customHeight="1">
      <c r="D1696" s="6" t="s">
        <v>163</v>
      </c>
      <c r="E1696" s="7"/>
      <c r="F1696" s="7"/>
      <c r="G1696" s="17" t="s">
        <v>182</v>
      </c>
      <c r="H1696" s="17">
        <v>1</v>
      </c>
      <c r="I1696" s="1">
        <f t="shared" si="79"/>
        <v>2</v>
      </c>
      <c r="J1696" s="1">
        <f t="shared" si="78"/>
        <v>0.16264997899247646</v>
      </c>
      <c r="K1696" s="1">
        <f t="shared" si="80"/>
        <v>3.3758550996963472</v>
      </c>
    </row>
    <row r="1697" spans="4:11" ht="15.75" thickBot="1">
      <c r="D1697" s="8"/>
      <c r="E1697" s="15" t="s">
        <v>12</v>
      </c>
      <c r="F1697" s="15" t="s">
        <v>11</v>
      </c>
      <c r="G1697" s="17" t="s">
        <v>178</v>
      </c>
      <c r="H1697" s="17"/>
      <c r="I1697" s="1" t="str">
        <f t="shared" si="79"/>
        <v/>
      </c>
      <c r="J1697" s="1" t="str">
        <f t="shared" si="78"/>
        <v/>
      </c>
      <c r="K1697" s="1">
        <f t="shared" si="80"/>
        <v>0</v>
      </c>
    </row>
    <row r="1698" spans="4:11" ht="15" customHeight="1">
      <c r="D1698" s="6" t="s">
        <v>163</v>
      </c>
      <c r="E1698" s="7"/>
      <c r="F1698" s="7"/>
      <c r="G1698" s="17" t="s">
        <v>184</v>
      </c>
      <c r="H1698" s="17">
        <v>1</v>
      </c>
      <c r="I1698" s="1">
        <f t="shared" si="79"/>
        <v>3</v>
      </c>
      <c r="J1698" s="1">
        <f t="shared" si="78"/>
        <v>0.90759281447076035</v>
      </c>
      <c r="K1698" s="1">
        <f t="shared" si="80"/>
        <v>4.3781678300543936</v>
      </c>
    </row>
    <row r="1699" spans="4:11" ht="15.75" thickBot="1">
      <c r="D1699" s="8"/>
      <c r="E1699" s="15" t="s">
        <v>41</v>
      </c>
      <c r="F1699" s="15" t="s">
        <v>28</v>
      </c>
      <c r="G1699" s="17" t="s">
        <v>178</v>
      </c>
      <c r="H1699" s="17"/>
      <c r="I1699" s="1" t="str">
        <f t="shared" si="79"/>
        <v/>
      </c>
      <c r="J1699" s="1" t="str">
        <f t="shared" si="78"/>
        <v/>
      </c>
      <c r="K1699" s="1">
        <f t="shared" si="80"/>
        <v>0</v>
      </c>
    </row>
    <row r="1700" spans="4:11" ht="15" customHeight="1">
      <c r="D1700" s="6" t="s">
        <v>163</v>
      </c>
      <c r="E1700" s="7"/>
      <c r="F1700" s="7"/>
      <c r="G1700" s="17" t="s">
        <v>181</v>
      </c>
      <c r="H1700" s="17">
        <v>2</v>
      </c>
      <c r="I1700" s="1">
        <f t="shared" si="79"/>
        <v>-1</v>
      </c>
      <c r="J1700" s="1">
        <f t="shared" si="78"/>
        <v>-0.99680095406982616</v>
      </c>
      <c r="K1700" s="1">
        <f t="shared" si="80"/>
        <v>1.0233894863361798E-5</v>
      </c>
    </row>
    <row r="1701" spans="4:11" ht="15.75" thickBot="1">
      <c r="D1701" s="8"/>
      <c r="E1701" s="15" t="s">
        <v>8</v>
      </c>
      <c r="F1701" s="15" t="s">
        <v>36</v>
      </c>
      <c r="G1701" s="17" t="s">
        <v>178</v>
      </c>
      <c r="H1701" s="17"/>
      <c r="I1701" s="1" t="str">
        <f t="shared" si="79"/>
        <v/>
      </c>
      <c r="J1701" s="1" t="str">
        <f t="shared" si="78"/>
        <v/>
      </c>
      <c r="K1701" s="1">
        <f t="shared" si="80"/>
        <v>0</v>
      </c>
    </row>
    <row r="1702" spans="4:11" ht="18" customHeight="1">
      <c r="D1702" s="6" t="s">
        <v>163</v>
      </c>
      <c r="E1702" s="7"/>
      <c r="F1702" s="7"/>
      <c r="G1702" s="17" t="s">
        <v>182</v>
      </c>
      <c r="H1702" s="17">
        <v>2</v>
      </c>
      <c r="I1702" s="1">
        <f t="shared" si="79"/>
        <v>1</v>
      </c>
      <c r="J1702" s="1">
        <f t="shared" si="78"/>
        <v>0.28898688989563937</v>
      </c>
      <c r="K1702" s="1">
        <f t="shared" si="80"/>
        <v>0.50553964274027563</v>
      </c>
    </row>
    <row r="1703" spans="4:11" ht="15.75" thickBot="1">
      <c r="D1703" s="8"/>
      <c r="E1703" s="15" t="s">
        <v>14</v>
      </c>
      <c r="F1703" s="15" t="s">
        <v>0</v>
      </c>
      <c r="G1703" s="17" t="s">
        <v>178</v>
      </c>
      <c r="H1703" s="17"/>
      <c r="I1703" s="1" t="str">
        <f t="shared" si="79"/>
        <v/>
      </c>
      <c r="J1703" s="1" t="str">
        <f t="shared" si="78"/>
        <v/>
      </c>
      <c r="K1703" s="1">
        <f t="shared" si="80"/>
        <v>0</v>
      </c>
    </row>
    <row r="1704" spans="4:11" ht="18" customHeight="1">
      <c r="D1704" s="6" t="s">
        <v>163</v>
      </c>
      <c r="E1704" s="7"/>
      <c r="F1704" s="7"/>
      <c r="G1704" s="17" t="s">
        <v>184</v>
      </c>
      <c r="H1704" s="17">
        <v>1</v>
      </c>
      <c r="I1704" s="1">
        <f t="shared" si="79"/>
        <v>3</v>
      </c>
      <c r="J1704" s="1">
        <f t="shared" si="78"/>
        <v>-0.58626544088704691</v>
      </c>
      <c r="K1704" s="1">
        <f t="shared" si="80"/>
        <v>12.861299812500764</v>
      </c>
    </row>
    <row r="1705" spans="4:11" ht="15.75" thickBot="1">
      <c r="D1705" s="8"/>
      <c r="E1705" s="15" t="s">
        <v>21</v>
      </c>
      <c r="F1705" s="15" t="s">
        <v>39</v>
      </c>
      <c r="G1705" s="17" t="s">
        <v>178</v>
      </c>
      <c r="H1705" s="17"/>
      <c r="I1705" s="1" t="str">
        <f t="shared" si="79"/>
        <v/>
      </c>
      <c r="J1705" s="1" t="str">
        <f t="shared" si="78"/>
        <v/>
      </c>
      <c r="K1705" s="1">
        <f t="shared" si="80"/>
        <v>0</v>
      </c>
    </row>
    <row r="1706" spans="4:11" ht="15" customHeight="1">
      <c r="D1706" s="6" t="s">
        <v>163</v>
      </c>
      <c r="E1706" s="7"/>
      <c r="F1706" s="7"/>
      <c r="G1706" s="17" t="s">
        <v>181</v>
      </c>
      <c r="H1706" s="17">
        <v>5</v>
      </c>
      <c r="I1706" s="1">
        <f t="shared" si="79"/>
        <v>-4</v>
      </c>
      <c r="J1706" s="1">
        <f t="shared" si="78"/>
        <v>-0.44771619419418585</v>
      </c>
      <c r="K1706" s="1">
        <f t="shared" si="80"/>
        <v>12.618720236990239</v>
      </c>
    </row>
    <row r="1707" spans="4:11" ht="15.75" thickBot="1">
      <c r="D1707" s="8"/>
      <c r="E1707" s="15" t="s">
        <v>33</v>
      </c>
      <c r="F1707" s="15" t="s">
        <v>19</v>
      </c>
      <c r="G1707" s="17" t="s">
        <v>178</v>
      </c>
      <c r="H1707" s="17"/>
      <c r="I1707" s="1" t="str">
        <f t="shared" si="79"/>
        <v/>
      </c>
      <c r="J1707" s="1" t="str">
        <f t="shared" si="78"/>
        <v/>
      </c>
      <c r="K1707" s="1">
        <f t="shared" si="80"/>
        <v>0</v>
      </c>
    </row>
    <row r="1708" spans="4:11" ht="18" customHeight="1">
      <c r="D1708" s="6" t="s">
        <v>164</v>
      </c>
      <c r="E1708" s="7"/>
      <c r="F1708" s="7"/>
      <c r="G1708" s="17" t="s">
        <v>180</v>
      </c>
      <c r="H1708" s="17">
        <v>4</v>
      </c>
      <c r="I1708" s="1">
        <f t="shared" si="79"/>
        <v>-2</v>
      </c>
      <c r="J1708" s="1">
        <f t="shared" si="78"/>
        <v>0.18746899899488767</v>
      </c>
      <c r="K1708" s="1">
        <f t="shared" si="80"/>
        <v>4.7850206215636959</v>
      </c>
    </row>
    <row r="1709" spans="4:11" ht="15.75" thickBot="1">
      <c r="D1709" s="8"/>
      <c r="E1709" s="15" t="s">
        <v>443</v>
      </c>
      <c r="F1709" s="15" t="s">
        <v>18</v>
      </c>
      <c r="G1709" s="17" t="s">
        <v>178</v>
      </c>
      <c r="H1709" s="17"/>
      <c r="I1709" s="1" t="str">
        <f t="shared" si="79"/>
        <v/>
      </c>
      <c r="J1709" s="1" t="str">
        <f t="shared" si="78"/>
        <v/>
      </c>
      <c r="K1709" s="1">
        <f t="shared" si="80"/>
        <v>0</v>
      </c>
    </row>
    <row r="1710" spans="4:11" ht="18" customHeight="1">
      <c r="D1710" s="6" t="s">
        <v>164</v>
      </c>
      <c r="E1710" s="7"/>
      <c r="F1710" s="7"/>
      <c r="G1710" s="17" t="s">
        <v>182</v>
      </c>
      <c r="H1710" s="17">
        <v>2</v>
      </c>
      <c r="I1710" s="1">
        <f t="shared" si="79"/>
        <v>1</v>
      </c>
      <c r="J1710" s="1">
        <f t="shared" si="78"/>
        <v>-0.42165393270492757</v>
      </c>
      <c r="K1710" s="1">
        <f t="shared" si="80"/>
        <v>2.0210999043753866</v>
      </c>
    </row>
    <row r="1711" spans="4:11" ht="15.75" thickBot="1">
      <c r="D1711" s="8"/>
      <c r="E1711" s="15" t="s">
        <v>13</v>
      </c>
      <c r="F1711" s="15" t="s">
        <v>20</v>
      </c>
      <c r="G1711" s="17" t="s">
        <v>178</v>
      </c>
      <c r="H1711" s="17"/>
      <c r="I1711" s="1" t="str">
        <f t="shared" si="79"/>
        <v/>
      </c>
      <c r="J1711" s="1" t="str">
        <f t="shared" si="78"/>
        <v/>
      </c>
      <c r="K1711" s="1">
        <f t="shared" si="80"/>
        <v>0</v>
      </c>
    </row>
    <row r="1712" spans="4:11" ht="15" customHeight="1">
      <c r="D1712" s="6" t="s">
        <v>164</v>
      </c>
      <c r="E1712" s="7"/>
      <c r="F1712" s="7"/>
      <c r="G1712" s="17" t="s">
        <v>182</v>
      </c>
      <c r="H1712" s="17">
        <v>2</v>
      </c>
      <c r="I1712" s="1">
        <f t="shared" si="79"/>
        <v>1</v>
      </c>
      <c r="J1712" s="1">
        <f t="shared" si="78"/>
        <v>0.13413995471559303</v>
      </c>
      <c r="K1712" s="1">
        <f t="shared" si="80"/>
        <v>0.74971361801991532</v>
      </c>
    </row>
    <row r="1713" spans="4:11" ht="15.75" thickBot="1">
      <c r="D1713" s="8"/>
      <c r="E1713" s="15" t="s">
        <v>23</v>
      </c>
      <c r="F1713" s="15" t="s">
        <v>4</v>
      </c>
      <c r="G1713" s="17" t="s">
        <v>178</v>
      </c>
      <c r="H1713" s="17"/>
      <c r="I1713" s="1" t="str">
        <f t="shared" si="79"/>
        <v/>
      </c>
      <c r="J1713" s="1" t="str">
        <f t="shared" si="78"/>
        <v/>
      </c>
      <c r="K1713" s="1">
        <f t="shared" si="80"/>
        <v>0</v>
      </c>
    </row>
    <row r="1714" spans="4:11" ht="15" customHeight="1">
      <c r="D1714" s="6" t="s">
        <v>164</v>
      </c>
      <c r="E1714" s="7"/>
      <c r="F1714" s="7"/>
      <c r="G1714" s="17" t="s">
        <v>184</v>
      </c>
      <c r="H1714" s="17">
        <v>1</v>
      </c>
      <c r="I1714" s="1">
        <f t="shared" si="79"/>
        <v>3</v>
      </c>
      <c r="J1714" s="1">
        <f t="shared" si="78"/>
        <v>0.13393983289303435</v>
      </c>
      <c r="K1714" s="1">
        <f t="shared" si="80"/>
        <v>8.2143008814772074</v>
      </c>
    </row>
    <row r="1715" spans="4:11" ht="15.75" thickBot="1">
      <c r="D1715" s="8"/>
      <c r="E1715" s="15" t="s">
        <v>34</v>
      </c>
      <c r="F1715" s="15" t="s">
        <v>22</v>
      </c>
      <c r="G1715" s="17" t="s">
        <v>178</v>
      </c>
      <c r="H1715" s="17"/>
      <c r="I1715" s="1" t="str">
        <f t="shared" si="79"/>
        <v/>
      </c>
      <c r="J1715" s="1" t="str">
        <f t="shared" si="78"/>
        <v/>
      </c>
      <c r="K1715" s="1">
        <f t="shared" si="80"/>
        <v>0</v>
      </c>
    </row>
    <row r="1716" spans="4:11" ht="15" customHeight="1">
      <c r="D1716" s="6" t="s">
        <v>164</v>
      </c>
      <c r="E1716" s="7"/>
      <c r="F1716" s="7"/>
      <c r="G1716" s="17" t="s">
        <v>182</v>
      </c>
      <c r="H1716" s="17">
        <v>4</v>
      </c>
      <c r="I1716" s="1">
        <f t="shared" si="79"/>
        <v>-1</v>
      </c>
      <c r="J1716" s="1">
        <f t="shared" si="78"/>
        <v>0.94367838417565508</v>
      </c>
      <c r="K1716" s="1">
        <f t="shared" si="80"/>
        <v>3.7778856611116853</v>
      </c>
    </row>
    <row r="1717" spans="4:11" ht="15.75" thickBot="1">
      <c r="D1717" s="8"/>
      <c r="E1717" s="15" t="s">
        <v>2</v>
      </c>
      <c r="F1717" s="15" t="s">
        <v>24</v>
      </c>
      <c r="G1717" s="17" t="s">
        <v>178</v>
      </c>
      <c r="H1717" s="17"/>
      <c r="I1717" s="1" t="str">
        <f t="shared" si="79"/>
        <v/>
      </c>
      <c r="J1717" s="1" t="str">
        <f t="shared" si="78"/>
        <v/>
      </c>
      <c r="K1717" s="1">
        <f t="shared" si="80"/>
        <v>0</v>
      </c>
    </row>
    <row r="1718" spans="4:11" ht="15" customHeight="1">
      <c r="D1718" s="6" t="s">
        <v>164</v>
      </c>
      <c r="E1718" s="7"/>
      <c r="F1718" s="7"/>
      <c r="G1718" s="17" t="s">
        <v>184</v>
      </c>
      <c r="H1718" s="17">
        <v>1</v>
      </c>
      <c r="I1718" s="1">
        <f t="shared" si="79"/>
        <v>3</v>
      </c>
      <c r="J1718" s="1">
        <f t="shared" si="78"/>
        <v>1.0640330699825569</v>
      </c>
      <c r="K1718" s="1">
        <f t="shared" si="80"/>
        <v>3.7479679541211635</v>
      </c>
    </row>
    <row r="1719" spans="4:11" ht="15.75" thickBot="1">
      <c r="D1719" s="8"/>
      <c r="E1719" s="15" t="s">
        <v>37</v>
      </c>
      <c r="F1719" s="15" t="s">
        <v>10</v>
      </c>
      <c r="G1719" s="17" t="s">
        <v>178</v>
      </c>
      <c r="H1719" s="17"/>
      <c r="I1719" s="1" t="str">
        <f t="shared" si="79"/>
        <v/>
      </c>
      <c r="J1719" s="1" t="str">
        <f t="shared" si="78"/>
        <v/>
      </c>
      <c r="K1719" s="1">
        <f t="shared" si="80"/>
        <v>0</v>
      </c>
    </row>
    <row r="1720" spans="4:11" ht="15" customHeight="1">
      <c r="D1720" s="6" t="s">
        <v>165</v>
      </c>
      <c r="E1720" s="7"/>
      <c r="F1720" s="7"/>
      <c r="G1720" s="17" t="s">
        <v>180</v>
      </c>
      <c r="H1720" s="17">
        <v>5</v>
      </c>
      <c r="I1720" s="1">
        <f t="shared" si="79"/>
        <v>-3</v>
      </c>
      <c r="J1720" s="1">
        <f t="shared" si="78"/>
        <v>-0.12832561471613246</v>
      </c>
      <c r="K1720" s="1">
        <f t="shared" si="80"/>
        <v>8.2465137750954778</v>
      </c>
    </row>
    <row r="1721" spans="4:11" ht="15.75" thickBot="1">
      <c r="D1721" s="8"/>
      <c r="E1721" s="15" t="s">
        <v>19</v>
      </c>
      <c r="F1721" s="15" t="s">
        <v>41</v>
      </c>
      <c r="G1721" s="17" t="s">
        <v>178</v>
      </c>
      <c r="H1721" s="17"/>
      <c r="I1721" s="1" t="str">
        <f t="shared" si="79"/>
        <v/>
      </c>
      <c r="J1721" s="1" t="str">
        <f t="shared" si="78"/>
        <v/>
      </c>
      <c r="K1721" s="1">
        <f t="shared" si="80"/>
        <v>0</v>
      </c>
    </row>
    <row r="1722" spans="4:11" ht="15" customHeight="1">
      <c r="D1722" s="6" t="s">
        <v>165</v>
      </c>
      <c r="E1722" s="7"/>
      <c r="F1722" s="7"/>
      <c r="G1722" s="17" t="s">
        <v>185</v>
      </c>
      <c r="H1722" s="17">
        <v>4</v>
      </c>
      <c r="I1722" s="1">
        <f t="shared" si="79"/>
        <v>1</v>
      </c>
      <c r="J1722" s="1">
        <f t="shared" si="78"/>
        <v>-0.36464061911063084</v>
      </c>
      <c r="K1722" s="1">
        <f t="shared" si="80"/>
        <v>1.8622440193266458</v>
      </c>
    </row>
    <row r="1723" spans="4:11" ht="15.75" thickBot="1">
      <c r="D1723" s="8"/>
      <c r="E1723" s="15" t="s">
        <v>3</v>
      </c>
      <c r="F1723" s="15" t="s">
        <v>38</v>
      </c>
      <c r="G1723" s="17" t="s">
        <v>178</v>
      </c>
      <c r="H1723" s="17"/>
      <c r="I1723" s="1" t="str">
        <f t="shared" si="79"/>
        <v/>
      </c>
      <c r="J1723" s="1" t="str">
        <f t="shared" si="78"/>
        <v/>
      </c>
      <c r="K1723" s="1">
        <f t="shared" si="80"/>
        <v>0</v>
      </c>
    </row>
    <row r="1724" spans="4:11" ht="15" customHeight="1">
      <c r="D1724" s="6" t="s">
        <v>165</v>
      </c>
      <c r="E1724" s="7"/>
      <c r="F1724" s="7"/>
      <c r="G1724" s="17" t="s">
        <v>182</v>
      </c>
      <c r="H1724" s="17">
        <v>2</v>
      </c>
      <c r="I1724" s="1">
        <f t="shared" si="79"/>
        <v>1</v>
      </c>
      <c r="J1724" s="1">
        <f t="shared" si="78"/>
        <v>-1.076751625699174</v>
      </c>
      <c r="K1724" s="1">
        <f t="shared" si="80"/>
        <v>4.3128973148441627</v>
      </c>
    </row>
    <row r="1725" spans="4:11" ht="30.75" thickBot="1">
      <c r="D1725" s="8"/>
      <c r="E1725" s="15" t="s">
        <v>8</v>
      </c>
      <c r="F1725" s="15" t="s">
        <v>1</v>
      </c>
      <c r="G1725" s="17" t="s">
        <v>178</v>
      </c>
      <c r="H1725" s="17"/>
      <c r="I1725" s="1" t="str">
        <f t="shared" si="79"/>
        <v/>
      </c>
      <c r="J1725" s="1" t="str">
        <f t="shared" si="78"/>
        <v/>
      </c>
      <c r="K1725" s="1">
        <f t="shared" si="80"/>
        <v>0</v>
      </c>
    </row>
    <row r="1726" spans="4:11" ht="15" customHeight="1">
      <c r="D1726" s="6" t="s">
        <v>165</v>
      </c>
      <c r="E1726" s="7"/>
      <c r="F1726" s="7"/>
      <c r="G1726" s="17" t="s">
        <v>180</v>
      </c>
      <c r="H1726" s="17">
        <v>1</v>
      </c>
      <c r="I1726" s="1">
        <f t="shared" si="79"/>
        <v>1</v>
      </c>
      <c r="J1726" s="1">
        <f t="shared" si="78"/>
        <v>-0.56882675529797666</v>
      </c>
      <c r="K1726" s="1">
        <f t="shared" si="80"/>
        <v>2.4612173881387776</v>
      </c>
    </row>
    <row r="1727" spans="4:11" ht="15.75" thickBot="1">
      <c r="D1727" s="8"/>
      <c r="E1727" s="15" t="s">
        <v>7</v>
      </c>
      <c r="F1727" s="15" t="s">
        <v>11</v>
      </c>
      <c r="G1727" s="17" t="s">
        <v>178</v>
      </c>
      <c r="H1727" s="17"/>
      <c r="I1727" s="1" t="str">
        <f t="shared" si="79"/>
        <v/>
      </c>
      <c r="J1727" s="1" t="str">
        <f t="shared" si="78"/>
        <v/>
      </c>
      <c r="K1727" s="1">
        <f t="shared" si="80"/>
        <v>0</v>
      </c>
    </row>
    <row r="1728" spans="4:11" ht="15" customHeight="1">
      <c r="D1728" s="6" t="s">
        <v>165</v>
      </c>
      <c r="E1728" s="7"/>
      <c r="F1728" s="7"/>
      <c r="G1728" s="17" t="s">
        <v>181</v>
      </c>
      <c r="H1728" s="17">
        <v>5</v>
      </c>
      <c r="I1728" s="1">
        <f t="shared" si="79"/>
        <v>-4</v>
      </c>
      <c r="J1728" s="1">
        <f t="shared" si="78"/>
        <v>-0.23641264962093089</v>
      </c>
      <c r="K1728" s="1">
        <f t="shared" si="80"/>
        <v>14.164589743933341</v>
      </c>
    </row>
    <row r="1729" spans="4:11" ht="30.75" thickBot="1">
      <c r="D1729" s="8"/>
      <c r="E1729" s="15" t="s">
        <v>25</v>
      </c>
      <c r="F1729" s="15" t="s">
        <v>12</v>
      </c>
      <c r="G1729" s="17" t="s">
        <v>178</v>
      </c>
      <c r="H1729" s="17"/>
      <c r="I1729" s="1" t="str">
        <f t="shared" si="79"/>
        <v/>
      </c>
      <c r="J1729" s="1" t="str">
        <f t="shared" si="78"/>
        <v/>
      </c>
      <c r="K1729" s="1">
        <f t="shared" si="80"/>
        <v>0</v>
      </c>
    </row>
    <row r="1730" spans="4:11" ht="15" customHeight="1">
      <c r="D1730" s="6" t="s">
        <v>165</v>
      </c>
      <c r="E1730" s="7"/>
      <c r="F1730" s="7"/>
      <c r="G1730" s="17" t="s">
        <v>182</v>
      </c>
      <c r="H1730" s="17">
        <v>2</v>
      </c>
      <c r="I1730" s="1">
        <f t="shared" si="79"/>
        <v>1</v>
      </c>
      <c r="J1730" s="1">
        <f t="shared" si="78"/>
        <v>-0.60630671220609145</v>
      </c>
      <c r="K1730" s="1">
        <f t="shared" si="80"/>
        <v>2.5802212536783431</v>
      </c>
    </row>
    <row r="1731" spans="4:11" ht="15.75" thickBot="1">
      <c r="D1731" s="8"/>
      <c r="E1731" s="15" t="s">
        <v>14</v>
      </c>
      <c r="F1731" s="15" t="s">
        <v>443</v>
      </c>
      <c r="G1731" s="17" t="s">
        <v>178</v>
      </c>
      <c r="H1731" s="17"/>
      <c r="I1731" s="1" t="str">
        <f t="shared" si="79"/>
        <v/>
      </c>
      <c r="J1731" s="1" t="str">
        <f t="shared" ref="J1731:J1794" si="81">IF(F1732="","",VLOOKUP(F1732,$A$2:$B$31,2)+$B$33-VLOOKUP(E1732,$A$2:$B$31,2))</f>
        <v/>
      </c>
      <c r="K1731" s="1">
        <f t="shared" si="80"/>
        <v>0</v>
      </c>
    </row>
    <row r="1732" spans="4:11" ht="18" customHeight="1">
      <c r="D1732" s="6" t="s">
        <v>165</v>
      </c>
      <c r="E1732" s="7"/>
      <c r="F1732" s="7"/>
      <c r="G1732" s="17" t="s">
        <v>185</v>
      </c>
      <c r="H1732" s="17">
        <v>2</v>
      </c>
      <c r="I1732" s="1">
        <f t="shared" ref="I1732:I1795" si="82">IF(G1732="","",G1732-H1732)</f>
        <v>3</v>
      </c>
      <c r="J1732" s="1">
        <f t="shared" si="81"/>
        <v>3.7419867009887753E-2</v>
      </c>
      <c r="K1732" s="1">
        <f t="shared" ref="K1732:K1795" si="83">IF(J1732="",0,(I1732-J1732)^2)</f>
        <v>8.7768810443877108</v>
      </c>
    </row>
    <row r="1733" spans="4:11" ht="15.75" thickBot="1">
      <c r="D1733" s="8"/>
      <c r="E1733" s="15" t="s">
        <v>33</v>
      </c>
      <c r="F1733" s="15" t="s">
        <v>21</v>
      </c>
      <c r="G1733" s="17" t="s">
        <v>178</v>
      </c>
      <c r="H1733" s="17"/>
      <c r="I1733" s="1" t="str">
        <f t="shared" si="82"/>
        <v/>
      </c>
      <c r="J1733" s="1" t="str">
        <f t="shared" si="81"/>
        <v/>
      </c>
      <c r="K1733" s="1">
        <f t="shared" si="83"/>
        <v>0</v>
      </c>
    </row>
    <row r="1734" spans="4:11" ht="15" customHeight="1">
      <c r="D1734" s="6" t="s">
        <v>166</v>
      </c>
      <c r="E1734" s="7"/>
      <c r="F1734" s="7"/>
      <c r="G1734" s="17" t="s">
        <v>182</v>
      </c>
      <c r="H1734" s="17">
        <v>1</v>
      </c>
      <c r="I1734" s="1">
        <f t="shared" si="82"/>
        <v>2</v>
      </c>
      <c r="J1734" s="1">
        <f t="shared" si="81"/>
        <v>1.8886734790600883</v>
      </c>
      <c r="K1734" s="1">
        <f t="shared" si="83"/>
        <v>1.2393594264584596E-2</v>
      </c>
    </row>
    <row r="1735" spans="4:11" ht="15.75" thickBot="1">
      <c r="D1735" s="8"/>
      <c r="E1735" s="15" t="s">
        <v>38</v>
      </c>
      <c r="F1735" s="15" t="s">
        <v>8</v>
      </c>
      <c r="G1735" s="17" t="s">
        <v>178</v>
      </c>
      <c r="H1735" s="17"/>
      <c r="I1735" s="1" t="str">
        <f t="shared" si="82"/>
        <v/>
      </c>
      <c r="J1735" s="1" t="str">
        <f t="shared" si="81"/>
        <v/>
      </c>
      <c r="K1735" s="1">
        <f t="shared" si="83"/>
        <v>0</v>
      </c>
    </row>
    <row r="1736" spans="4:11" ht="15" customHeight="1">
      <c r="D1736" s="6" t="s">
        <v>166</v>
      </c>
      <c r="E1736" s="7"/>
      <c r="F1736" s="7"/>
      <c r="G1736" s="17" t="s">
        <v>180</v>
      </c>
      <c r="H1736" s="17">
        <v>4</v>
      </c>
      <c r="I1736" s="1">
        <f t="shared" si="82"/>
        <v>-2</v>
      </c>
      <c r="J1736" s="1">
        <f t="shared" si="81"/>
        <v>0.52723190587963131</v>
      </c>
      <c r="K1736" s="1">
        <f t="shared" si="83"/>
        <v>6.3869011060959933</v>
      </c>
    </row>
    <row r="1737" spans="4:11" ht="15.75" thickBot="1">
      <c r="D1737" s="8"/>
      <c r="E1737" s="15" t="s">
        <v>3</v>
      </c>
      <c r="F1737" s="15" t="s">
        <v>36</v>
      </c>
      <c r="G1737" s="17" t="s">
        <v>178</v>
      </c>
      <c r="H1737" s="17"/>
      <c r="I1737" s="1" t="str">
        <f t="shared" si="82"/>
        <v/>
      </c>
      <c r="J1737" s="1" t="str">
        <f t="shared" si="81"/>
        <v/>
      </c>
      <c r="K1737" s="1">
        <f t="shared" si="83"/>
        <v>0</v>
      </c>
    </row>
    <row r="1738" spans="4:11" ht="15" customHeight="1">
      <c r="D1738" s="6" t="s">
        <v>166</v>
      </c>
      <c r="E1738" s="7"/>
      <c r="F1738" s="7"/>
      <c r="G1738" s="17" t="s">
        <v>181</v>
      </c>
      <c r="H1738" s="17">
        <v>2</v>
      </c>
      <c r="I1738" s="1">
        <f t="shared" si="82"/>
        <v>-1</v>
      </c>
      <c r="J1738" s="1">
        <f t="shared" si="81"/>
        <v>-0.18294794693026972</v>
      </c>
      <c r="K1738" s="1">
        <f t="shared" si="83"/>
        <v>0.66757405742546139</v>
      </c>
    </row>
    <row r="1739" spans="4:11" ht="15.75" thickBot="1">
      <c r="D1739" s="8"/>
      <c r="E1739" s="15" t="s">
        <v>0</v>
      </c>
      <c r="F1739" s="15" t="s">
        <v>28</v>
      </c>
      <c r="G1739" s="17" t="s">
        <v>178</v>
      </c>
      <c r="H1739" s="17"/>
      <c r="I1739" s="1" t="str">
        <f t="shared" si="82"/>
        <v/>
      </c>
      <c r="J1739" s="1" t="str">
        <f t="shared" si="81"/>
        <v/>
      </c>
      <c r="K1739" s="1">
        <f t="shared" si="83"/>
        <v>0</v>
      </c>
    </row>
    <row r="1740" spans="4:11" ht="18" customHeight="1">
      <c r="D1740" s="6" t="s">
        <v>166</v>
      </c>
      <c r="E1740" s="7"/>
      <c r="F1740" s="7"/>
      <c r="G1740" s="17" t="s">
        <v>181</v>
      </c>
      <c r="H1740" s="17">
        <v>5</v>
      </c>
      <c r="I1740" s="1">
        <f t="shared" si="82"/>
        <v>-4</v>
      </c>
      <c r="J1740" s="1">
        <f t="shared" si="81"/>
        <v>-0.45146450972227115</v>
      </c>
      <c r="K1740" s="1">
        <f t="shared" si="83"/>
        <v>12.592104125760601</v>
      </c>
    </row>
    <row r="1741" spans="4:11" ht="15.75" thickBot="1">
      <c r="D1741" s="8"/>
      <c r="E1741" s="15" t="s">
        <v>2</v>
      </c>
      <c r="F1741" s="15" t="s">
        <v>39</v>
      </c>
      <c r="G1741" s="17" t="s">
        <v>178</v>
      </c>
      <c r="H1741" s="17"/>
      <c r="I1741" s="1" t="str">
        <f t="shared" si="82"/>
        <v/>
      </c>
      <c r="J1741" s="1" t="str">
        <f t="shared" si="81"/>
        <v/>
      </c>
      <c r="K1741" s="1">
        <f t="shared" si="83"/>
        <v>0</v>
      </c>
    </row>
    <row r="1742" spans="4:11" ht="15" customHeight="1">
      <c r="D1742" s="6" t="s">
        <v>166</v>
      </c>
      <c r="E1742" s="7"/>
      <c r="F1742" s="7"/>
      <c r="G1742" s="17" t="s">
        <v>184</v>
      </c>
      <c r="H1742" s="17">
        <v>1</v>
      </c>
      <c r="I1742" s="1">
        <f t="shared" si="82"/>
        <v>3</v>
      </c>
      <c r="J1742" s="1">
        <f t="shared" si="81"/>
        <v>-0.58125439856569017</v>
      </c>
      <c r="K1742" s="1">
        <f t="shared" si="83"/>
        <v>12.825383067246102</v>
      </c>
    </row>
    <row r="1743" spans="4:11" ht="15.75" thickBot="1">
      <c r="D1743" s="8"/>
      <c r="E1743" s="15" t="s">
        <v>22</v>
      </c>
      <c r="F1743" s="15" t="s">
        <v>20</v>
      </c>
      <c r="G1743" s="17" t="s">
        <v>178</v>
      </c>
      <c r="H1743" s="17"/>
      <c r="I1743" s="1" t="str">
        <f t="shared" si="82"/>
        <v/>
      </c>
      <c r="J1743" s="1" t="str">
        <f t="shared" si="81"/>
        <v/>
      </c>
      <c r="K1743" s="1">
        <f t="shared" si="83"/>
        <v>0</v>
      </c>
    </row>
    <row r="1744" spans="4:11" ht="18" customHeight="1">
      <c r="D1744" s="6" t="s">
        <v>166</v>
      </c>
      <c r="E1744" s="7"/>
      <c r="F1744" s="7"/>
      <c r="G1744" s="17" t="s">
        <v>183</v>
      </c>
      <c r="H1744" s="17">
        <v>3</v>
      </c>
      <c r="I1744" s="1">
        <f t="shared" si="82"/>
        <v>3</v>
      </c>
      <c r="J1744" s="1">
        <f t="shared" si="81"/>
        <v>-0.80982891348897112</v>
      </c>
      <c r="K1744" s="1">
        <f t="shared" si="83"/>
        <v>14.514796350056555</v>
      </c>
    </row>
    <row r="1745" spans="4:11" ht="15.75" thickBot="1">
      <c r="D1745" s="8"/>
      <c r="E1745" s="15" t="s">
        <v>10</v>
      </c>
      <c r="F1745" s="15" t="s">
        <v>4</v>
      </c>
      <c r="G1745" s="17" t="s">
        <v>178</v>
      </c>
      <c r="H1745" s="17"/>
      <c r="I1745" s="1" t="str">
        <f t="shared" si="82"/>
        <v/>
      </c>
      <c r="J1745" s="1" t="str">
        <f t="shared" si="81"/>
        <v/>
      </c>
      <c r="K1745" s="1">
        <f t="shared" si="83"/>
        <v>0</v>
      </c>
    </row>
    <row r="1746" spans="4:11" ht="15" customHeight="1">
      <c r="D1746" s="6" t="s">
        <v>166</v>
      </c>
      <c r="E1746" s="7"/>
      <c r="F1746" s="7"/>
      <c r="G1746" s="17" t="s">
        <v>184</v>
      </c>
      <c r="H1746" s="17">
        <v>0</v>
      </c>
      <c r="I1746" s="1">
        <f t="shared" si="82"/>
        <v>4</v>
      </c>
      <c r="J1746" s="1">
        <f t="shared" si="81"/>
        <v>1.3033714124710087</v>
      </c>
      <c r="K1746" s="1">
        <f t="shared" si="83"/>
        <v>7.2718057390786024</v>
      </c>
    </row>
    <row r="1747" spans="4:11" ht="15.75" thickBot="1">
      <c r="D1747" s="8"/>
      <c r="E1747" s="15" t="s">
        <v>23</v>
      </c>
      <c r="F1747" s="15" t="s">
        <v>24</v>
      </c>
      <c r="G1747" s="17" t="s">
        <v>178</v>
      </c>
      <c r="H1747" s="17"/>
      <c r="I1747" s="1" t="str">
        <f t="shared" si="82"/>
        <v/>
      </c>
      <c r="J1747" s="1" t="str">
        <f t="shared" si="81"/>
        <v/>
      </c>
      <c r="K1747" s="1">
        <f t="shared" si="83"/>
        <v>0</v>
      </c>
    </row>
    <row r="1748" spans="4:11" ht="15" customHeight="1">
      <c r="D1748" s="6" t="s">
        <v>167</v>
      </c>
      <c r="E1748" s="7"/>
      <c r="F1748" s="7"/>
      <c r="G1748" s="17" t="s">
        <v>180</v>
      </c>
      <c r="H1748" s="17">
        <v>3</v>
      </c>
      <c r="I1748" s="1">
        <f t="shared" si="82"/>
        <v>-1</v>
      </c>
      <c r="J1748" s="1">
        <f t="shared" si="81"/>
        <v>0.1011382423413778</v>
      </c>
      <c r="K1748" s="1">
        <f t="shared" si="83"/>
        <v>1.2125054287466588</v>
      </c>
    </row>
    <row r="1749" spans="4:11" ht="30.75" thickBot="1">
      <c r="D1749" s="8"/>
      <c r="E1749" s="15" t="s">
        <v>41</v>
      </c>
      <c r="F1749" s="15" t="s">
        <v>12</v>
      </c>
      <c r="G1749" s="17" t="s">
        <v>178</v>
      </c>
      <c r="H1749" s="17"/>
      <c r="I1749" s="1" t="str">
        <f t="shared" si="82"/>
        <v/>
      </c>
      <c r="J1749" s="1" t="str">
        <f t="shared" si="81"/>
        <v/>
      </c>
      <c r="K1749" s="1">
        <f t="shared" si="83"/>
        <v>0</v>
      </c>
    </row>
    <row r="1750" spans="4:11" ht="15" customHeight="1">
      <c r="D1750" s="6" t="s">
        <v>167</v>
      </c>
      <c r="E1750" s="7"/>
      <c r="F1750" s="7"/>
      <c r="G1750" s="17" t="s">
        <v>180</v>
      </c>
      <c r="H1750" s="17">
        <v>3</v>
      </c>
      <c r="I1750" s="1">
        <f t="shared" si="82"/>
        <v>-1</v>
      </c>
      <c r="J1750" s="1">
        <f t="shared" si="81"/>
        <v>0.68359623864478181</v>
      </c>
      <c r="K1750" s="1">
        <f t="shared" si="83"/>
        <v>2.834496294778857</v>
      </c>
    </row>
    <row r="1751" spans="4:11" ht="30.75" thickBot="1">
      <c r="D1751" s="8"/>
      <c r="E1751" s="15" t="s">
        <v>19</v>
      </c>
      <c r="F1751" s="15" t="s">
        <v>1</v>
      </c>
      <c r="G1751" s="17" t="s">
        <v>178</v>
      </c>
      <c r="H1751" s="17"/>
      <c r="I1751" s="1" t="str">
        <f t="shared" si="82"/>
        <v/>
      </c>
      <c r="J1751" s="1" t="str">
        <f t="shared" si="81"/>
        <v/>
      </c>
      <c r="K1751" s="1">
        <f t="shared" si="83"/>
        <v>0</v>
      </c>
    </row>
    <row r="1752" spans="4:11" ht="18" customHeight="1">
      <c r="D1752" s="6" t="s">
        <v>167</v>
      </c>
      <c r="E1752" s="7"/>
      <c r="F1752" s="7"/>
      <c r="G1752" s="17" t="s">
        <v>182</v>
      </c>
      <c r="H1752" s="17">
        <v>4</v>
      </c>
      <c r="I1752" s="1">
        <f t="shared" si="82"/>
        <v>-1</v>
      </c>
      <c r="J1752" s="1">
        <f t="shared" si="81"/>
        <v>0.75298986943872137</v>
      </c>
      <c r="K1752" s="1">
        <f t="shared" si="83"/>
        <v>3.0729734823547852</v>
      </c>
    </row>
    <row r="1753" spans="4:11" ht="15.75" thickBot="1">
      <c r="D1753" s="8"/>
      <c r="E1753" s="15" t="s">
        <v>25</v>
      </c>
      <c r="F1753" s="15" t="s">
        <v>0</v>
      </c>
      <c r="G1753" s="17" t="s">
        <v>178</v>
      </c>
      <c r="H1753" s="17"/>
      <c r="I1753" s="1" t="str">
        <f t="shared" si="82"/>
        <v/>
      </c>
      <c r="J1753" s="1" t="str">
        <f t="shared" si="81"/>
        <v/>
      </c>
      <c r="K1753" s="1">
        <f t="shared" si="83"/>
        <v>0</v>
      </c>
    </row>
    <row r="1754" spans="4:11" ht="15" customHeight="1">
      <c r="D1754" s="6" t="s">
        <v>167</v>
      </c>
      <c r="E1754" s="7"/>
      <c r="F1754" s="7"/>
      <c r="G1754" s="17" t="s">
        <v>181</v>
      </c>
      <c r="H1754" s="17">
        <v>3</v>
      </c>
      <c r="I1754" s="1">
        <f t="shared" si="82"/>
        <v>-2</v>
      </c>
      <c r="J1754" s="1">
        <f t="shared" si="81"/>
        <v>-0.63736781733253167</v>
      </c>
      <c r="K1754" s="1">
        <f t="shared" si="83"/>
        <v>1.8567664652411087</v>
      </c>
    </row>
    <row r="1755" spans="4:11" ht="15.75" thickBot="1">
      <c r="D1755" s="8"/>
      <c r="E1755" s="15" t="s">
        <v>7</v>
      </c>
      <c r="F1755" s="15" t="s">
        <v>443</v>
      </c>
      <c r="G1755" s="17" t="s">
        <v>178</v>
      </c>
      <c r="H1755" s="17"/>
      <c r="I1755" s="1" t="str">
        <f t="shared" si="82"/>
        <v/>
      </c>
      <c r="J1755" s="1" t="str">
        <f t="shared" si="81"/>
        <v/>
      </c>
      <c r="K1755" s="1">
        <f t="shared" si="83"/>
        <v>0</v>
      </c>
    </row>
    <row r="1756" spans="4:11" ht="18" customHeight="1">
      <c r="D1756" s="6" t="s">
        <v>167</v>
      </c>
      <c r="E1756" s="7"/>
      <c r="F1756" s="7"/>
      <c r="G1756" s="17" t="s">
        <v>181</v>
      </c>
      <c r="H1756" s="17">
        <v>4</v>
      </c>
      <c r="I1756" s="1">
        <f t="shared" si="82"/>
        <v>-3</v>
      </c>
      <c r="J1756" s="1">
        <f t="shared" si="81"/>
        <v>-0.41883771321120378</v>
      </c>
      <c r="K1756" s="1">
        <f t="shared" si="83"/>
        <v>6.6623987507407678</v>
      </c>
    </row>
    <row r="1757" spans="4:11" ht="15.75" thickBot="1">
      <c r="D1757" s="8"/>
      <c r="E1757" s="15" t="s">
        <v>14</v>
      </c>
      <c r="F1757" s="15" t="s">
        <v>18</v>
      </c>
      <c r="G1757" s="17" t="s">
        <v>178</v>
      </c>
      <c r="H1757" s="17"/>
      <c r="I1757" s="1" t="str">
        <f t="shared" si="82"/>
        <v/>
      </c>
      <c r="J1757" s="1" t="str">
        <f t="shared" si="81"/>
        <v/>
      </c>
      <c r="K1757" s="1">
        <f t="shared" si="83"/>
        <v>0</v>
      </c>
    </row>
    <row r="1758" spans="4:11" ht="15" customHeight="1">
      <c r="D1758" s="6" t="s">
        <v>167</v>
      </c>
      <c r="E1758" s="7"/>
      <c r="F1758" s="7"/>
      <c r="G1758" s="17" t="s">
        <v>181</v>
      </c>
      <c r="H1758" s="17">
        <v>3</v>
      </c>
      <c r="I1758" s="1">
        <f t="shared" si="82"/>
        <v>-2</v>
      </c>
      <c r="J1758" s="1">
        <f t="shared" si="81"/>
        <v>-1.5720289480498195E-2</v>
      </c>
      <c r="K1758" s="1">
        <f t="shared" si="83"/>
        <v>3.9373659695793579</v>
      </c>
    </row>
    <row r="1759" spans="4:11" ht="15.75" thickBot="1">
      <c r="D1759" s="8"/>
      <c r="E1759" s="15" t="s">
        <v>28</v>
      </c>
      <c r="F1759" s="15" t="s">
        <v>36</v>
      </c>
      <c r="G1759" s="17" t="s">
        <v>178</v>
      </c>
      <c r="H1759" s="17"/>
      <c r="I1759" s="1" t="str">
        <f t="shared" si="82"/>
        <v/>
      </c>
      <c r="J1759" s="1" t="str">
        <f t="shared" si="81"/>
        <v/>
      </c>
      <c r="K1759" s="1">
        <f t="shared" si="83"/>
        <v>0</v>
      </c>
    </row>
    <row r="1760" spans="4:11" ht="15" customHeight="1">
      <c r="D1760" s="6" t="s">
        <v>167</v>
      </c>
      <c r="E1760" s="7"/>
      <c r="F1760" s="7"/>
      <c r="G1760" s="17" t="s">
        <v>180</v>
      </c>
      <c r="H1760" s="17">
        <v>1</v>
      </c>
      <c r="I1760" s="1">
        <f t="shared" si="82"/>
        <v>1</v>
      </c>
      <c r="J1760" s="1">
        <f t="shared" si="81"/>
        <v>0.35940254426644458</v>
      </c>
      <c r="K1760" s="1">
        <f t="shared" si="83"/>
        <v>0.4103651002923045</v>
      </c>
    </row>
    <row r="1761" spans="4:11" ht="15.75" thickBot="1">
      <c r="D1761" s="8"/>
      <c r="E1761" s="15" t="s">
        <v>10</v>
      </c>
      <c r="F1761" s="15" t="s">
        <v>24</v>
      </c>
      <c r="G1761" s="17" t="s">
        <v>178</v>
      </c>
      <c r="H1761" s="17"/>
      <c r="I1761" s="1" t="str">
        <f t="shared" si="82"/>
        <v/>
      </c>
      <c r="J1761" s="1" t="str">
        <f t="shared" si="81"/>
        <v/>
      </c>
      <c r="K1761" s="1">
        <f t="shared" si="83"/>
        <v>0</v>
      </c>
    </row>
    <row r="1762" spans="4:11" ht="15" customHeight="1">
      <c r="D1762" s="6" t="s">
        <v>167</v>
      </c>
      <c r="E1762" s="7"/>
      <c r="F1762" s="7"/>
      <c r="G1762" s="17" t="s">
        <v>184</v>
      </c>
      <c r="H1762" s="17">
        <v>2</v>
      </c>
      <c r="I1762" s="1">
        <f t="shared" si="82"/>
        <v>2</v>
      </c>
      <c r="J1762" s="1">
        <f t="shared" si="81"/>
        <v>-0.23659198630069511</v>
      </c>
      <c r="K1762" s="1">
        <f t="shared" si="83"/>
        <v>5.002343713184489</v>
      </c>
    </row>
    <row r="1763" spans="4:11" ht="15.75" thickBot="1">
      <c r="D1763" s="8"/>
      <c r="E1763" s="15" t="s">
        <v>11</v>
      </c>
      <c r="F1763" s="15" t="s">
        <v>39</v>
      </c>
      <c r="G1763" s="17" t="s">
        <v>178</v>
      </c>
      <c r="H1763" s="17"/>
      <c r="I1763" s="1" t="str">
        <f t="shared" si="82"/>
        <v/>
      </c>
      <c r="J1763" s="1" t="str">
        <f t="shared" si="81"/>
        <v/>
      </c>
      <c r="K1763" s="1">
        <f t="shared" si="83"/>
        <v>0</v>
      </c>
    </row>
    <row r="1764" spans="4:11" ht="18" customHeight="1">
      <c r="D1764" s="6" t="s">
        <v>167</v>
      </c>
      <c r="E1764" s="7"/>
      <c r="F1764" s="7"/>
      <c r="G1764" s="17" t="s">
        <v>186</v>
      </c>
      <c r="H1764" s="17">
        <v>6</v>
      </c>
      <c r="I1764" s="1">
        <f t="shared" si="82"/>
        <v>1</v>
      </c>
      <c r="J1764" s="1">
        <f t="shared" si="81"/>
        <v>0.19878203454052823</v>
      </c>
      <c r="K1764" s="1">
        <f t="shared" si="83"/>
        <v>0.64195022817501535</v>
      </c>
    </row>
    <row r="1765" spans="4:11" ht="15.75" thickBot="1">
      <c r="D1765" s="8"/>
      <c r="E1765" s="15" t="s">
        <v>13</v>
      </c>
      <c r="F1765" s="15" t="s">
        <v>21</v>
      </c>
      <c r="G1765" s="17" t="s">
        <v>178</v>
      </c>
      <c r="H1765" s="17"/>
      <c r="I1765" s="1" t="str">
        <f t="shared" si="82"/>
        <v/>
      </c>
      <c r="J1765" s="1" t="str">
        <f t="shared" si="81"/>
        <v/>
      </c>
      <c r="K1765" s="1">
        <f t="shared" si="83"/>
        <v>0</v>
      </c>
    </row>
    <row r="1766" spans="4:11" ht="15" customHeight="1">
      <c r="D1766" s="6" t="s">
        <v>167</v>
      </c>
      <c r="E1766" s="7"/>
      <c r="F1766" s="7"/>
      <c r="G1766" s="17" t="s">
        <v>184</v>
      </c>
      <c r="H1766" s="17">
        <v>2</v>
      </c>
      <c r="I1766" s="1">
        <f t="shared" si="82"/>
        <v>2</v>
      </c>
      <c r="J1766" s="1">
        <f t="shared" si="81"/>
        <v>1.0640330699825569</v>
      </c>
      <c r="K1766" s="1">
        <f t="shared" si="83"/>
        <v>0.8760340940862773</v>
      </c>
    </row>
    <row r="1767" spans="4:11" ht="15.75" thickBot="1">
      <c r="D1767" s="8"/>
      <c r="E1767" s="15" t="s">
        <v>37</v>
      </c>
      <c r="F1767" s="15" t="s">
        <v>26</v>
      </c>
      <c r="G1767" s="17" t="s">
        <v>178</v>
      </c>
      <c r="H1767" s="17"/>
      <c r="I1767" s="1" t="str">
        <f t="shared" si="82"/>
        <v/>
      </c>
      <c r="J1767" s="1" t="str">
        <f t="shared" si="81"/>
        <v/>
      </c>
      <c r="K1767" s="1">
        <f t="shared" si="83"/>
        <v>0</v>
      </c>
    </row>
    <row r="1768" spans="4:11" ht="15" customHeight="1">
      <c r="D1768" s="6" t="s">
        <v>167</v>
      </c>
      <c r="E1768" s="7"/>
      <c r="F1768" s="7"/>
      <c r="G1768" s="17" t="s">
        <v>180</v>
      </c>
      <c r="H1768" s="17">
        <v>1</v>
      </c>
      <c r="I1768" s="1">
        <f t="shared" si="82"/>
        <v>1</v>
      </c>
      <c r="J1768" s="1">
        <f t="shared" si="81"/>
        <v>0.13570153456291223</v>
      </c>
      <c r="K1768" s="1">
        <f t="shared" si="83"/>
        <v>0.7470118373569048</v>
      </c>
    </row>
    <row r="1769" spans="4:11" ht="15.75" thickBot="1">
      <c r="D1769" s="13"/>
      <c r="E1769" s="15" t="s">
        <v>34</v>
      </c>
      <c r="F1769" s="15" t="s">
        <v>33</v>
      </c>
      <c r="G1769" s="17" t="s">
        <v>178</v>
      </c>
      <c r="H1769" s="17"/>
      <c r="I1769" s="1" t="str">
        <f t="shared" si="82"/>
        <v/>
      </c>
      <c r="J1769" s="1" t="str">
        <f t="shared" si="81"/>
        <v/>
      </c>
      <c r="K1769" s="1">
        <f t="shared" si="83"/>
        <v>0</v>
      </c>
    </row>
    <row r="1770" spans="4:11" ht="15" customHeight="1">
      <c r="D1770" s="14" t="s">
        <v>168</v>
      </c>
      <c r="E1770" s="7"/>
      <c r="F1770" s="7"/>
      <c r="G1770" s="17" t="s">
        <v>180</v>
      </c>
      <c r="H1770" s="17">
        <v>3</v>
      </c>
      <c r="I1770" s="1">
        <f t="shared" si="82"/>
        <v>-1</v>
      </c>
      <c r="J1770" s="1">
        <f t="shared" si="81"/>
        <v>0.71078361101953647</v>
      </c>
      <c r="K1770" s="1">
        <f t="shared" si="83"/>
        <v>2.9267805637330446</v>
      </c>
    </row>
    <row r="1771" spans="4:11" ht="30.75" thickBot="1">
      <c r="D1771" s="8"/>
      <c r="E1771" s="15" t="s">
        <v>12</v>
      </c>
      <c r="F1771" s="15" t="s">
        <v>1</v>
      </c>
      <c r="G1771" s="17" t="s">
        <v>178</v>
      </c>
      <c r="H1771" s="17"/>
      <c r="I1771" s="1" t="str">
        <f t="shared" si="82"/>
        <v/>
      </c>
      <c r="J1771" s="1" t="str">
        <f t="shared" si="81"/>
        <v/>
      </c>
      <c r="K1771" s="1">
        <f t="shared" si="83"/>
        <v>0</v>
      </c>
    </row>
    <row r="1772" spans="4:11" ht="15" customHeight="1">
      <c r="D1772" s="6" t="s">
        <v>168</v>
      </c>
      <c r="E1772" s="7"/>
      <c r="F1772" s="7"/>
      <c r="G1772" s="17" t="s">
        <v>183</v>
      </c>
      <c r="H1772" s="17">
        <v>2</v>
      </c>
      <c r="I1772" s="1">
        <f t="shared" si="82"/>
        <v>4</v>
      </c>
      <c r="J1772" s="1">
        <f t="shared" si="81"/>
        <v>-0.48563503608068004</v>
      </c>
      <c r="K1772" s="1">
        <f t="shared" si="83"/>
        <v>20.120921676914524</v>
      </c>
    </row>
    <row r="1773" spans="4:11" ht="15.75" thickBot="1">
      <c r="D1773" s="8"/>
      <c r="E1773" s="15" t="s">
        <v>2</v>
      </c>
      <c r="F1773" s="15" t="s">
        <v>20</v>
      </c>
      <c r="G1773" s="17" t="s">
        <v>178</v>
      </c>
      <c r="H1773" s="17"/>
      <c r="I1773" s="1" t="str">
        <f t="shared" si="82"/>
        <v/>
      </c>
      <c r="J1773" s="1" t="str">
        <f t="shared" si="81"/>
        <v/>
      </c>
      <c r="K1773" s="1">
        <f t="shared" si="83"/>
        <v>0</v>
      </c>
    </row>
    <row r="1774" spans="4:11" ht="18" customHeight="1">
      <c r="D1774" s="6" t="s">
        <v>168</v>
      </c>
      <c r="E1774" s="7"/>
      <c r="F1774" s="7"/>
      <c r="G1774" s="17" t="s">
        <v>180</v>
      </c>
      <c r="H1774" s="17">
        <v>1</v>
      </c>
      <c r="I1774" s="1">
        <f t="shared" si="82"/>
        <v>1</v>
      </c>
      <c r="J1774" s="1">
        <f t="shared" si="81"/>
        <v>1.7603478643439558</v>
      </c>
      <c r="K1774" s="1">
        <f t="shared" si="83"/>
        <v>0.57812887481241471</v>
      </c>
    </row>
    <row r="1775" spans="4:11" ht="15.75" thickBot="1">
      <c r="D1775" s="8"/>
      <c r="E1775" s="15" t="s">
        <v>19</v>
      </c>
      <c r="F1775" s="15" t="s">
        <v>8</v>
      </c>
      <c r="G1775" s="17" t="s">
        <v>178</v>
      </c>
      <c r="H1775" s="17"/>
      <c r="I1775" s="1" t="str">
        <f t="shared" si="82"/>
        <v/>
      </c>
      <c r="J1775" s="1" t="str">
        <f t="shared" si="81"/>
        <v/>
      </c>
      <c r="K1775" s="1">
        <f t="shared" si="83"/>
        <v>0</v>
      </c>
    </row>
    <row r="1776" spans="4:11" ht="15" customHeight="1">
      <c r="D1776" s="6" t="s">
        <v>168</v>
      </c>
      <c r="E1776" s="7"/>
      <c r="F1776" s="7"/>
      <c r="G1776" s="17" t="s">
        <v>184</v>
      </c>
      <c r="H1776" s="17">
        <v>0</v>
      </c>
      <c r="I1776" s="1">
        <f t="shared" si="82"/>
        <v>4</v>
      </c>
      <c r="J1776" s="1">
        <f t="shared" si="81"/>
        <v>-0.36464061911063084</v>
      </c>
      <c r="K1776" s="1">
        <f t="shared" si="83"/>
        <v>19.050087733990431</v>
      </c>
    </row>
    <row r="1777" spans="4:11" ht="15.75" thickBot="1">
      <c r="D1777" s="8"/>
      <c r="E1777" s="15" t="s">
        <v>3</v>
      </c>
      <c r="F1777" s="15" t="s">
        <v>41</v>
      </c>
      <c r="G1777" s="17" t="s">
        <v>178</v>
      </c>
      <c r="H1777" s="17"/>
      <c r="I1777" s="1" t="str">
        <f t="shared" si="82"/>
        <v/>
      </c>
      <c r="J1777" s="1" t="str">
        <f t="shared" si="81"/>
        <v/>
      </c>
      <c r="K1777" s="1">
        <f t="shared" si="83"/>
        <v>0</v>
      </c>
    </row>
    <row r="1778" spans="4:11" ht="15" customHeight="1">
      <c r="D1778" s="6" t="s">
        <v>168</v>
      </c>
      <c r="E1778" s="7"/>
      <c r="F1778" s="7"/>
      <c r="G1778" s="17" t="s">
        <v>181</v>
      </c>
      <c r="H1778" s="17">
        <v>5</v>
      </c>
      <c r="I1778" s="1">
        <f t="shared" si="82"/>
        <v>-4</v>
      </c>
      <c r="J1778" s="1">
        <f t="shared" si="81"/>
        <v>-0.53776565017153644</v>
      </c>
      <c r="K1778" s="1">
        <f t="shared" si="83"/>
        <v>11.987066693132125</v>
      </c>
    </row>
    <row r="1779" spans="4:11" ht="15.75" thickBot="1">
      <c r="D1779" s="8"/>
      <c r="E1779" s="15" t="s">
        <v>14</v>
      </c>
      <c r="F1779" s="15" t="s">
        <v>11</v>
      </c>
      <c r="G1779" s="17" t="s">
        <v>178</v>
      </c>
      <c r="H1779" s="17"/>
      <c r="I1779" s="1" t="str">
        <f t="shared" si="82"/>
        <v/>
      </c>
      <c r="J1779" s="1" t="str">
        <f t="shared" si="81"/>
        <v/>
      </c>
      <c r="K1779" s="1">
        <f t="shared" si="83"/>
        <v>0</v>
      </c>
    </row>
    <row r="1780" spans="4:11" ht="15" customHeight="1">
      <c r="D1780" s="6" t="s">
        <v>168</v>
      </c>
      <c r="E1780" s="7"/>
      <c r="F1780" s="7"/>
      <c r="G1780" s="17" t="s">
        <v>184</v>
      </c>
      <c r="H1780" s="17">
        <v>5</v>
      </c>
      <c r="I1780" s="1">
        <f t="shared" si="82"/>
        <v>-1</v>
      </c>
      <c r="J1780" s="1">
        <f t="shared" si="81"/>
        <v>0.57537659255835649</v>
      </c>
      <c r="K1780" s="1">
        <f t="shared" si="83"/>
        <v>2.4818114083807781</v>
      </c>
    </row>
    <row r="1781" spans="4:11" ht="15.75" thickBot="1">
      <c r="D1781" s="8"/>
      <c r="E1781" s="15" t="s">
        <v>37</v>
      </c>
      <c r="F1781" s="15" t="s">
        <v>22</v>
      </c>
      <c r="G1781" s="17" t="s">
        <v>178</v>
      </c>
      <c r="H1781" s="17"/>
      <c r="I1781" s="1" t="str">
        <f t="shared" si="82"/>
        <v/>
      </c>
      <c r="J1781" s="1" t="str">
        <f t="shared" si="81"/>
        <v/>
      </c>
      <c r="K1781" s="1">
        <f t="shared" si="83"/>
        <v>0</v>
      </c>
    </row>
    <row r="1782" spans="4:11" ht="15" customHeight="1">
      <c r="D1782" s="6" t="s">
        <v>168</v>
      </c>
      <c r="E1782" s="7"/>
      <c r="F1782" s="7"/>
      <c r="G1782" s="17" t="s">
        <v>182</v>
      </c>
      <c r="H1782" s="17">
        <v>4</v>
      </c>
      <c r="I1782" s="1">
        <f t="shared" si="82"/>
        <v>-1</v>
      </c>
      <c r="J1782" s="1">
        <f t="shared" si="81"/>
        <v>-0.83261497663183093</v>
      </c>
      <c r="K1782" s="1">
        <f t="shared" si="83"/>
        <v>2.8017746047962505E-2</v>
      </c>
    </row>
    <row r="1783" spans="4:11" ht="15.75" thickBot="1">
      <c r="D1783" s="8"/>
      <c r="E1783" s="15" t="s">
        <v>7</v>
      </c>
      <c r="F1783" s="15" t="s">
        <v>38</v>
      </c>
      <c r="G1783" s="17" t="s">
        <v>178</v>
      </c>
      <c r="H1783" s="17"/>
      <c r="I1783" s="1" t="str">
        <f t="shared" si="82"/>
        <v/>
      </c>
      <c r="J1783" s="1" t="str">
        <f t="shared" si="81"/>
        <v/>
      </c>
      <c r="K1783" s="1">
        <f t="shared" si="83"/>
        <v>0</v>
      </c>
    </row>
    <row r="1784" spans="4:11" ht="15" customHeight="1">
      <c r="D1784" s="6" t="s">
        <v>168</v>
      </c>
      <c r="E1784" s="7"/>
      <c r="F1784" s="7"/>
      <c r="G1784" s="17" t="s">
        <v>180</v>
      </c>
      <c r="H1784" s="17">
        <v>6</v>
      </c>
      <c r="I1784" s="1">
        <f t="shared" si="82"/>
        <v>-4</v>
      </c>
      <c r="J1784" s="1">
        <f t="shared" si="81"/>
        <v>-0.49449395946012942</v>
      </c>
      <c r="K1784" s="1">
        <f t="shared" si="83"/>
        <v>12.288572600261521</v>
      </c>
    </row>
    <row r="1785" spans="4:11" ht="15.75" thickBot="1">
      <c r="D1785" s="8"/>
      <c r="E1785" s="15" t="s">
        <v>21</v>
      </c>
      <c r="F1785" s="15" t="s">
        <v>23</v>
      </c>
      <c r="G1785" s="17" t="s">
        <v>178</v>
      </c>
      <c r="H1785" s="17"/>
      <c r="I1785" s="1" t="str">
        <f t="shared" si="82"/>
        <v/>
      </c>
      <c r="J1785" s="1" t="str">
        <f t="shared" si="81"/>
        <v/>
      </c>
      <c r="K1785" s="1">
        <f t="shared" si="83"/>
        <v>0</v>
      </c>
    </row>
    <row r="1786" spans="4:11" ht="15" customHeight="1">
      <c r="D1786" s="6" t="s">
        <v>169</v>
      </c>
      <c r="E1786" s="7"/>
      <c r="F1786" s="7"/>
      <c r="G1786" s="17" t="s">
        <v>179</v>
      </c>
      <c r="H1786" s="17">
        <v>3</v>
      </c>
      <c r="I1786" s="1">
        <f t="shared" si="82"/>
        <v>-3</v>
      </c>
      <c r="J1786" s="1">
        <f t="shared" si="81"/>
        <v>-0.17106405967437865</v>
      </c>
      <c r="K1786" s="1">
        <f t="shared" si="83"/>
        <v>8.0028785544660082</v>
      </c>
    </row>
    <row r="1787" spans="4:11" ht="15.75" thickBot="1">
      <c r="D1787" s="8"/>
      <c r="E1787" s="15" t="s">
        <v>26</v>
      </c>
      <c r="F1787" s="15" t="s">
        <v>36</v>
      </c>
      <c r="G1787" s="17" t="s">
        <v>178</v>
      </c>
      <c r="H1787" s="17"/>
      <c r="I1787" s="1" t="str">
        <f t="shared" si="82"/>
        <v/>
      </c>
      <c r="J1787" s="1" t="str">
        <f t="shared" si="81"/>
        <v/>
      </c>
      <c r="K1787" s="1">
        <f t="shared" si="83"/>
        <v>0</v>
      </c>
    </row>
    <row r="1788" spans="4:11" ht="18" customHeight="1">
      <c r="D1788" s="6" t="s">
        <v>169</v>
      </c>
      <c r="E1788" s="7"/>
      <c r="F1788" s="7"/>
      <c r="G1788" s="17" t="s">
        <v>182</v>
      </c>
      <c r="H1788" s="17">
        <v>4</v>
      </c>
      <c r="I1788" s="1">
        <f t="shared" si="82"/>
        <v>-1</v>
      </c>
      <c r="J1788" s="1">
        <f t="shared" si="81"/>
        <v>0.64825694328496297</v>
      </c>
      <c r="K1788" s="1">
        <f t="shared" si="83"/>
        <v>2.7167509510870897</v>
      </c>
    </row>
    <row r="1789" spans="4:11" ht="15.75" thickBot="1">
      <c r="D1789" s="8"/>
      <c r="E1789" s="15" t="s">
        <v>13</v>
      </c>
      <c r="F1789" s="15" t="s">
        <v>10</v>
      </c>
      <c r="G1789" s="17" t="s">
        <v>178</v>
      </c>
      <c r="H1789" s="17"/>
      <c r="I1789" s="1" t="str">
        <f t="shared" si="82"/>
        <v/>
      </c>
      <c r="J1789" s="1" t="str">
        <f t="shared" si="81"/>
        <v/>
      </c>
      <c r="K1789" s="1">
        <f t="shared" si="83"/>
        <v>0</v>
      </c>
    </row>
    <row r="1790" spans="4:11" ht="15" customHeight="1">
      <c r="D1790" s="6" t="s">
        <v>170</v>
      </c>
      <c r="E1790" s="7"/>
      <c r="F1790" s="7"/>
      <c r="G1790" s="17" t="s">
        <v>180</v>
      </c>
      <c r="H1790" s="17">
        <v>1</v>
      </c>
      <c r="I1790" s="1">
        <f t="shared" si="82"/>
        <v>1</v>
      </c>
      <c r="J1790" s="1">
        <f t="shared" si="81"/>
        <v>0.11402012564479946</v>
      </c>
      <c r="K1790" s="1">
        <f t="shared" si="83"/>
        <v>0.78496033776245688</v>
      </c>
    </row>
    <row r="1791" spans="4:11" ht="15.75" thickBot="1">
      <c r="D1791" s="8"/>
      <c r="E1791" s="15" t="s">
        <v>3</v>
      </c>
      <c r="F1791" s="15" t="s">
        <v>2</v>
      </c>
      <c r="G1791" s="17" t="s">
        <v>178</v>
      </c>
      <c r="H1791" s="17"/>
      <c r="I1791" s="1" t="str">
        <f t="shared" si="82"/>
        <v/>
      </c>
      <c r="J1791" s="1" t="str">
        <f t="shared" si="81"/>
        <v/>
      </c>
      <c r="K1791" s="1">
        <f t="shared" si="83"/>
        <v>0</v>
      </c>
    </row>
    <row r="1792" spans="4:11" ht="15" customHeight="1">
      <c r="D1792" s="6" t="s">
        <v>170</v>
      </c>
      <c r="E1792" s="7"/>
      <c r="F1792" s="7"/>
      <c r="G1792" s="17" t="s">
        <v>181</v>
      </c>
      <c r="H1792" s="17">
        <v>5</v>
      </c>
      <c r="I1792" s="1">
        <f t="shared" si="82"/>
        <v>-4</v>
      </c>
      <c r="J1792" s="1">
        <f t="shared" si="81"/>
        <v>-1.0629365846646408</v>
      </c>
      <c r="K1792" s="1">
        <f t="shared" si="83"/>
        <v>8.6263415057014043</v>
      </c>
    </row>
    <row r="1793" spans="4:11" ht="15.75" thickBot="1">
      <c r="D1793" s="8"/>
      <c r="E1793" s="15" t="s">
        <v>26</v>
      </c>
      <c r="F1793" s="15" t="s">
        <v>41</v>
      </c>
      <c r="G1793" s="17" t="s">
        <v>178</v>
      </c>
      <c r="H1793" s="17"/>
      <c r="I1793" s="1" t="str">
        <f t="shared" si="82"/>
        <v/>
      </c>
      <c r="J1793" s="1" t="str">
        <f t="shared" si="81"/>
        <v/>
      </c>
      <c r="K1793" s="1">
        <f t="shared" si="83"/>
        <v>0</v>
      </c>
    </row>
    <row r="1794" spans="4:11" ht="15" customHeight="1">
      <c r="D1794" s="6" t="s">
        <v>170</v>
      </c>
      <c r="E1794" s="7"/>
      <c r="F1794" s="7"/>
      <c r="G1794" s="17" t="s">
        <v>179</v>
      </c>
      <c r="H1794" s="17">
        <v>1</v>
      </c>
      <c r="I1794" s="1">
        <f t="shared" si="82"/>
        <v>-1</v>
      </c>
      <c r="J1794" s="1">
        <f t="shared" si="81"/>
        <v>-0.25310767117566968</v>
      </c>
      <c r="K1794" s="1">
        <f t="shared" si="83"/>
        <v>0.55784815085663153</v>
      </c>
    </row>
    <row r="1795" spans="4:11" ht="15.75" thickBot="1">
      <c r="D1795" s="8"/>
      <c r="E1795" s="15" t="s">
        <v>4</v>
      </c>
      <c r="F1795" s="15" t="s">
        <v>38</v>
      </c>
      <c r="G1795" s="17" t="s">
        <v>178</v>
      </c>
      <c r="H1795" s="17"/>
      <c r="I1795" s="1" t="str">
        <f t="shared" si="82"/>
        <v/>
      </c>
      <c r="J1795" s="1" t="str">
        <f t="shared" ref="J1795:J1858" si="84">IF(F1796="","",VLOOKUP(F1796,$A$2:$B$31,2)+$B$33-VLOOKUP(E1796,$A$2:$B$31,2))</f>
        <v/>
      </c>
      <c r="K1795" s="1">
        <f t="shared" si="83"/>
        <v>0</v>
      </c>
    </row>
    <row r="1796" spans="4:11" ht="15" customHeight="1">
      <c r="D1796" s="6" t="s">
        <v>170</v>
      </c>
      <c r="E1796" s="7"/>
      <c r="F1796" s="7"/>
      <c r="G1796" s="17" t="s">
        <v>181</v>
      </c>
      <c r="H1796" s="17">
        <v>4</v>
      </c>
      <c r="I1796" s="1">
        <f t="shared" ref="I1796:I1859" si="85">IF(G1796="","",G1796-H1796)</f>
        <v>-3</v>
      </c>
      <c r="J1796" s="1">
        <f t="shared" si="84"/>
        <v>9.5670961109846075E-2</v>
      </c>
      <c r="K1796" s="1">
        <f t="shared" ref="K1796:K1859" si="86">IF(J1796="",0,(I1796-J1796)^2)</f>
        <v>9.5831786994587578</v>
      </c>
    </row>
    <row r="1797" spans="4:11" ht="15.75" thickBot="1">
      <c r="D1797" s="8"/>
      <c r="E1797" s="15" t="s">
        <v>1</v>
      </c>
      <c r="F1797" s="15" t="s">
        <v>28</v>
      </c>
      <c r="G1797" s="17" t="s">
        <v>178</v>
      </c>
      <c r="H1797" s="17"/>
      <c r="I1797" s="1" t="str">
        <f t="shared" si="85"/>
        <v/>
      </c>
      <c r="J1797" s="1" t="str">
        <f t="shared" si="84"/>
        <v/>
      </c>
      <c r="K1797" s="1">
        <f t="shared" si="86"/>
        <v>0</v>
      </c>
    </row>
    <row r="1798" spans="4:11" ht="15" customHeight="1">
      <c r="D1798" s="6" t="s">
        <v>170</v>
      </c>
      <c r="E1798" s="7"/>
      <c r="F1798" s="7"/>
      <c r="G1798" s="17" t="s">
        <v>184</v>
      </c>
      <c r="H1798" s="17">
        <v>2</v>
      </c>
      <c r="I1798" s="1">
        <f t="shared" si="85"/>
        <v>2</v>
      </c>
      <c r="J1798" s="1">
        <f t="shared" si="84"/>
        <v>-1.0560585024282574</v>
      </c>
      <c r="K1798" s="1">
        <f t="shared" si="86"/>
        <v>9.3394935702640431</v>
      </c>
    </row>
    <row r="1799" spans="4:11" ht="15.75" thickBot="1">
      <c r="D1799" s="8"/>
      <c r="E1799" s="15" t="s">
        <v>8</v>
      </c>
      <c r="F1799" s="15" t="s">
        <v>7</v>
      </c>
      <c r="G1799" s="17" t="s">
        <v>178</v>
      </c>
      <c r="H1799" s="17"/>
      <c r="I1799" s="1" t="str">
        <f t="shared" si="85"/>
        <v/>
      </c>
      <c r="J1799" s="1" t="str">
        <f t="shared" si="84"/>
        <v/>
      </c>
      <c r="K1799" s="1">
        <f t="shared" si="86"/>
        <v>0</v>
      </c>
    </row>
    <row r="1800" spans="4:11" ht="18" customHeight="1">
      <c r="D1800" s="6" t="s">
        <v>170</v>
      </c>
      <c r="E1800" s="7"/>
      <c r="F1800" s="7"/>
      <c r="G1800" s="17" t="s">
        <v>185</v>
      </c>
      <c r="H1800" s="17">
        <v>2</v>
      </c>
      <c r="I1800" s="1">
        <f t="shared" si="85"/>
        <v>3</v>
      </c>
      <c r="J1800" s="1">
        <f t="shared" si="84"/>
        <v>-0.1680509242661401</v>
      </c>
      <c r="K1800" s="1">
        <f t="shared" si="86"/>
        <v>10.036546658743545</v>
      </c>
    </row>
    <row r="1801" spans="4:11" ht="15.75" thickBot="1">
      <c r="D1801" s="8"/>
      <c r="E1801" s="15" t="s">
        <v>443</v>
      </c>
      <c r="F1801" s="15" t="s">
        <v>39</v>
      </c>
      <c r="G1801" s="17" t="s">
        <v>178</v>
      </c>
      <c r="H1801" s="17"/>
      <c r="I1801" s="1" t="str">
        <f t="shared" si="85"/>
        <v/>
      </c>
      <c r="J1801" s="1" t="str">
        <f t="shared" si="84"/>
        <v/>
      </c>
      <c r="K1801" s="1">
        <f t="shared" si="86"/>
        <v>0</v>
      </c>
    </row>
    <row r="1802" spans="4:11" ht="15" customHeight="1">
      <c r="D1802" s="6" t="s">
        <v>170</v>
      </c>
      <c r="E1802" s="7"/>
      <c r="F1802" s="7"/>
      <c r="G1802" s="17" t="s">
        <v>180</v>
      </c>
      <c r="H1802" s="17">
        <v>5</v>
      </c>
      <c r="I1802" s="1">
        <f t="shared" si="85"/>
        <v>-3</v>
      </c>
      <c r="J1802" s="1">
        <f t="shared" si="84"/>
        <v>-0.44595449252430797</v>
      </c>
      <c r="K1802" s="1">
        <f t="shared" si="86"/>
        <v>6.5231484542567655</v>
      </c>
    </row>
    <row r="1803" spans="4:11" ht="15.75" thickBot="1">
      <c r="D1803" s="8"/>
      <c r="E1803" s="15" t="s">
        <v>22</v>
      </c>
      <c r="F1803" s="15" t="s">
        <v>19</v>
      </c>
      <c r="G1803" s="17" t="s">
        <v>178</v>
      </c>
      <c r="H1803" s="17"/>
      <c r="I1803" s="1" t="str">
        <f t="shared" si="85"/>
        <v/>
      </c>
      <c r="J1803" s="1" t="str">
        <f t="shared" si="84"/>
        <v/>
      </c>
      <c r="K1803" s="1">
        <f t="shared" si="86"/>
        <v>0</v>
      </c>
    </row>
    <row r="1804" spans="4:11" ht="15" customHeight="1">
      <c r="D1804" s="6" t="s">
        <v>170</v>
      </c>
      <c r="E1804" s="7"/>
      <c r="F1804" s="7"/>
      <c r="G1804" s="17" t="s">
        <v>180</v>
      </c>
      <c r="H1804" s="17">
        <v>1</v>
      </c>
      <c r="I1804" s="1">
        <f t="shared" si="85"/>
        <v>1</v>
      </c>
      <c r="J1804" s="1">
        <f t="shared" si="84"/>
        <v>-1.3033714124710087</v>
      </c>
      <c r="K1804" s="1">
        <f t="shared" si="86"/>
        <v>5.3055198637886898</v>
      </c>
    </row>
    <row r="1805" spans="4:11" ht="15.75" thickBot="1">
      <c r="D1805" s="8"/>
      <c r="E1805" s="15" t="s">
        <v>24</v>
      </c>
      <c r="F1805" s="15" t="s">
        <v>23</v>
      </c>
      <c r="G1805" s="17" t="s">
        <v>178</v>
      </c>
      <c r="H1805" s="17"/>
      <c r="I1805" s="1" t="str">
        <f t="shared" si="85"/>
        <v/>
      </c>
      <c r="J1805" s="1" t="str">
        <f t="shared" si="84"/>
        <v/>
      </c>
      <c r="K1805" s="1">
        <f t="shared" si="86"/>
        <v>0</v>
      </c>
    </row>
    <row r="1806" spans="4:11" ht="15" customHeight="1">
      <c r="D1806" s="6" t="s">
        <v>170</v>
      </c>
      <c r="E1806" s="7"/>
      <c r="F1806" s="7"/>
      <c r="G1806" s="17" t="s">
        <v>180</v>
      </c>
      <c r="H1806" s="17">
        <v>4</v>
      </c>
      <c r="I1806" s="1">
        <f t="shared" si="85"/>
        <v>-2</v>
      </c>
      <c r="J1806" s="1">
        <f t="shared" si="84"/>
        <v>-0.27591078395789737</v>
      </c>
      <c r="K1806" s="1">
        <f t="shared" si="86"/>
        <v>2.9724836248726723</v>
      </c>
    </row>
    <row r="1807" spans="4:11" ht="15.75" thickBot="1">
      <c r="D1807" s="8"/>
      <c r="E1807" s="15" t="s">
        <v>21</v>
      </c>
      <c r="F1807" s="15" t="s">
        <v>25</v>
      </c>
      <c r="G1807" s="17" t="s">
        <v>178</v>
      </c>
      <c r="H1807" s="17"/>
      <c r="I1807" s="1" t="str">
        <f t="shared" si="85"/>
        <v/>
      </c>
      <c r="J1807" s="1" t="str">
        <f t="shared" si="84"/>
        <v/>
      </c>
      <c r="K1807" s="1">
        <f t="shared" si="86"/>
        <v>0</v>
      </c>
    </row>
    <row r="1808" spans="4:11" ht="18" customHeight="1">
      <c r="D1808" s="6" t="s">
        <v>170</v>
      </c>
      <c r="E1808" s="7"/>
      <c r="F1808" s="7"/>
      <c r="G1808" s="17" t="s">
        <v>180</v>
      </c>
      <c r="H1808" s="17">
        <v>3</v>
      </c>
      <c r="I1808" s="1">
        <f t="shared" si="85"/>
        <v>-1</v>
      </c>
      <c r="J1808" s="1">
        <f t="shared" si="84"/>
        <v>-0.80852816283064044</v>
      </c>
      <c r="K1808" s="1">
        <f t="shared" si="86"/>
        <v>3.6661464429009742E-2</v>
      </c>
    </row>
    <row r="1809" spans="4:11" ht="15.75" thickBot="1">
      <c r="D1809" s="8"/>
      <c r="E1809" s="15" t="s">
        <v>14</v>
      </c>
      <c r="F1809" s="15" t="s">
        <v>20</v>
      </c>
      <c r="G1809" s="17" t="s">
        <v>178</v>
      </c>
      <c r="H1809" s="17"/>
      <c r="I1809" s="1" t="str">
        <f t="shared" si="85"/>
        <v/>
      </c>
      <c r="J1809" s="1" t="str">
        <f t="shared" si="84"/>
        <v/>
      </c>
      <c r="K1809" s="1">
        <f t="shared" si="86"/>
        <v>0</v>
      </c>
    </row>
    <row r="1810" spans="4:11" ht="15" customHeight="1">
      <c r="D1810" s="6" t="s">
        <v>170</v>
      </c>
      <c r="E1810" s="7"/>
      <c r="F1810" s="7"/>
      <c r="G1810" s="17" t="s">
        <v>179</v>
      </c>
      <c r="H1810" s="17">
        <v>1</v>
      </c>
      <c r="I1810" s="1">
        <f t="shared" si="85"/>
        <v>-1</v>
      </c>
      <c r="J1810" s="1">
        <f t="shared" si="84"/>
        <v>2.5660632967728247E-2</v>
      </c>
      <c r="K1810" s="1">
        <f t="shared" si="86"/>
        <v>1.051979734019761</v>
      </c>
    </row>
    <row r="1811" spans="4:11" ht="15.75" thickBot="1">
      <c r="D1811" s="8"/>
      <c r="E1811" s="15" t="s">
        <v>13</v>
      </c>
      <c r="F1811" s="15" t="s">
        <v>34</v>
      </c>
      <c r="G1811" s="17" t="s">
        <v>178</v>
      </c>
      <c r="H1811" s="17"/>
      <c r="I1811" s="1" t="str">
        <f t="shared" si="85"/>
        <v/>
      </c>
      <c r="J1811" s="1" t="str">
        <f t="shared" si="84"/>
        <v/>
      </c>
      <c r="K1811" s="1">
        <f t="shared" si="86"/>
        <v>0</v>
      </c>
    </row>
    <row r="1812" spans="4:11" ht="15" customHeight="1">
      <c r="D1812" s="6" t="s">
        <v>171</v>
      </c>
      <c r="E1812" s="7"/>
      <c r="F1812" s="7"/>
      <c r="G1812" s="17" t="s">
        <v>182</v>
      </c>
      <c r="H1812" s="17">
        <v>1</v>
      </c>
      <c r="I1812" s="1">
        <f t="shared" si="85"/>
        <v>2</v>
      </c>
      <c r="J1812" s="1">
        <f t="shared" si="84"/>
        <v>0.63876485381459247</v>
      </c>
      <c r="K1812" s="1">
        <f t="shared" si="86"/>
        <v>1.8529611232104077</v>
      </c>
    </row>
    <row r="1813" spans="4:11" ht="15.75" thickBot="1">
      <c r="D1813" s="8"/>
      <c r="E1813" s="15" t="s">
        <v>4</v>
      </c>
      <c r="F1813" s="15" t="s">
        <v>36</v>
      </c>
      <c r="G1813" s="17" t="s">
        <v>178</v>
      </c>
      <c r="H1813" s="17"/>
      <c r="I1813" s="1" t="str">
        <f t="shared" si="85"/>
        <v/>
      </c>
      <c r="J1813" s="1" t="str">
        <f t="shared" si="84"/>
        <v/>
      </c>
      <c r="K1813" s="1">
        <f t="shared" si="86"/>
        <v>0</v>
      </c>
    </row>
    <row r="1814" spans="4:11" ht="15" customHeight="1">
      <c r="D1814" s="6" t="s">
        <v>171</v>
      </c>
      <c r="E1814" s="7"/>
      <c r="F1814" s="7"/>
      <c r="G1814" s="17" t="s">
        <v>184</v>
      </c>
      <c r="H1814" s="17">
        <v>3</v>
      </c>
      <c r="I1814" s="1">
        <f t="shared" si="85"/>
        <v>1</v>
      </c>
      <c r="J1814" s="1">
        <f t="shared" si="84"/>
        <v>-0.16264997899247646</v>
      </c>
      <c r="K1814" s="1">
        <f t="shared" si="86"/>
        <v>1.351754973651206</v>
      </c>
    </row>
    <row r="1815" spans="4:11" ht="30.75" thickBot="1">
      <c r="D1815" s="8"/>
      <c r="E1815" s="15" t="s">
        <v>11</v>
      </c>
      <c r="F1815" s="15" t="s">
        <v>12</v>
      </c>
      <c r="G1815" s="17" t="s">
        <v>178</v>
      </c>
      <c r="H1815" s="17"/>
      <c r="I1815" s="1" t="str">
        <f t="shared" si="85"/>
        <v/>
      </c>
      <c r="J1815" s="1" t="str">
        <f t="shared" si="84"/>
        <v/>
      </c>
      <c r="K1815" s="1">
        <f t="shared" si="86"/>
        <v>0</v>
      </c>
    </row>
    <row r="1816" spans="4:11" ht="18" customHeight="1">
      <c r="D1816" s="6" t="s">
        <v>171</v>
      </c>
      <c r="E1816" s="7"/>
      <c r="F1816" s="7"/>
      <c r="G1816" s="17" t="s">
        <v>182</v>
      </c>
      <c r="H1816" s="17">
        <v>0</v>
      </c>
      <c r="I1816" s="1">
        <f t="shared" si="85"/>
        <v>3</v>
      </c>
      <c r="J1816" s="1">
        <f t="shared" si="84"/>
        <v>0.68022042637045388</v>
      </c>
      <c r="K1816" s="1">
        <f t="shared" si="86"/>
        <v>5.3813772702288789</v>
      </c>
    </row>
    <row r="1817" spans="4:11" ht="15.75" thickBot="1">
      <c r="D1817" s="8"/>
      <c r="E1817" s="15" t="s">
        <v>18</v>
      </c>
      <c r="F1817" s="15" t="s">
        <v>10</v>
      </c>
      <c r="G1817" s="17" t="s">
        <v>178</v>
      </c>
      <c r="H1817" s="17"/>
      <c r="I1817" s="1" t="str">
        <f t="shared" si="85"/>
        <v/>
      </c>
      <c r="J1817" s="1" t="str">
        <f t="shared" si="84"/>
        <v/>
      </c>
      <c r="K1817" s="1">
        <f t="shared" si="86"/>
        <v>0</v>
      </c>
    </row>
    <row r="1818" spans="4:11" ht="15" customHeight="1">
      <c r="D1818" s="6" t="s">
        <v>172</v>
      </c>
      <c r="E1818" s="7"/>
      <c r="F1818" s="7"/>
      <c r="G1818" s="17" t="s">
        <v>182</v>
      </c>
      <c r="H1818" s="17">
        <v>6</v>
      </c>
      <c r="I1818" s="1">
        <f t="shared" si="85"/>
        <v>-3</v>
      </c>
      <c r="J1818" s="1">
        <f t="shared" si="84"/>
        <v>1.5240328599494575</v>
      </c>
      <c r="K1818" s="1">
        <f t="shared" si="86"/>
        <v>20.466873317902468</v>
      </c>
    </row>
    <row r="1819" spans="4:11" ht="15.75" thickBot="1">
      <c r="D1819" s="8"/>
      <c r="E1819" s="15" t="s">
        <v>3</v>
      </c>
      <c r="F1819" s="15" t="s">
        <v>8</v>
      </c>
      <c r="G1819" s="17" t="s">
        <v>178</v>
      </c>
      <c r="H1819" s="17"/>
      <c r="I1819" s="1" t="str">
        <f t="shared" si="85"/>
        <v/>
      </c>
      <c r="J1819" s="1" t="str">
        <f t="shared" si="84"/>
        <v/>
      </c>
      <c r="K1819" s="1">
        <f t="shared" si="86"/>
        <v>0</v>
      </c>
    </row>
    <row r="1820" spans="4:11" ht="15" customHeight="1">
      <c r="D1820" s="6" t="s">
        <v>172</v>
      </c>
      <c r="E1820" s="7"/>
      <c r="F1820" s="7"/>
      <c r="G1820" s="17" t="s">
        <v>182</v>
      </c>
      <c r="H1820" s="17">
        <v>4</v>
      </c>
      <c r="I1820" s="1">
        <f t="shared" si="85"/>
        <v>-1</v>
      </c>
      <c r="J1820" s="1">
        <f t="shared" si="84"/>
        <v>-1.0629365846646408</v>
      </c>
      <c r="K1820" s="1">
        <f t="shared" si="86"/>
        <v>3.9610136892494997E-3</v>
      </c>
    </row>
    <row r="1821" spans="4:11" ht="15.75" thickBot="1">
      <c r="D1821" s="8"/>
      <c r="E1821" s="15" t="s">
        <v>26</v>
      </c>
      <c r="F1821" s="15" t="s">
        <v>38</v>
      </c>
      <c r="G1821" s="17" t="s">
        <v>178</v>
      </c>
      <c r="H1821" s="17"/>
      <c r="I1821" s="1" t="str">
        <f t="shared" si="85"/>
        <v/>
      </c>
      <c r="J1821" s="1" t="str">
        <f t="shared" si="84"/>
        <v/>
      </c>
      <c r="K1821" s="1">
        <f t="shared" si="86"/>
        <v>0</v>
      </c>
    </row>
    <row r="1822" spans="4:11" ht="15" customHeight="1">
      <c r="D1822" s="6" t="s">
        <v>172</v>
      </c>
      <c r="E1822" s="7"/>
      <c r="F1822" s="7"/>
      <c r="G1822" s="17" t="s">
        <v>185</v>
      </c>
      <c r="H1822" s="17">
        <v>2</v>
      </c>
      <c r="I1822" s="1">
        <f t="shared" si="85"/>
        <v>3</v>
      </c>
      <c r="J1822" s="1">
        <f t="shared" si="84"/>
        <v>0.63736781733253167</v>
      </c>
      <c r="K1822" s="1">
        <f t="shared" si="86"/>
        <v>5.5820308305760458</v>
      </c>
    </row>
    <row r="1823" spans="4:11" ht="15.75" thickBot="1">
      <c r="D1823" s="8"/>
      <c r="E1823" s="15" t="s">
        <v>443</v>
      </c>
      <c r="F1823" s="15" t="s">
        <v>7</v>
      </c>
      <c r="G1823" s="17" t="s">
        <v>178</v>
      </c>
      <c r="H1823" s="17"/>
      <c r="I1823" s="1" t="str">
        <f t="shared" si="85"/>
        <v/>
      </c>
      <c r="J1823" s="1" t="str">
        <f t="shared" si="84"/>
        <v/>
      </c>
      <c r="K1823" s="1">
        <f t="shared" si="86"/>
        <v>0</v>
      </c>
    </row>
    <row r="1824" spans="4:11" ht="15" customHeight="1">
      <c r="D1824" s="6" t="s">
        <v>172</v>
      </c>
      <c r="E1824" s="7"/>
      <c r="F1824" s="7"/>
      <c r="G1824" s="17" t="s">
        <v>180</v>
      </c>
      <c r="H1824" s="17">
        <v>3</v>
      </c>
      <c r="I1824" s="1">
        <f t="shared" si="85"/>
        <v>-1</v>
      </c>
      <c r="J1824" s="1">
        <f t="shared" si="84"/>
        <v>0.2786189080401158</v>
      </c>
      <c r="K1824" s="1">
        <f t="shared" si="86"/>
        <v>1.6348663119976981</v>
      </c>
    </row>
    <row r="1825" spans="4:11" ht="15.75" thickBot="1">
      <c r="D1825" s="8"/>
      <c r="E1825" s="15" t="s">
        <v>1</v>
      </c>
      <c r="F1825" s="15" t="s">
        <v>0</v>
      </c>
      <c r="G1825" s="17" t="s">
        <v>178</v>
      </c>
      <c r="H1825" s="17"/>
      <c r="I1825" s="1" t="str">
        <f t="shared" si="85"/>
        <v/>
      </c>
      <c r="J1825" s="1" t="str">
        <f t="shared" si="84"/>
        <v/>
      </c>
      <c r="K1825" s="1">
        <f t="shared" si="86"/>
        <v>0</v>
      </c>
    </row>
    <row r="1826" spans="4:11" ht="18" customHeight="1">
      <c r="D1826" s="6" t="s">
        <v>172</v>
      </c>
      <c r="E1826" s="7"/>
      <c r="F1826" s="7"/>
      <c r="G1826" s="17" t="s">
        <v>182</v>
      </c>
      <c r="H1826" s="17">
        <v>0</v>
      </c>
      <c r="I1826" s="1">
        <f t="shared" si="85"/>
        <v>3</v>
      </c>
      <c r="J1826" s="1">
        <f t="shared" si="84"/>
        <v>0.80852816283064044</v>
      </c>
      <c r="K1826" s="1">
        <f t="shared" si="86"/>
        <v>4.8025488131064478</v>
      </c>
    </row>
    <row r="1827" spans="4:11" ht="15.75" thickBot="1">
      <c r="D1827" s="8"/>
      <c r="E1827" s="15" t="s">
        <v>20</v>
      </c>
      <c r="F1827" s="15" t="s">
        <v>14</v>
      </c>
      <c r="G1827" s="17" t="s">
        <v>178</v>
      </c>
      <c r="H1827" s="17"/>
      <c r="I1827" s="1" t="str">
        <f t="shared" si="85"/>
        <v/>
      </c>
      <c r="J1827" s="1" t="str">
        <f t="shared" si="84"/>
        <v/>
      </c>
      <c r="K1827" s="1">
        <f t="shared" si="86"/>
        <v>0</v>
      </c>
    </row>
    <row r="1828" spans="4:11" ht="15" customHeight="1">
      <c r="D1828" s="6" t="s">
        <v>172</v>
      </c>
      <c r="E1828" s="7"/>
      <c r="F1828" s="7"/>
      <c r="G1828" s="17" t="s">
        <v>180</v>
      </c>
      <c r="H1828" s="17">
        <v>1</v>
      </c>
      <c r="I1828" s="1">
        <f t="shared" si="85"/>
        <v>1</v>
      </c>
      <c r="J1828" s="1">
        <f t="shared" si="84"/>
        <v>0.31035465692914954</v>
      </c>
      <c r="K1828" s="1">
        <f t="shared" si="86"/>
        <v>0.47561069921931104</v>
      </c>
    </row>
    <row r="1829" spans="4:11" ht="15.75" thickBot="1">
      <c r="D1829" s="8"/>
      <c r="E1829" s="15" t="s">
        <v>39</v>
      </c>
      <c r="F1829" s="15" t="s">
        <v>25</v>
      </c>
      <c r="G1829" s="17" t="s">
        <v>178</v>
      </c>
      <c r="H1829" s="17"/>
      <c r="I1829" s="1" t="str">
        <f t="shared" si="85"/>
        <v/>
      </c>
      <c r="J1829" s="1" t="str">
        <f t="shared" si="84"/>
        <v/>
      </c>
      <c r="K1829" s="1">
        <f t="shared" si="86"/>
        <v>0</v>
      </c>
    </row>
    <row r="1830" spans="4:11" ht="15" customHeight="1">
      <c r="D1830" s="6" t="s">
        <v>172</v>
      </c>
      <c r="E1830" s="7"/>
      <c r="F1830" s="7"/>
      <c r="G1830" s="17" t="s">
        <v>184</v>
      </c>
      <c r="H1830" s="17">
        <v>2</v>
      </c>
      <c r="I1830" s="1">
        <f t="shared" si="85"/>
        <v>2</v>
      </c>
      <c r="J1830" s="1">
        <f t="shared" si="84"/>
        <v>9.3578982560558188E-3</v>
      </c>
      <c r="K1830" s="1">
        <f t="shared" si="86"/>
        <v>3.9626559772355474</v>
      </c>
    </row>
    <row r="1831" spans="4:11" ht="15.75" thickBot="1">
      <c r="D1831" s="8"/>
      <c r="E1831" s="15" t="s">
        <v>23</v>
      </c>
      <c r="F1831" s="15" t="s">
        <v>19</v>
      </c>
      <c r="G1831" s="17" t="s">
        <v>178</v>
      </c>
      <c r="H1831" s="17"/>
      <c r="I1831" s="1" t="str">
        <f t="shared" si="85"/>
        <v/>
      </c>
      <c r="J1831" s="1" t="str">
        <f t="shared" si="84"/>
        <v/>
      </c>
      <c r="K1831" s="1">
        <f t="shared" si="86"/>
        <v>0</v>
      </c>
    </row>
    <row r="1832" spans="4:11" ht="15" customHeight="1">
      <c r="D1832" s="6" t="s">
        <v>172</v>
      </c>
      <c r="E1832" s="7"/>
      <c r="F1832" s="7"/>
      <c r="G1832" s="17" t="s">
        <v>181</v>
      </c>
      <c r="H1832" s="17">
        <v>0</v>
      </c>
      <c r="I1832" s="1">
        <f t="shared" si="85"/>
        <v>1</v>
      </c>
      <c r="J1832" s="1">
        <f t="shared" si="84"/>
        <v>5.7624116053219154E-2</v>
      </c>
      <c r="K1832" s="1">
        <f t="shared" si="86"/>
        <v>0.88807230664447656</v>
      </c>
    </row>
    <row r="1833" spans="4:11" ht="15.75" thickBot="1">
      <c r="D1833" s="8"/>
      <c r="E1833" s="15" t="s">
        <v>18</v>
      </c>
      <c r="F1833" s="15" t="s">
        <v>34</v>
      </c>
      <c r="G1833" s="17" t="s">
        <v>178</v>
      </c>
      <c r="H1833" s="17"/>
      <c r="I1833" s="1" t="str">
        <f t="shared" si="85"/>
        <v/>
      </c>
      <c r="J1833" s="1" t="str">
        <f t="shared" si="84"/>
        <v/>
      </c>
      <c r="K1833" s="1">
        <f t="shared" si="86"/>
        <v>0</v>
      </c>
    </row>
    <row r="1834" spans="4:11" ht="18" customHeight="1">
      <c r="D1834" s="6" t="s">
        <v>172</v>
      </c>
      <c r="E1834" s="7"/>
      <c r="F1834" s="7"/>
      <c r="G1834" s="17" t="s">
        <v>182</v>
      </c>
      <c r="H1834" s="17">
        <v>2</v>
      </c>
      <c r="I1834" s="1">
        <f t="shared" si="85"/>
        <v>1</v>
      </c>
      <c r="J1834" s="1">
        <f t="shared" si="84"/>
        <v>0.16136216753064048</v>
      </c>
      <c r="K1834" s="1">
        <f t="shared" si="86"/>
        <v>0.70331341404890557</v>
      </c>
    </row>
    <row r="1835" spans="4:11" ht="15.75" thickBot="1">
      <c r="D1835" s="8"/>
      <c r="E1835" s="15" t="s">
        <v>13</v>
      </c>
      <c r="F1835" s="15" t="s">
        <v>33</v>
      </c>
      <c r="G1835" s="17" t="s">
        <v>178</v>
      </c>
      <c r="H1835" s="17"/>
      <c r="I1835" s="1" t="str">
        <f t="shared" si="85"/>
        <v/>
      </c>
      <c r="J1835" s="1" t="str">
        <f t="shared" si="84"/>
        <v/>
      </c>
      <c r="K1835" s="1">
        <f t="shared" si="86"/>
        <v>0</v>
      </c>
    </row>
    <row r="1836" spans="4:11" ht="15" customHeight="1">
      <c r="D1836" s="6" t="s">
        <v>173</v>
      </c>
      <c r="E1836" s="7"/>
      <c r="F1836" s="7"/>
      <c r="G1836" s="17" t="s">
        <v>182</v>
      </c>
      <c r="H1836" s="17">
        <v>2</v>
      </c>
      <c r="I1836" s="1">
        <f t="shared" si="85"/>
        <v>1</v>
      </c>
      <c r="J1836" s="1">
        <f t="shared" si="84"/>
        <v>0.41321178023483185</v>
      </c>
      <c r="K1836" s="1">
        <f t="shared" si="86"/>
        <v>0.34432041485517528</v>
      </c>
    </row>
    <row r="1837" spans="4:11" ht="15.75" thickBot="1">
      <c r="D1837" s="8"/>
      <c r="E1837" s="15" t="s">
        <v>2</v>
      </c>
      <c r="F1837" s="15" t="s">
        <v>36</v>
      </c>
      <c r="G1837" s="17" t="s">
        <v>178</v>
      </c>
      <c r="H1837" s="17"/>
      <c r="I1837" s="1" t="str">
        <f t="shared" si="85"/>
        <v/>
      </c>
      <c r="J1837" s="1" t="str">
        <f t="shared" si="84"/>
        <v/>
      </c>
      <c r="K1837" s="1">
        <f t="shared" si="86"/>
        <v>0</v>
      </c>
    </row>
    <row r="1838" spans="4:11" ht="15" customHeight="1">
      <c r="D1838" s="6" t="s">
        <v>173</v>
      </c>
      <c r="E1838" s="7"/>
      <c r="F1838" s="7"/>
      <c r="G1838" s="17" t="s">
        <v>181</v>
      </c>
      <c r="H1838" s="17">
        <v>2</v>
      </c>
      <c r="I1838" s="1">
        <f t="shared" si="85"/>
        <v>-1</v>
      </c>
      <c r="J1838" s="1">
        <f t="shared" si="84"/>
        <v>-0.25310767117566968</v>
      </c>
      <c r="K1838" s="1">
        <f t="shared" si="86"/>
        <v>0.55784815085663153</v>
      </c>
    </row>
    <row r="1839" spans="4:11" ht="15.75" thickBot="1">
      <c r="D1839" s="8"/>
      <c r="E1839" s="15" t="s">
        <v>4</v>
      </c>
      <c r="F1839" s="15" t="s">
        <v>41</v>
      </c>
      <c r="G1839" s="17" t="s">
        <v>178</v>
      </c>
      <c r="H1839" s="17"/>
      <c r="I1839" s="1" t="str">
        <f t="shared" si="85"/>
        <v/>
      </c>
      <c r="J1839" s="1" t="str">
        <f t="shared" si="84"/>
        <v/>
      </c>
      <c r="K1839" s="1">
        <f t="shared" si="86"/>
        <v>0</v>
      </c>
    </row>
    <row r="1840" spans="4:11" ht="15" customHeight="1">
      <c r="D1840" s="6" t="s">
        <v>173</v>
      </c>
      <c r="E1840" s="7"/>
      <c r="F1840" s="7"/>
      <c r="G1840" s="17" t="s">
        <v>179</v>
      </c>
      <c r="H1840" s="17">
        <v>3</v>
      </c>
      <c r="I1840" s="1">
        <f t="shared" si="85"/>
        <v>-3</v>
      </c>
      <c r="J1840" s="1">
        <f t="shared" si="84"/>
        <v>0.80645457212938254</v>
      </c>
      <c r="K1840" s="1">
        <f t="shared" si="86"/>
        <v>14.489096409684681</v>
      </c>
    </row>
    <row r="1841" spans="4:11" ht="15.75" thickBot="1">
      <c r="D1841" s="8"/>
      <c r="E1841" s="15" t="s">
        <v>12</v>
      </c>
      <c r="F1841" s="15" t="s">
        <v>28</v>
      </c>
      <c r="G1841" s="17" t="s">
        <v>178</v>
      </c>
      <c r="H1841" s="17"/>
      <c r="I1841" s="1" t="str">
        <f t="shared" si="85"/>
        <v/>
      </c>
      <c r="J1841" s="1" t="str">
        <f t="shared" si="84"/>
        <v/>
      </c>
      <c r="K1841" s="1">
        <f t="shared" si="86"/>
        <v>0</v>
      </c>
    </row>
    <row r="1842" spans="4:11" ht="15" customHeight="1">
      <c r="D1842" s="6" t="s">
        <v>173</v>
      </c>
      <c r="E1842" s="7"/>
      <c r="F1842" s="7"/>
      <c r="G1842" s="17" t="s">
        <v>179</v>
      </c>
      <c r="H1842" s="17">
        <v>4</v>
      </c>
      <c r="I1842" s="1">
        <f t="shared" si="85"/>
        <v>-4</v>
      </c>
      <c r="J1842" s="1">
        <f t="shared" si="84"/>
        <v>5.8778060073336746E-3</v>
      </c>
      <c r="K1842" s="1">
        <f t="shared" si="86"/>
        <v>16.047056996662128</v>
      </c>
    </row>
    <row r="1843" spans="4:11" ht="15.75" thickBot="1">
      <c r="D1843" s="8"/>
      <c r="E1843" s="15" t="s">
        <v>20</v>
      </c>
      <c r="F1843" s="15" t="s">
        <v>37</v>
      </c>
      <c r="G1843" s="17" t="s">
        <v>178</v>
      </c>
      <c r="H1843" s="17"/>
      <c r="I1843" s="1" t="str">
        <f t="shared" si="85"/>
        <v/>
      </c>
      <c r="J1843" s="1" t="str">
        <f t="shared" si="84"/>
        <v/>
      </c>
      <c r="K1843" s="1">
        <f t="shared" si="86"/>
        <v>0</v>
      </c>
    </row>
    <row r="1844" spans="4:11" ht="15" customHeight="1">
      <c r="D1844" s="6" t="s">
        <v>173</v>
      </c>
      <c r="E1844" s="7"/>
      <c r="F1844" s="7"/>
      <c r="G1844" s="17" t="s">
        <v>185</v>
      </c>
      <c r="H1844" s="17">
        <v>4</v>
      </c>
      <c r="I1844" s="1">
        <f t="shared" si="85"/>
        <v>1</v>
      </c>
      <c r="J1844" s="1">
        <f t="shared" si="84"/>
        <v>3.9181568679765633E-2</v>
      </c>
      <c r="K1844" s="1">
        <f t="shared" si="86"/>
        <v>0.92317205796467594</v>
      </c>
    </row>
    <row r="1845" spans="4:11" ht="15.75" thickBot="1">
      <c r="D1845" s="8"/>
      <c r="E1845" s="15" t="s">
        <v>22</v>
      </c>
      <c r="F1845" s="15" t="s">
        <v>21</v>
      </c>
      <c r="G1845" s="17" t="s">
        <v>178</v>
      </c>
      <c r="H1845" s="17"/>
      <c r="I1845" s="1" t="str">
        <f t="shared" si="85"/>
        <v/>
      </c>
      <c r="J1845" s="1" t="str">
        <f t="shared" si="84"/>
        <v/>
      </c>
      <c r="K1845" s="1">
        <f t="shared" si="86"/>
        <v>0</v>
      </c>
    </row>
    <row r="1846" spans="4:11" ht="15" customHeight="1">
      <c r="D1846" s="6" t="s">
        <v>173</v>
      </c>
      <c r="E1846" s="7"/>
      <c r="F1846" s="7"/>
      <c r="G1846" s="17" t="s">
        <v>180</v>
      </c>
      <c r="H1846" s="17">
        <v>4</v>
      </c>
      <c r="I1846" s="1">
        <f t="shared" si="85"/>
        <v>-2</v>
      </c>
      <c r="J1846" s="1">
        <f t="shared" si="84"/>
        <v>0.62259631031723472</v>
      </c>
      <c r="K1846" s="1">
        <f t="shared" si="86"/>
        <v>6.8780114068895735</v>
      </c>
    </row>
    <row r="1847" spans="4:11" ht="15.75" thickBot="1">
      <c r="D1847" s="8"/>
      <c r="E1847" s="15" t="s">
        <v>34</v>
      </c>
      <c r="F1847" s="15" t="s">
        <v>10</v>
      </c>
      <c r="G1847" s="17" t="s">
        <v>178</v>
      </c>
      <c r="H1847" s="17"/>
      <c r="I1847" s="1" t="str">
        <f t="shared" si="85"/>
        <v/>
      </c>
      <c r="J1847" s="1" t="str">
        <f t="shared" si="84"/>
        <v/>
      </c>
      <c r="K1847" s="1">
        <f t="shared" si="86"/>
        <v>0</v>
      </c>
    </row>
    <row r="1848" spans="4:11" ht="18" customHeight="1">
      <c r="D1848" s="6" t="s">
        <v>174</v>
      </c>
      <c r="E1848" s="7"/>
      <c r="F1848" s="7"/>
      <c r="G1848" s="17" t="s">
        <v>182</v>
      </c>
      <c r="H1848" s="17">
        <v>5</v>
      </c>
      <c r="I1848" s="1">
        <f t="shared" si="85"/>
        <v>-2</v>
      </c>
      <c r="J1848" s="1">
        <f t="shared" si="84"/>
        <v>-1.0871196075546976</v>
      </c>
      <c r="K1848" s="1">
        <f t="shared" si="86"/>
        <v>0.83335061091108931</v>
      </c>
    </row>
    <row r="1849" spans="4:11" ht="15.75" thickBot="1">
      <c r="D1849" s="8"/>
      <c r="E1849" s="15" t="s">
        <v>8</v>
      </c>
      <c r="F1849" s="15" t="s">
        <v>14</v>
      </c>
      <c r="G1849" s="17" t="s">
        <v>178</v>
      </c>
      <c r="H1849" s="17"/>
      <c r="I1849" s="1" t="str">
        <f t="shared" si="85"/>
        <v/>
      </c>
      <c r="J1849" s="1" t="str">
        <f t="shared" si="84"/>
        <v/>
      </c>
      <c r="K1849" s="1">
        <f t="shared" si="86"/>
        <v>0</v>
      </c>
    </row>
    <row r="1850" spans="4:11" ht="15" customHeight="1">
      <c r="D1850" s="6" t="s">
        <v>174</v>
      </c>
      <c r="E1850" s="7"/>
      <c r="F1850" s="7"/>
      <c r="G1850" s="17" t="s">
        <v>184</v>
      </c>
      <c r="H1850" s="17">
        <v>3</v>
      </c>
      <c r="I1850" s="1">
        <f t="shared" si="85"/>
        <v>1</v>
      </c>
      <c r="J1850" s="1">
        <f t="shared" si="84"/>
        <v>-0.28635402666354537</v>
      </c>
      <c r="K1850" s="1">
        <f t="shared" si="86"/>
        <v>1.6547066819135172</v>
      </c>
    </row>
    <row r="1851" spans="4:11" ht="15.75" thickBot="1">
      <c r="D1851" s="8"/>
      <c r="E1851" s="15" t="s">
        <v>13</v>
      </c>
      <c r="F1851" s="15" t="s">
        <v>19</v>
      </c>
      <c r="G1851" s="17" t="s">
        <v>178</v>
      </c>
      <c r="H1851" s="17"/>
      <c r="I1851" s="1" t="str">
        <f t="shared" si="85"/>
        <v/>
      </c>
      <c r="J1851" s="1" t="str">
        <f t="shared" si="84"/>
        <v/>
      </c>
      <c r="K1851" s="1">
        <f t="shared" si="86"/>
        <v>0</v>
      </c>
    </row>
    <row r="1852" spans="4:11" ht="15" customHeight="1">
      <c r="D1852" s="6" t="s">
        <v>174</v>
      </c>
      <c r="E1852" s="7"/>
      <c r="F1852" s="7"/>
      <c r="G1852" s="22">
        <v>5</v>
      </c>
      <c r="H1852" s="17">
        <v>3</v>
      </c>
      <c r="I1852" s="1">
        <f t="shared" si="85"/>
        <v>2</v>
      </c>
      <c r="J1852" s="1">
        <f t="shared" si="84"/>
        <v>-0.90759281447076035</v>
      </c>
      <c r="K1852" s="1">
        <f t="shared" si="86"/>
        <v>8.4540959747619979</v>
      </c>
    </row>
    <row r="1853" spans="4:11" ht="15.75" thickBot="1">
      <c r="D1853" s="8"/>
      <c r="E1853" s="15" t="s">
        <v>28</v>
      </c>
      <c r="F1853" s="15" t="s">
        <v>41</v>
      </c>
      <c r="G1853" s="17" t="s">
        <v>178</v>
      </c>
      <c r="H1853" s="17"/>
      <c r="I1853" s="1" t="str">
        <f t="shared" si="85"/>
        <v/>
      </c>
      <c r="J1853" s="1" t="str">
        <f t="shared" si="84"/>
        <v/>
      </c>
      <c r="K1853" s="1">
        <f t="shared" si="86"/>
        <v>0</v>
      </c>
    </row>
    <row r="1854" spans="4:11" ht="15" customHeight="1">
      <c r="D1854" s="6" t="s">
        <v>174</v>
      </c>
      <c r="E1854" s="7"/>
      <c r="F1854" s="7"/>
      <c r="G1854" s="17" t="s">
        <v>180</v>
      </c>
      <c r="H1854" s="17">
        <v>0</v>
      </c>
      <c r="I1854" s="1">
        <f t="shared" si="85"/>
        <v>2</v>
      </c>
      <c r="J1854" s="1">
        <f t="shared" si="84"/>
        <v>-5.9257548358431222E-2</v>
      </c>
      <c r="K1854" s="1">
        <f t="shared" si="86"/>
        <v>4.2405416504711768</v>
      </c>
    </row>
    <row r="1855" spans="4:11" ht="15.75" thickBot="1">
      <c r="D1855" s="8"/>
      <c r="E1855" s="15" t="s">
        <v>36</v>
      </c>
      <c r="F1855" s="15" t="s">
        <v>7</v>
      </c>
      <c r="G1855" s="17" t="s">
        <v>178</v>
      </c>
      <c r="H1855" s="17"/>
      <c r="I1855" s="1" t="str">
        <f t="shared" si="85"/>
        <v/>
      </c>
      <c r="J1855" s="1" t="str">
        <f t="shared" si="84"/>
        <v/>
      </c>
      <c r="K1855" s="1">
        <f t="shared" si="86"/>
        <v>0</v>
      </c>
    </row>
    <row r="1856" spans="4:11" ht="18" customHeight="1">
      <c r="D1856" s="6" t="s">
        <v>174</v>
      </c>
      <c r="E1856" s="7"/>
      <c r="F1856" s="7"/>
      <c r="G1856" s="17" t="s">
        <v>181</v>
      </c>
      <c r="H1856" s="17">
        <v>4</v>
      </c>
      <c r="I1856" s="1">
        <f t="shared" si="85"/>
        <v>-3</v>
      </c>
      <c r="J1856" s="1">
        <f t="shared" si="84"/>
        <v>-0.5842758399092105</v>
      </c>
      <c r="K1856" s="1">
        <f t="shared" si="86"/>
        <v>5.8357232176463505</v>
      </c>
    </row>
    <row r="1857" spans="4:11" ht="15.75" thickBot="1">
      <c r="D1857" s="8"/>
      <c r="E1857" s="15" t="s">
        <v>26</v>
      </c>
      <c r="F1857" s="15" t="s">
        <v>2</v>
      </c>
      <c r="G1857" s="17" t="s">
        <v>178</v>
      </c>
      <c r="H1857" s="17"/>
      <c r="I1857" s="1" t="str">
        <f t="shared" si="85"/>
        <v/>
      </c>
      <c r="J1857" s="1" t="str">
        <f t="shared" si="84"/>
        <v/>
      </c>
      <c r="K1857" s="1">
        <f t="shared" si="86"/>
        <v>0</v>
      </c>
    </row>
    <row r="1858" spans="4:11" ht="15" customHeight="1">
      <c r="D1858" s="6" t="s">
        <v>174</v>
      </c>
      <c r="E1858" s="7"/>
      <c r="F1858" s="7"/>
      <c r="G1858" s="17" t="s">
        <v>179</v>
      </c>
      <c r="H1858" s="17">
        <v>4</v>
      </c>
      <c r="I1858" s="1">
        <f t="shared" si="85"/>
        <v>-4</v>
      </c>
      <c r="J1858" s="1">
        <f t="shared" si="84"/>
        <v>-0.89529360210173081</v>
      </c>
      <c r="K1858" s="1">
        <f t="shared" si="86"/>
        <v>9.639201817150445</v>
      </c>
    </row>
    <row r="1859" spans="4:11" ht="15.75" thickBot="1">
      <c r="D1859" s="8"/>
      <c r="E1859" s="15" t="s">
        <v>0</v>
      </c>
      <c r="F1859" s="15" t="s">
        <v>443</v>
      </c>
      <c r="G1859" s="17" t="s">
        <v>178</v>
      </c>
      <c r="H1859" s="17"/>
      <c r="I1859" s="1" t="str">
        <f t="shared" si="85"/>
        <v/>
      </c>
      <c r="J1859" s="1" t="str">
        <f t="shared" ref="J1859:J1920" si="87">IF(F1860="","",VLOOKUP(F1860,$A$2:$B$31,2)+$B$33-VLOOKUP(E1860,$A$2:$B$31,2))</f>
        <v/>
      </c>
      <c r="K1859" s="1">
        <f t="shared" si="86"/>
        <v>0</v>
      </c>
    </row>
    <row r="1860" spans="4:11" ht="15" customHeight="1">
      <c r="D1860" s="6" t="s">
        <v>174</v>
      </c>
      <c r="E1860" s="7"/>
      <c r="F1860" s="7"/>
      <c r="G1860" s="17" t="s">
        <v>180</v>
      </c>
      <c r="H1860" s="17">
        <v>4</v>
      </c>
      <c r="I1860" s="1">
        <f t="shared" ref="I1860:I1921" si="88">IF(G1860="","",G1860-H1860)</f>
        <v>-2</v>
      </c>
      <c r="J1860" s="1">
        <f t="shared" si="87"/>
        <v>0.81192185336091427</v>
      </c>
      <c r="K1860" s="1">
        <f t="shared" ref="K1860:K1923" si="89">IF(J1860="",0,(I1860-J1860)^2)</f>
        <v>7.9069045094086787</v>
      </c>
    </row>
    <row r="1861" spans="4:11" ht="30.75" thickBot="1">
      <c r="D1861" s="8"/>
      <c r="E1861" s="15" t="s">
        <v>38</v>
      </c>
      <c r="F1861" s="15" t="s">
        <v>1</v>
      </c>
      <c r="G1861" s="17" t="s">
        <v>178</v>
      </c>
      <c r="H1861" s="17"/>
      <c r="I1861" s="1" t="str">
        <f t="shared" si="88"/>
        <v/>
      </c>
      <c r="J1861" s="1" t="str">
        <f t="shared" si="87"/>
        <v/>
      </c>
      <c r="K1861" s="1">
        <f t="shared" si="89"/>
        <v>0</v>
      </c>
    </row>
    <row r="1862" spans="4:11" ht="15" customHeight="1">
      <c r="D1862" s="6" t="s">
        <v>174</v>
      </c>
      <c r="E1862" s="7"/>
      <c r="F1862" s="7"/>
      <c r="G1862" s="17" t="s">
        <v>182</v>
      </c>
      <c r="H1862" s="17">
        <v>1</v>
      </c>
      <c r="I1862" s="1">
        <f t="shared" si="88"/>
        <v>2</v>
      </c>
      <c r="J1862" s="1">
        <f t="shared" si="87"/>
        <v>0.45531239078036378</v>
      </c>
      <c r="K1862" s="1">
        <f t="shared" si="89"/>
        <v>2.3860598100766754</v>
      </c>
    </row>
    <row r="1863" spans="4:11" ht="15.75" thickBot="1">
      <c r="D1863" s="8"/>
      <c r="E1863" s="15" t="s">
        <v>23</v>
      </c>
      <c r="F1863" s="15" t="s">
        <v>22</v>
      </c>
      <c r="G1863" s="17" t="s">
        <v>178</v>
      </c>
      <c r="H1863" s="17"/>
      <c r="I1863" s="1" t="str">
        <f t="shared" si="88"/>
        <v/>
      </c>
      <c r="J1863" s="1" t="str">
        <f t="shared" si="87"/>
        <v/>
      </c>
      <c r="K1863" s="1">
        <f t="shared" si="89"/>
        <v>0</v>
      </c>
    </row>
    <row r="1864" spans="4:11" ht="15" customHeight="1">
      <c r="D1864" s="6" t="s">
        <v>174</v>
      </c>
      <c r="E1864" s="7"/>
      <c r="F1864" s="7"/>
      <c r="G1864" s="17" t="s">
        <v>180</v>
      </c>
      <c r="H1864" s="17">
        <v>1</v>
      </c>
      <c r="I1864" s="1">
        <f t="shared" si="88"/>
        <v>1</v>
      </c>
      <c r="J1864" s="1">
        <f t="shared" si="87"/>
        <v>1.3951428938979262</v>
      </c>
      <c r="K1864" s="1">
        <f t="shared" si="89"/>
        <v>0.15613790659802779</v>
      </c>
    </row>
    <row r="1865" spans="4:11" ht="15.75" thickBot="1">
      <c r="D1865" s="8"/>
      <c r="E1865" s="15" t="s">
        <v>39</v>
      </c>
      <c r="F1865" s="15" t="s">
        <v>24</v>
      </c>
      <c r="G1865" s="17" t="s">
        <v>178</v>
      </c>
      <c r="H1865" s="17"/>
      <c r="I1865" s="1" t="str">
        <f t="shared" si="88"/>
        <v/>
      </c>
      <c r="J1865" s="1" t="str">
        <f t="shared" si="87"/>
        <v/>
      </c>
      <c r="K1865" s="1">
        <f t="shared" si="89"/>
        <v>0</v>
      </c>
    </row>
    <row r="1866" spans="4:11" ht="18.75" customHeight="1">
      <c r="D1866" s="6" t="s">
        <v>174</v>
      </c>
      <c r="E1866" s="7"/>
      <c r="F1866" s="7"/>
      <c r="G1866" s="17" t="s">
        <v>184</v>
      </c>
      <c r="H1866" s="17">
        <v>2</v>
      </c>
      <c r="I1866" s="1">
        <f t="shared" si="88"/>
        <v>2</v>
      </c>
      <c r="J1866" s="1">
        <f t="shared" si="87"/>
        <v>0.19332565061613138</v>
      </c>
      <c r="K1866" s="1">
        <f t="shared" si="89"/>
        <v>3.2640722047216251</v>
      </c>
    </row>
    <row r="1867" spans="4:11" ht="15.75" thickBot="1">
      <c r="D1867" s="18"/>
      <c r="E1867" s="19" t="s">
        <v>18</v>
      </c>
      <c r="F1867" s="19" t="s">
        <v>33</v>
      </c>
      <c r="G1867" s="20"/>
      <c r="H1867" s="21"/>
      <c r="K1867" s="1">
        <f t="shared" si="89"/>
        <v>0</v>
      </c>
    </row>
    <row r="1868" spans="4:11">
      <c r="D1868" s="106" t="s">
        <v>485</v>
      </c>
      <c r="E1868" s="85"/>
      <c r="F1868" s="85"/>
      <c r="G1868" s="84">
        <v>2</v>
      </c>
      <c r="H1868" s="84">
        <v>5</v>
      </c>
      <c r="I1868" s="1">
        <f t="shared" si="88"/>
        <v>-3</v>
      </c>
      <c r="J1868" s="1">
        <f t="shared" si="87"/>
        <v>-0.10278938238509738</v>
      </c>
      <c r="K1868" s="1">
        <f t="shared" si="89"/>
        <v>8.3938293628205258</v>
      </c>
    </row>
    <row r="1869" spans="4:11" ht="15.75" thickBot="1">
      <c r="D1869" s="107"/>
      <c r="E1869" s="88" t="s">
        <v>6</v>
      </c>
      <c r="F1869" s="88" t="s">
        <v>25</v>
      </c>
      <c r="G1869" s="84"/>
      <c r="H1869" s="84"/>
      <c r="I1869" s="1" t="str">
        <f t="shared" si="88"/>
        <v/>
      </c>
      <c r="J1869" s="1" t="str">
        <f t="shared" si="87"/>
        <v/>
      </c>
      <c r="K1869" s="1">
        <f t="shared" si="89"/>
        <v>0</v>
      </c>
    </row>
    <row r="1870" spans="4:11">
      <c r="D1870" s="108" t="s">
        <v>485</v>
      </c>
      <c r="E1870" s="86"/>
      <c r="F1870" s="86"/>
      <c r="G1870" s="84">
        <v>3</v>
      </c>
      <c r="H1870" s="84">
        <v>4</v>
      </c>
      <c r="I1870" s="1">
        <f t="shared" si="88"/>
        <v>-1</v>
      </c>
      <c r="J1870" s="1">
        <f t="shared" si="87"/>
        <v>0.80265035682330677</v>
      </c>
      <c r="K1870" s="1">
        <f t="shared" si="89"/>
        <v>3.2495483089551951</v>
      </c>
    </row>
    <row r="1871" spans="4:11" ht="15.75" thickBot="1">
      <c r="D1871" s="109"/>
      <c r="E1871" s="89" t="s">
        <v>15</v>
      </c>
      <c r="F1871" s="89" t="s">
        <v>14</v>
      </c>
      <c r="G1871" s="84"/>
      <c r="H1871" s="84"/>
      <c r="I1871" s="1" t="str">
        <f t="shared" si="88"/>
        <v/>
      </c>
      <c r="J1871" s="1" t="str">
        <f t="shared" si="87"/>
        <v/>
      </c>
      <c r="K1871" s="1">
        <f t="shared" si="89"/>
        <v>0</v>
      </c>
    </row>
    <row r="1872" spans="4:11">
      <c r="D1872" s="106" t="s">
        <v>485</v>
      </c>
      <c r="E1872" s="87"/>
      <c r="F1872" s="87"/>
      <c r="G1872" s="84">
        <v>3</v>
      </c>
      <c r="H1872" s="84">
        <v>5</v>
      </c>
      <c r="I1872" s="1">
        <f t="shared" si="88"/>
        <v>-2</v>
      </c>
      <c r="J1872" s="1">
        <f t="shared" si="87"/>
        <v>-0.56882675529797666</v>
      </c>
      <c r="K1872" s="1">
        <f t="shared" si="89"/>
        <v>2.0482568563509176</v>
      </c>
    </row>
    <row r="1873" spans="4:11" ht="15.75" thickBot="1">
      <c r="D1873" s="107"/>
      <c r="E1873" s="88" t="s">
        <v>7</v>
      </c>
      <c r="F1873" s="88" t="s">
        <v>11</v>
      </c>
      <c r="G1873" s="84"/>
      <c r="H1873" s="84"/>
      <c r="I1873" s="1" t="str">
        <f t="shared" si="88"/>
        <v/>
      </c>
      <c r="J1873" s="1" t="str">
        <f t="shared" si="87"/>
        <v/>
      </c>
      <c r="K1873" s="1">
        <f t="shared" si="89"/>
        <v>0</v>
      </c>
    </row>
    <row r="1874" spans="4:11">
      <c r="D1874" s="108" t="s">
        <v>485</v>
      </c>
      <c r="E1874" s="86"/>
      <c r="F1874" s="86"/>
      <c r="G1874" s="84">
        <v>0</v>
      </c>
      <c r="H1874" s="84">
        <v>4</v>
      </c>
      <c r="I1874" s="1">
        <f t="shared" si="88"/>
        <v>-4</v>
      </c>
      <c r="J1874" s="1">
        <f t="shared" si="87"/>
        <v>-0.98940251905965226</v>
      </c>
      <c r="K1874" s="1">
        <f t="shared" si="89"/>
        <v>9.0636971922443674</v>
      </c>
    </row>
    <row r="1875" spans="4:11" ht="15.75" thickBot="1">
      <c r="D1875" s="109"/>
      <c r="E1875" s="89" t="s">
        <v>0</v>
      </c>
      <c r="F1875" s="89" t="s">
        <v>12</v>
      </c>
      <c r="G1875" s="84"/>
      <c r="H1875" s="84"/>
      <c r="I1875" s="1" t="str">
        <f t="shared" si="88"/>
        <v/>
      </c>
      <c r="J1875" s="1" t="str">
        <f t="shared" si="87"/>
        <v/>
      </c>
      <c r="K1875" s="1">
        <f t="shared" si="89"/>
        <v>0</v>
      </c>
    </row>
    <row r="1876" spans="4:11">
      <c r="D1876" s="106" t="s">
        <v>485</v>
      </c>
      <c r="E1876" s="87"/>
      <c r="F1876" s="87"/>
      <c r="G1876" s="84">
        <v>3</v>
      </c>
      <c r="H1876" s="84">
        <v>1</v>
      </c>
      <c r="I1876" s="1">
        <f t="shared" si="88"/>
        <v>2</v>
      </c>
      <c r="J1876" s="1">
        <f t="shared" si="87"/>
        <v>-0.44947490874443474</v>
      </c>
      <c r="K1876" s="1">
        <f t="shared" si="89"/>
        <v>5.9999273285685568</v>
      </c>
    </row>
    <row r="1877" spans="4:11" ht="15.75" thickBot="1">
      <c r="D1877" s="107"/>
      <c r="E1877" s="88" t="s">
        <v>10</v>
      </c>
      <c r="F1877" s="88" t="s">
        <v>21</v>
      </c>
      <c r="G1877" s="84"/>
      <c r="H1877" s="84"/>
      <c r="I1877" s="1" t="str">
        <f t="shared" si="88"/>
        <v/>
      </c>
      <c r="J1877" s="1" t="str">
        <f t="shared" si="87"/>
        <v/>
      </c>
      <c r="K1877" s="1">
        <f t="shared" si="89"/>
        <v>0</v>
      </c>
    </row>
    <row r="1878" spans="4:11">
      <c r="D1878" s="108" t="s">
        <v>485</v>
      </c>
      <c r="E1878" s="86"/>
      <c r="F1878" s="86"/>
      <c r="G1878" s="84">
        <v>5</v>
      </c>
      <c r="H1878" s="84">
        <v>6</v>
      </c>
      <c r="I1878" s="1">
        <f t="shared" si="88"/>
        <v>-1</v>
      </c>
      <c r="J1878" s="1">
        <f t="shared" si="87"/>
        <v>0.33744438407747168</v>
      </c>
      <c r="K1878" s="1">
        <f t="shared" si="89"/>
        <v>1.7887574805003676</v>
      </c>
    </row>
    <row r="1879" spans="4:11" ht="15.75" thickBot="1">
      <c r="D1879" s="109"/>
      <c r="E1879" s="89" t="s">
        <v>17</v>
      </c>
      <c r="F1879" s="89" t="s">
        <v>3</v>
      </c>
      <c r="G1879" s="84"/>
      <c r="H1879" s="84"/>
      <c r="I1879" s="1" t="str">
        <f t="shared" si="88"/>
        <v/>
      </c>
      <c r="J1879" s="1" t="str">
        <f t="shared" si="87"/>
        <v/>
      </c>
      <c r="K1879" s="1">
        <f t="shared" si="89"/>
        <v>0</v>
      </c>
    </row>
    <row r="1880" spans="4:11">
      <c r="D1880" s="106" t="s">
        <v>486</v>
      </c>
      <c r="E1880" s="87"/>
      <c r="F1880" s="87"/>
      <c r="G1880" s="84">
        <v>1</v>
      </c>
      <c r="H1880" s="84">
        <v>4</v>
      </c>
      <c r="I1880" s="1">
        <f t="shared" si="88"/>
        <v>-3</v>
      </c>
      <c r="J1880" s="1">
        <f t="shared" si="87"/>
        <v>-0.12832561471613246</v>
      </c>
      <c r="K1880" s="1">
        <f t="shared" si="89"/>
        <v>8.2465137750954778</v>
      </c>
    </row>
    <row r="1881" spans="4:11" ht="15.75" thickBot="1">
      <c r="D1881" s="107"/>
      <c r="E1881" s="88" t="s">
        <v>19</v>
      </c>
      <c r="F1881" s="88" t="s">
        <v>16</v>
      </c>
      <c r="G1881" s="84"/>
      <c r="H1881" s="84"/>
      <c r="I1881" s="1" t="str">
        <f t="shared" si="88"/>
        <v/>
      </c>
      <c r="J1881" s="1" t="str">
        <f t="shared" si="87"/>
        <v/>
      </c>
      <c r="K1881" s="1">
        <f t="shared" si="89"/>
        <v>0</v>
      </c>
    </row>
    <row r="1882" spans="4:11">
      <c r="D1882" s="108" t="s">
        <v>486</v>
      </c>
      <c r="E1882" s="86"/>
      <c r="F1882" s="86"/>
      <c r="G1882" s="84">
        <v>2</v>
      </c>
      <c r="H1882" s="84">
        <v>5</v>
      </c>
      <c r="I1882" s="1">
        <f t="shared" si="88"/>
        <v>-3</v>
      </c>
      <c r="J1882" s="1">
        <f t="shared" si="87"/>
        <v>-0.91456710579601008</v>
      </c>
      <c r="K1882" s="1">
        <f t="shared" si="89"/>
        <v>4.3490303562280301</v>
      </c>
    </row>
    <row r="1883" spans="4:11" ht="15.75" thickBot="1">
      <c r="D1883" s="109"/>
      <c r="E1883" s="89" t="s">
        <v>28</v>
      </c>
      <c r="F1883" s="89" t="s">
        <v>20</v>
      </c>
      <c r="G1883" s="84"/>
      <c r="H1883" s="84"/>
      <c r="I1883" s="1" t="str">
        <f t="shared" si="88"/>
        <v/>
      </c>
      <c r="J1883" s="1" t="str">
        <f t="shared" si="87"/>
        <v/>
      </c>
      <c r="K1883" s="1">
        <f t="shared" si="89"/>
        <v>0</v>
      </c>
    </row>
    <row r="1884" spans="4:11">
      <c r="D1884" s="106" t="s">
        <v>486</v>
      </c>
      <c r="E1884" s="87"/>
      <c r="F1884" s="87"/>
      <c r="G1884" s="84">
        <v>0</v>
      </c>
      <c r="H1884" s="84">
        <v>4</v>
      </c>
      <c r="I1884" s="1">
        <f t="shared" si="88"/>
        <v>-4</v>
      </c>
      <c r="J1884" s="1">
        <f t="shared" si="87"/>
        <v>0.38079464961101905</v>
      </c>
      <c r="K1884" s="1">
        <f t="shared" si="89"/>
        <v>19.191361762060531</v>
      </c>
    </row>
    <row r="1885" spans="4:11" ht="15.75" thickBot="1">
      <c r="D1885" s="107"/>
      <c r="E1885" s="88" t="s">
        <v>443</v>
      </c>
      <c r="F1885" s="88" t="s">
        <v>5</v>
      </c>
      <c r="G1885" s="84"/>
      <c r="H1885" s="84"/>
      <c r="I1885" s="1" t="str">
        <f t="shared" si="88"/>
        <v/>
      </c>
      <c r="J1885" s="1" t="str">
        <f t="shared" si="87"/>
        <v/>
      </c>
      <c r="K1885" s="1">
        <f t="shared" si="89"/>
        <v>0</v>
      </c>
    </row>
    <row r="1886" spans="4:11">
      <c r="D1886" s="108" t="s">
        <v>487</v>
      </c>
      <c r="E1886" s="86"/>
      <c r="F1886" s="86"/>
      <c r="G1886" s="84">
        <v>1</v>
      </c>
      <c r="H1886" s="84">
        <v>3</v>
      </c>
      <c r="I1886" s="1">
        <f t="shared" si="88"/>
        <v>-2</v>
      </c>
      <c r="J1886" s="1">
        <f t="shared" si="87"/>
        <v>0.76354691027412969</v>
      </c>
      <c r="K1886" s="1">
        <f t="shared" si="89"/>
        <v>7.6371915252856883</v>
      </c>
    </row>
    <row r="1887" spans="4:11" ht="15.75" thickBot="1">
      <c r="D1887" s="109"/>
      <c r="E1887" s="89" t="s">
        <v>19</v>
      </c>
      <c r="F1887" s="89" t="s">
        <v>9</v>
      </c>
      <c r="G1887" s="84"/>
      <c r="H1887" s="84"/>
      <c r="I1887" s="1" t="str">
        <f t="shared" si="88"/>
        <v/>
      </c>
      <c r="J1887" s="1" t="str">
        <f t="shared" si="87"/>
        <v/>
      </c>
      <c r="K1887" s="1">
        <f t="shared" si="89"/>
        <v>0</v>
      </c>
    </row>
    <row r="1888" spans="4:11">
      <c r="D1888" s="106" t="s">
        <v>487</v>
      </c>
      <c r="E1888" s="87"/>
      <c r="F1888" s="87"/>
      <c r="G1888" s="84">
        <v>3</v>
      </c>
      <c r="H1888" s="84">
        <v>2</v>
      </c>
      <c r="I1888" s="1">
        <f t="shared" si="88"/>
        <v>1</v>
      </c>
      <c r="J1888" s="1">
        <f t="shared" si="87"/>
        <v>0.55881418218524459</v>
      </c>
      <c r="K1888" s="1">
        <f t="shared" si="89"/>
        <v>0.19464492584087456</v>
      </c>
    </row>
    <row r="1889" spans="4:11" ht="15.75" thickBot="1">
      <c r="D1889" s="107"/>
      <c r="E1889" s="88" t="s">
        <v>4</v>
      </c>
      <c r="F1889" s="88" t="s">
        <v>1</v>
      </c>
      <c r="G1889" s="84"/>
      <c r="H1889" s="84"/>
      <c r="I1889" s="1" t="str">
        <f t="shared" si="88"/>
        <v/>
      </c>
      <c r="J1889" s="1" t="str">
        <f t="shared" si="87"/>
        <v/>
      </c>
      <c r="K1889" s="1">
        <f t="shared" si="89"/>
        <v>0</v>
      </c>
    </row>
    <row r="1890" spans="4:11">
      <c r="D1890" s="108" t="s">
        <v>487</v>
      </c>
      <c r="E1890" s="86"/>
      <c r="F1890" s="86"/>
      <c r="G1890" s="84">
        <v>5</v>
      </c>
      <c r="H1890" s="84">
        <v>3</v>
      </c>
      <c r="I1890" s="1">
        <f t="shared" si="88"/>
        <v>2</v>
      </c>
      <c r="J1890" s="1">
        <f t="shared" si="87"/>
        <v>0.73147673429045312</v>
      </c>
      <c r="K1890" s="1">
        <f t="shared" si="89"/>
        <v>1.6091512756464137</v>
      </c>
    </row>
    <row r="1891" spans="4:11" ht="15.75" thickBot="1">
      <c r="D1891" s="109"/>
      <c r="E1891" s="89" t="s">
        <v>12</v>
      </c>
      <c r="F1891" s="89" t="s">
        <v>7</v>
      </c>
      <c r="G1891" s="84"/>
      <c r="H1891" s="84"/>
      <c r="I1891" s="1" t="str">
        <f t="shared" si="88"/>
        <v/>
      </c>
      <c r="J1891" s="1" t="str">
        <f t="shared" si="87"/>
        <v/>
      </c>
      <c r="K1891" s="1">
        <f t="shared" si="89"/>
        <v>0</v>
      </c>
    </row>
    <row r="1892" spans="4:11">
      <c r="D1892" s="106" t="s">
        <v>487</v>
      </c>
      <c r="E1892" s="87"/>
      <c r="F1892" s="87"/>
      <c r="G1892" s="84">
        <v>0</v>
      </c>
      <c r="H1892" s="84">
        <v>3</v>
      </c>
      <c r="I1892" s="1">
        <f t="shared" si="88"/>
        <v>-3</v>
      </c>
      <c r="J1892" s="1">
        <f t="shared" si="87"/>
        <v>-1.8897699643780044</v>
      </c>
      <c r="K1892" s="1">
        <f t="shared" si="89"/>
        <v>1.2326107319972177</v>
      </c>
    </row>
    <row r="1893" spans="4:11" ht="15.75" thickBot="1">
      <c r="D1893" s="107"/>
      <c r="E1893" s="88" t="s">
        <v>8</v>
      </c>
      <c r="F1893" s="88" t="s">
        <v>15</v>
      </c>
      <c r="G1893" s="84"/>
      <c r="H1893" s="84"/>
      <c r="I1893" s="1" t="str">
        <f t="shared" si="88"/>
        <v/>
      </c>
      <c r="J1893" s="1" t="str">
        <f t="shared" si="87"/>
        <v/>
      </c>
      <c r="K1893" s="1">
        <f t="shared" si="89"/>
        <v>0</v>
      </c>
    </row>
    <row r="1894" spans="4:11">
      <c r="D1894" s="108" t="s">
        <v>487</v>
      </c>
      <c r="E1894" s="86"/>
      <c r="F1894" s="86"/>
      <c r="G1894" s="84">
        <v>3</v>
      </c>
      <c r="H1894" s="84">
        <v>2</v>
      </c>
      <c r="I1894" s="1">
        <f t="shared" si="88"/>
        <v>1</v>
      </c>
      <c r="J1894" s="1">
        <f t="shared" si="87"/>
        <v>-0.28898688989563937</v>
      </c>
      <c r="K1894" s="1">
        <f t="shared" si="89"/>
        <v>1.6614872023228331</v>
      </c>
    </row>
    <row r="1895" spans="4:11" ht="15.75" thickBot="1">
      <c r="D1895" s="109"/>
      <c r="E1895" s="89" t="s">
        <v>0</v>
      </c>
      <c r="F1895" s="89" t="s">
        <v>14</v>
      </c>
      <c r="G1895" s="84"/>
      <c r="H1895" s="84"/>
      <c r="I1895" s="1" t="str">
        <f t="shared" si="88"/>
        <v/>
      </c>
      <c r="J1895" s="1" t="str">
        <f t="shared" si="87"/>
        <v/>
      </c>
      <c r="K1895" s="1">
        <f t="shared" si="89"/>
        <v>0</v>
      </c>
    </row>
    <row r="1896" spans="4:11">
      <c r="D1896" s="106" t="s">
        <v>487</v>
      </c>
      <c r="E1896" s="87"/>
      <c r="F1896" s="87"/>
      <c r="G1896" s="84">
        <v>2</v>
      </c>
      <c r="H1896" s="84">
        <v>3</v>
      </c>
      <c r="I1896" s="1">
        <f t="shared" si="88"/>
        <v>-1</v>
      </c>
      <c r="J1896" s="1">
        <f t="shared" si="87"/>
        <v>-0.26374844183411028</v>
      </c>
      <c r="K1896" s="1">
        <f t="shared" si="89"/>
        <v>0.54206635690170046</v>
      </c>
    </row>
    <row r="1897" spans="4:11" ht="15.75" thickBot="1">
      <c r="D1897" s="107"/>
      <c r="E1897" s="88" t="s">
        <v>18</v>
      </c>
      <c r="F1897" s="88" t="s">
        <v>23</v>
      </c>
      <c r="G1897" s="84"/>
      <c r="H1897" s="84"/>
      <c r="I1897" s="1" t="str">
        <f t="shared" si="88"/>
        <v/>
      </c>
      <c r="J1897" s="1" t="str">
        <f t="shared" si="87"/>
        <v/>
      </c>
      <c r="K1897" s="1">
        <f t="shared" si="89"/>
        <v>0</v>
      </c>
    </row>
    <row r="1898" spans="4:11">
      <c r="D1898" s="108" t="s">
        <v>487</v>
      </c>
      <c r="E1898" s="86"/>
      <c r="F1898" s="86"/>
      <c r="G1898" s="84">
        <v>2</v>
      </c>
      <c r="H1898" s="84">
        <v>3</v>
      </c>
      <c r="I1898" s="1">
        <f t="shared" si="88"/>
        <v>-1</v>
      </c>
      <c r="J1898" s="1">
        <f t="shared" si="87"/>
        <v>-0.31990435956971908</v>
      </c>
      <c r="K1898" s="1">
        <f t="shared" si="89"/>
        <v>0.46253008013227398</v>
      </c>
    </row>
    <row r="1899" spans="4:11" ht="15.75" thickBot="1">
      <c r="D1899" s="109"/>
      <c r="E1899" s="89" t="s">
        <v>27</v>
      </c>
      <c r="F1899" s="89" t="s">
        <v>21</v>
      </c>
      <c r="G1899" s="84"/>
      <c r="H1899" s="84"/>
      <c r="I1899" s="1" t="str">
        <f t="shared" si="88"/>
        <v/>
      </c>
      <c r="J1899" s="1" t="str">
        <f t="shared" si="87"/>
        <v/>
      </c>
      <c r="K1899" s="1">
        <f t="shared" si="89"/>
        <v>0</v>
      </c>
    </row>
    <row r="1900" spans="4:11">
      <c r="D1900" s="106" t="s">
        <v>487</v>
      </c>
      <c r="E1900" s="87"/>
      <c r="F1900" s="87"/>
      <c r="G1900" s="84">
        <v>4</v>
      </c>
      <c r="H1900" s="84">
        <v>1</v>
      </c>
      <c r="I1900" s="1">
        <f t="shared" si="88"/>
        <v>3</v>
      </c>
      <c r="J1900" s="1">
        <f t="shared" si="87"/>
        <v>0</v>
      </c>
      <c r="K1900" s="1">
        <f t="shared" si="89"/>
        <v>9</v>
      </c>
    </row>
    <row r="1901" spans="4:11" ht="15.75" thickBot="1">
      <c r="D1901" s="107"/>
      <c r="E1901" s="88" t="s">
        <v>10</v>
      </c>
      <c r="F1901" s="88" t="s">
        <v>26</v>
      </c>
      <c r="G1901" s="84"/>
      <c r="H1901" s="84"/>
      <c r="I1901" s="1" t="str">
        <f t="shared" si="88"/>
        <v/>
      </c>
      <c r="J1901" s="1" t="str">
        <f t="shared" si="87"/>
        <v/>
      </c>
      <c r="K1901" s="1">
        <f t="shared" si="89"/>
        <v>0</v>
      </c>
    </row>
    <row r="1902" spans="4:11">
      <c r="D1902" s="108" t="s">
        <v>487</v>
      </c>
      <c r="E1902" s="86"/>
      <c r="F1902" s="86"/>
      <c r="G1902" s="84">
        <v>5</v>
      </c>
      <c r="H1902" s="84">
        <v>2</v>
      </c>
      <c r="I1902" s="1">
        <f t="shared" si="88"/>
        <v>3</v>
      </c>
      <c r="J1902" s="1">
        <f t="shared" si="87"/>
        <v>0.9819988545836793</v>
      </c>
      <c r="K1902" s="1">
        <f t="shared" si="89"/>
        <v>4.0723286229015825</v>
      </c>
    </row>
    <row r="1903" spans="4:11" ht="15.75" thickBot="1">
      <c r="D1903" s="109"/>
      <c r="E1903" s="89" t="s">
        <v>6</v>
      </c>
      <c r="F1903" s="89" t="s">
        <v>24</v>
      </c>
      <c r="G1903" s="84"/>
      <c r="H1903" s="84"/>
      <c r="I1903" s="1" t="str">
        <f t="shared" si="88"/>
        <v/>
      </c>
      <c r="J1903" s="1" t="str">
        <f t="shared" si="87"/>
        <v/>
      </c>
      <c r="K1903" s="1">
        <f t="shared" si="89"/>
        <v>0</v>
      </c>
    </row>
    <row r="1904" spans="4:11">
      <c r="D1904" s="106" t="s">
        <v>487</v>
      </c>
      <c r="E1904" s="87"/>
      <c r="F1904" s="87"/>
      <c r="G1904" s="84">
        <v>6</v>
      </c>
      <c r="H1904" s="84">
        <v>2</v>
      </c>
      <c r="I1904" s="1">
        <f t="shared" si="88"/>
        <v>4</v>
      </c>
      <c r="J1904" s="1">
        <f t="shared" si="87"/>
        <v>-0.21140118979968747</v>
      </c>
      <c r="K1904" s="1">
        <f t="shared" si="89"/>
        <v>17.735899981446224</v>
      </c>
    </row>
    <row r="1905" spans="4:11" ht="15.75" thickBot="1">
      <c r="D1905" s="107"/>
      <c r="E1905" s="88" t="s">
        <v>5</v>
      </c>
      <c r="F1905" s="88" t="s">
        <v>3</v>
      </c>
      <c r="G1905" s="84"/>
      <c r="H1905" s="84"/>
      <c r="I1905" s="1" t="str">
        <f t="shared" si="88"/>
        <v/>
      </c>
      <c r="J1905" s="1" t="str">
        <f t="shared" si="87"/>
        <v/>
      </c>
      <c r="K1905" s="1">
        <f t="shared" si="89"/>
        <v>0</v>
      </c>
    </row>
    <row r="1906" spans="4:11">
      <c r="D1906" s="108" t="s">
        <v>488</v>
      </c>
      <c r="E1906" s="86"/>
      <c r="F1906" s="86"/>
      <c r="G1906" s="84">
        <v>3</v>
      </c>
      <c r="H1906" s="84">
        <v>1</v>
      </c>
      <c r="I1906" s="1">
        <f t="shared" si="88"/>
        <v>2</v>
      </c>
      <c r="J1906" s="1">
        <f t="shared" si="87"/>
        <v>-4.5165266331878229E-2</v>
      </c>
      <c r="K1906" s="1">
        <f t="shared" si="89"/>
        <v>4.1827009666103425</v>
      </c>
    </row>
    <row r="1907" spans="4:11" ht="15.75" thickBot="1">
      <c r="D1907" s="109"/>
      <c r="E1907" s="89" t="s">
        <v>18</v>
      </c>
      <c r="F1907" s="89" t="s">
        <v>25</v>
      </c>
      <c r="G1907" s="84"/>
      <c r="H1907" s="84"/>
      <c r="I1907" s="1" t="str">
        <f t="shared" si="88"/>
        <v/>
      </c>
      <c r="J1907" s="1" t="str">
        <f t="shared" si="87"/>
        <v/>
      </c>
      <c r="K1907" s="1">
        <f t="shared" si="89"/>
        <v>0</v>
      </c>
    </row>
    <row r="1908" spans="4:11">
      <c r="D1908" s="106" t="s">
        <v>488</v>
      </c>
      <c r="E1908" s="87"/>
      <c r="F1908" s="87"/>
      <c r="G1908" s="84">
        <v>1</v>
      </c>
      <c r="H1908" s="84">
        <v>2</v>
      </c>
      <c r="I1908" s="1">
        <f t="shared" si="88"/>
        <v>-1</v>
      </c>
      <c r="J1908" s="1">
        <f t="shared" si="87"/>
        <v>0.41467964137967783</v>
      </c>
      <c r="K1908" s="1">
        <f t="shared" si="89"/>
        <v>2.0013184877341339</v>
      </c>
    </row>
    <row r="1909" spans="4:11" ht="15.75" thickBot="1">
      <c r="D1909" s="107"/>
      <c r="E1909" s="88" t="s">
        <v>16</v>
      </c>
      <c r="F1909" s="88" t="s">
        <v>13</v>
      </c>
      <c r="G1909" s="84"/>
      <c r="H1909" s="84"/>
      <c r="I1909" s="1" t="str">
        <f t="shared" si="88"/>
        <v/>
      </c>
      <c r="J1909" s="1" t="str">
        <f t="shared" si="87"/>
        <v/>
      </c>
      <c r="K1909" s="1">
        <f t="shared" si="89"/>
        <v>0</v>
      </c>
    </row>
    <row r="1910" spans="4:11">
      <c r="D1910" s="108" t="s">
        <v>488</v>
      </c>
      <c r="E1910" s="86"/>
      <c r="F1910" s="86"/>
      <c r="G1910" s="84">
        <v>1</v>
      </c>
      <c r="H1910" s="84">
        <v>3</v>
      </c>
      <c r="I1910" s="1">
        <f t="shared" si="88"/>
        <v>-2</v>
      </c>
      <c r="J1910" s="1">
        <f t="shared" si="87"/>
        <v>0.31049188590658616</v>
      </c>
      <c r="K1910" s="1">
        <f t="shared" si="89"/>
        <v>5.3383727548401732</v>
      </c>
    </row>
    <row r="1911" spans="4:11" ht="15.75" thickBot="1">
      <c r="D1911" s="109"/>
      <c r="E1911" s="89" t="s">
        <v>11</v>
      </c>
      <c r="F1911" s="89" t="s">
        <v>22</v>
      </c>
      <c r="G1911" s="84"/>
      <c r="H1911" s="84"/>
      <c r="I1911" s="1" t="str">
        <f t="shared" si="88"/>
        <v/>
      </c>
      <c r="J1911" s="1" t="str">
        <f t="shared" si="87"/>
        <v/>
      </c>
      <c r="K1911" s="1">
        <f t="shared" si="89"/>
        <v>0</v>
      </c>
    </row>
    <row r="1912" spans="4:11">
      <c r="D1912" s="106" t="s">
        <v>488</v>
      </c>
      <c r="E1912" s="87"/>
      <c r="F1912" s="87"/>
      <c r="G1912" s="84">
        <v>1</v>
      </c>
      <c r="H1912" s="84">
        <v>3</v>
      </c>
      <c r="I1912" s="1">
        <f t="shared" si="88"/>
        <v>-2</v>
      </c>
      <c r="J1912" s="1">
        <f t="shared" si="87"/>
        <v>0.86768942536534155</v>
      </c>
      <c r="K1912" s="1">
        <f t="shared" si="89"/>
        <v>8.2236426403522032</v>
      </c>
    </row>
    <row r="1913" spans="4:11" ht="15.75" thickBot="1">
      <c r="D1913" s="107"/>
      <c r="E1913" s="88" t="s">
        <v>443</v>
      </c>
      <c r="F1913" s="88" t="s">
        <v>10</v>
      </c>
      <c r="G1913" s="84"/>
      <c r="H1913" s="84"/>
      <c r="I1913" s="1" t="str">
        <f t="shared" si="88"/>
        <v/>
      </c>
      <c r="J1913" s="1" t="str">
        <f t="shared" si="87"/>
        <v/>
      </c>
      <c r="K1913" s="1">
        <f t="shared" si="89"/>
        <v>0</v>
      </c>
    </row>
    <row r="1914" spans="4:11">
      <c r="D1914" s="108" t="s">
        <v>489</v>
      </c>
      <c r="E1914" s="86"/>
      <c r="F1914" s="86"/>
      <c r="G1914" s="84">
        <v>4</v>
      </c>
      <c r="H1914" s="84">
        <v>3</v>
      </c>
      <c r="I1914" s="1">
        <f t="shared" si="88"/>
        <v>1</v>
      </c>
      <c r="J1914" s="1">
        <f t="shared" si="87"/>
        <v>0.22555307357976062</v>
      </c>
      <c r="K1914" s="1">
        <f t="shared" si="89"/>
        <v>0.59976804184175569</v>
      </c>
    </row>
    <row r="1915" spans="4:11" ht="15.75" thickBot="1">
      <c r="D1915" s="109"/>
      <c r="E1915" s="89" t="s">
        <v>4</v>
      </c>
      <c r="F1915" s="89" t="s">
        <v>2</v>
      </c>
      <c r="G1915" s="84"/>
      <c r="H1915" s="84"/>
      <c r="I1915" s="1" t="str">
        <f t="shared" si="88"/>
        <v/>
      </c>
      <c r="J1915" s="1" t="str">
        <f t="shared" si="87"/>
        <v/>
      </c>
      <c r="K1915" s="1">
        <f t="shared" si="89"/>
        <v>0</v>
      </c>
    </row>
    <row r="1916" spans="4:11">
      <c r="D1916" s="106" t="s">
        <v>489</v>
      </c>
      <c r="E1916" s="87"/>
      <c r="F1916" s="87"/>
      <c r="G1916" s="84">
        <v>1</v>
      </c>
      <c r="H1916" s="84">
        <v>3</v>
      </c>
      <c r="I1916" s="1">
        <f t="shared" si="88"/>
        <v>-2</v>
      </c>
      <c r="J1916" s="1">
        <f t="shared" si="87"/>
        <v>0.78472561832775511</v>
      </c>
      <c r="K1916" s="1">
        <f t="shared" si="89"/>
        <v>7.7546967693708977</v>
      </c>
    </row>
    <row r="1917" spans="4:11" ht="15.75" thickBot="1">
      <c r="D1917" s="107"/>
      <c r="E1917" s="88" t="s">
        <v>17</v>
      </c>
      <c r="F1917" s="88" t="s">
        <v>1</v>
      </c>
      <c r="G1917" s="84"/>
      <c r="H1917" s="84"/>
      <c r="I1917" s="1" t="str">
        <f t="shared" si="88"/>
        <v/>
      </c>
      <c r="J1917" s="1" t="str">
        <f t="shared" si="87"/>
        <v/>
      </c>
      <c r="K1917" s="1">
        <f t="shared" si="89"/>
        <v>0</v>
      </c>
    </row>
    <row r="1918" spans="4:11">
      <c r="D1918" s="108" t="s">
        <v>489</v>
      </c>
      <c r="E1918" s="86"/>
      <c r="F1918" s="86"/>
      <c r="G1918" s="84">
        <v>2</v>
      </c>
      <c r="H1918" s="84">
        <v>1</v>
      </c>
      <c r="I1918" s="1">
        <f t="shared" si="88"/>
        <v>1</v>
      </c>
      <c r="J1918" s="1">
        <f t="shared" si="87"/>
        <v>-1.782947411869884E-2</v>
      </c>
      <c r="K1918" s="1">
        <f t="shared" si="89"/>
        <v>1.035976838384747</v>
      </c>
    </row>
    <row r="1919" spans="4:11" ht="15.75" thickBot="1">
      <c r="D1919" s="109"/>
      <c r="E1919" s="89" t="s">
        <v>23</v>
      </c>
      <c r="F1919" s="89" t="s">
        <v>12</v>
      </c>
      <c r="G1919" s="84"/>
      <c r="H1919" s="84"/>
      <c r="I1919" s="1" t="str">
        <f t="shared" si="88"/>
        <v/>
      </c>
      <c r="J1919" s="1" t="str">
        <f t="shared" si="87"/>
        <v/>
      </c>
      <c r="K1919" s="1">
        <f t="shared" si="89"/>
        <v>0</v>
      </c>
    </row>
    <row r="1920" spans="4:11">
      <c r="D1920" s="106" t="s">
        <v>489</v>
      </c>
      <c r="E1920" s="87"/>
      <c r="F1920" s="87"/>
      <c r="G1920" s="84">
        <v>2</v>
      </c>
      <c r="H1920" s="84">
        <v>4</v>
      </c>
      <c r="I1920" s="1">
        <f t="shared" si="88"/>
        <v>-2</v>
      </c>
      <c r="J1920" s="1">
        <f t="shared" si="87"/>
        <v>-1.0916372467189461</v>
      </c>
      <c r="K1920" s="1">
        <f t="shared" si="89"/>
        <v>0.82512289154833673</v>
      </c>
    </row>
    <row r="1921" spans="4:11" ht="15.75" thickBot="1">
      <c r="D1921" s="107"/>
      <c r="E1921" s="88" t="s">
        <v>0</v>
      </c>
      <c r="F1921" s="88" t="s">
        <v>15</v>
      </c>
      <c r="G1921" s="84"/>
      <c r="H1921" s="84"/>
      <c r="I1921" s="1" t="str">
        <f t="shared" si="88"/>
        <v/>
      </c>
      <c r="J1921" s="1" t="str">
        <f t="shared" ref="J1921:J1984" si="90">IF(F1922="","",VLOOKUP(F1922,$A$2:$B$31,2)+$B$33-VLOOKUP(E1922,$A$2:$B$31,2))</f>
        <v/>
      </c>
      <c r="K1921" s="1">
        <f t="shared" si="89"/>
        <v>0</v>
      </c>
    </row>
    <row r="1922" spans="4:11">
      <c r="D1922" s="108" t="s">
        <v>489</v>
      </c>
      <c r="E1922" s="86"/>
      <c r="F1922" s="86"/>
      <c r="G1922" s="84">
        <v>4</v>
      </c>
      <c r="H1922" s="84">
        <v>3</v>
      </c>
      <c r="I1922" s="1">
        <f t="shared" ref="I1922:I1985" si="91">IF(G1922="","",G1922-H1922)</f>
        <v>1</v>
      </c>
      <c r="J1922" s="1">
        <f t="shared" si="90"/>
        <v>0.18809219558518464</v>
      </c>
      <c r="K1922" s="1">
        <f t="shared" si="89"/>
        <v>0.65919428286968607</v>
      </c>
    </row>
    <row r="1923" spans="4:11" ht="15.75" thickBot="1">
      <c r="D1923" s="109"/>
      <c r="E1923" s="89" t="s">
        <v>21</v>
      </c>
      <c r="F1923" s="89" t="s">
        <v>14</v>
      </c>
      <c r="G1923" s="84"/>
      <c r="H1923" s="84"/>
      <c r="I1923" s="1" t="str">
        <f t="shared" si="91"/>
        <v/>
      </c>
      <c r="J1923" s="1" t="str">
        <f t="shared" si="90"/>
        <v/>
      </c>
      <c r="K1923" s="1">
        <f t="shared" si="89"/>
        <v>0</v>
      </c>
    </row>
    <row r="1924" spans="4:11">
      <c r="D1924" s="106" t="s">
        <v>489</v>
      </c>
      <c r="E1924" s="87"/>
      <c r="F1924" s="87"/>
      <c r="G1924" s="84">
        <v>4</v>
      </c>
      <c r="H1924" s="84">
        <v>3</v>
      </c>
      <c r="I1924" s="1">
        <f t="shared" si="91"/>
        <v>1</v>
      </c>
      <c r="J1924" s="1">
        <f t="shared" si="90"/>
        <v>-0.80504042077379268</v>
      </c>
      <c r="K1924" s="1">
        <f t="shared" ref="K1924:K1987" si="92">IF(J1924="",0,(I1924-J1924)^2)</f>
        <v>3.2581709206272307</v>
      </c>
    </row>
    <row r="1925" spans="4:11" ht="15.75" thickBot="1">
      <c r="D1925" s="107"/>
      <c r="E1925" s="88" t="s">
        <v>27</v>
      </c>
      <c r="F1925" s="88" t="s">
        <v>19</v>
      </c>
      <c r="G1925" s="84"/>
      <c r="H1925" s="84"/>
      <c r="I1925" s="1" t="str">
        <f t="shared" si="91"/>
        <v/>
      </c>
      <c r="J1925" s="1" t="str">
        <f t="shared" si="90"/>
        <v/>
      </c>
      <c r="K1925" s="1">
        <f t="shared" si="92"/>
        <v>0</v>
      </c>
    </row>
    <row r="1926" spans="4:11">
      <c r="D1926" s="108" t="s">
        <v>489</v>
      </c>
      <c r="E1926" s="86"/>
      <c r="F1926" s="86"/>
      <c r="G1926" s="84">
        <v>2</v>
      </c>
      <c r="H1926" s="84">
        <v>3</v>
      </c>
      <c r="I1926" s="1">
        <f t="shared" si="91"/>
        <v>-1</v>
      </c>
      <c r="J1926" s="1">
        <f t="shared" si="90"/>
        <v>0.69829596555400997</v>
      </c>
      <c r="K1926" s="1">
        <f t="shared" si="92"/>
        <v>2.884209186617027</v>
      </c>
    </row>
    <row r="1927" spans="4:11" ht="15.75" thickBot="1">
      <c r="D1927" s="109"/>
      <c r="E1927" s="89" t="s">
        <v>3</v>
      </c>
      <c r="F1927" s="89" t="s">
        <v>26</v>
      </c>
      <c r="G1927" s="84"/>
      <c r="H1927" s="84"/>
      <c r="I1927" s="1" t="str">
        <f t="shared" si="91"/>
        <v/>
      </c>
      <c r="J1927" s="1" t="str">
        <f t="shared" si="90"/>
        <v/>
      </c>
      <c r="K1927" s="1">
        <f t="shared" si="92"/>
        <v>0</v>
      </c>
    </row>
    <row r="1928" spans="4:11">
      <c r="D1928" s="106" t="s">
        <v>489</v>
      </c>
      <c r="E1928" s="87"/>
      <c r="F1928" s="87"/>
      <c r="G1928" s="84">
        <v>3</v>
      </c>
      <c r="H1928" s="84">
        <v>4</v>
      </c>
      <c r="I1928" s="1">
        <f t="shared" si="91"/>
        <v>-1</v>
      </c>
      <c r="J1928" s="1">
        <f t="shared" si="90"/>
        <v>0.24509311504810682</v>
      </c>
      <c r="K1928" s="1">
        <f t="shared" si="92"/>
        <v>1.5502568651401982</v>
      </c>
    </row>
    <row r="1929" spans="4:11" ht="15.75" thickBot="1">
      <c r="D1929" s="107"/>
      <c r="E1929" s="88" t="s">
        <v>443</v>
      </c>
      <c r="F1929" s="88" t="s">
        <v>6</v>
      </c>
      <c r="G1929" s="84"/>
      <c r="H1929" s="84"/>
      <c r="I1929" s="1" t="str">
        <f t="shared" si="91"/>
        <v/>
      </c>
      <c r="J1929" s="1" t="str">
        <f t="shared" si="90"/>
        <v/>
      </c>
      <c r="K1929" s="1">
        <f t="shared" si="92"/>
        <v>0</v>
      </c>
    </row>
    <row r="1930" spans="4:11">
      <c r="D1930" s="108" t="s">
        <v>490</v>
      </c>
      <c r="E1930" s="86"/>
      <c r="F1930" s="86"/>
      <c r="G1930" s="84">
        <v>3</v>
      </c>
      <c r="H1930" s="84">
        <v>2</v>
      </c>
      <c r="I1930" s="1">
        <f t="shared" si="91"/>
        <v>1</v>
      </c>
      <c r="J1930" s="1">
        <f t="shared" si="90"/>
        <v>5.9257548358431222E-2</v>
      </c>
      <c r="K1930" s="1">
        <f t="shared" si="92"/>
        <v>0.88499636032058937</v>
      </c>
    </row>
    <row r="1931" spans="4:11" ht="15.75" thickBot="1">
      <c r="D1931" s="109"/>
      <c r="E1931" s="89" t="s">
        <v>7</v>
      </c>
      <c r="F1931" s="89" t="s">
        <v>9</v>
      </c>
      <c r="G1931" s="84"/>
      <c r="H1931" s="84"/>
      <c r="I1931" s="1" t="str">
        <f t="shared" si="91"/>
        <v/>
      </c>
      <c r="J1931" s="1" t="str">
        <f t="shared" si="90"/>
        <v/>
      </c>
      <c r="K1931" s="1">
        <f t="shared" si="92"/>
        <v>0</v>
      </c>
    </row>
    <row r="1932" spans="4:11">
      <c r="D1932" s="106" t="s">
        <v>490</v>
      </c>
      <c r="E1932" s="87"/>
      <c r="F1932" s="87"/>
      <c r="G1932" s="84">
        <v>3</v>
      </c>
      <c r="H1932" s="84">
        <v>1</v>
      </c>
      <c r="I1932" s="1">
        <f t="shared" si="91"/>
        <v>2</v>
      </c>
      <c r="J1932" s="1">
        <f t="shared" si="90"/>
        <v>0.7886250980106837</v>
      </c>
      <c r="K1932" s="1">
        <f t="shared" si="92"/>
        <v>1.4674291531696257</v>
      </c>
    </row>
    <row r="1933" spans="4:11" ht="15.75" thickBot="1">
      <c r="D1933" s="107"/>
      <c r="E1933" s="88" t="s">
        <v>23</v>
      </c>
      <c r="F1933" s="88" t="s">
        <v>28</v>
      </c>
      <c r="G1933" s="84"/>
      <c r="H1933" s="84"/>
      <c r="I1933" s="1" t="str">
        <f t="shared" si="91"/>
        <v/>
      </c>
      <c r="J1933" s="1" t="str">
        <f t="shared" si="90"/>
        <v/>
      </c>
      <c r="K1933" s="1">
        <f t="shared" si="92"/>
        <v>0</v>
      </c>
    </row>
    <row r="1934" spans="4:11">
      <c r="D1934" s="108" t="s">
        <v>490</v>
      </c>
      <c r="E1934" s="86"/>
      <c r="F1934" s="86"/>
      <c r="G1934" s="84">
        <v>2</v>
      </c>
      <c r="H1934" s="84">
        <v>3</v>
      </c>
      <c r="I1934" s="1">
        <f t="shared" si="91"/>
        <v>-1</v>
      </c>
      <c r="J1934" s="1">
        <f t="shared" si="90"/>
        <v>-1.5059573207659014</v>
      </c>
      <c r="K1934" s="1">
        <f t="shared" si="92"/>
        <v>0.25599281043660921</v>
      </c>
    </row>
    <row r="1935" spans="4:11" ht="15.75" thickBot="1">
      <c r="D1935" s="109"/>
      <c r="E1935" s="89" t="s">
        <v>8</v>
      </c>
      <c r="F1935" s="89" t="s">
        <v>18</v>
      </c>
      <c r="G1935" s="84"/>
      <c r="H1935" s="84"/>
      <c r="I1935" s="1" t="str">
        <f t="shared" si="91"/>
        <v/>
      </c>
      <c r="J1935" s="1" t="str">
        <f t="shared" si="90"/>
        <v/>
      </c>
      <c r="K1935" s="1">
        <f t="shared" si="92"/>
        <v>0</v>
      </c>
    </row>
    <row r="1936" spans="4:11">
      <c r="D1936" s="106" t="s">
        <v>490</v>
      </c>
      <c r="E1936" s="87"/>
      <c r="F1936" s="87"/>
      <c r="G1936" s="84">
        <v>5</v>
      </c>
      <c r="H1936" s="84">
        <v>2</v>
      </c>
      <c r="I1936" s="1">
        <f t="shared" si="91"/>
        <v>3</v>
      </c>
      <c r="J1936" s="1">
        <f t="shared" si="90"/>
        <v>0.16157197020400815</v>
      </c>
      <c r="K1936" s="1">
        <f t="shared" si="92"/>
        <v>8.0566736803315564</v>
      </c>
    </row>
    <row r="1937" spans="4:11" ht="15.75" thickBot="1">
      <c r="D1937" s="107"/>
      <c r="E1937" s="88" t="s">
        <v>4</v>
      </c>
      <c r="F1937" s="88" t="s">
        <v>13</v>
      </c>
      <c r="G1937" s="84"/>
      <c r="H1937" s="84"/>
      <c r="I1937" s="1" t="str">
        <f t="shared" si="91"/>
        <v/>
      </c>
      <c r="J1937" s="1" t="str">
        <f t="shared" si="90"/>
        <v/>
      </c>
      <c r="K1937" s="1">
        <f t="shared" si="92"/>
        <v>0</v>
      </c>
    </row>
    <row r="1938" spans="4:11">
      <c r="D1938" s="108" t="s">
        <v>490</v>
      </c>
      <c r="E1938" s="86"/>
      <c r="F1938" s="86"/>
      <c r="G1938" s="84">
        <v>1</v>
      </c>
      <c r="H1938" s="84">
        <v>2</v>
      </c>
      <c r="I1938" s="1">
        <f t="shared" si="91"/>
        <v>-1</v>
      </c>
      <c r="J1938" s="1">
        <f t="shared" si="90"/>
        <v>-1.4293134202563351</v>
      </c>
      <c r="K1938" s="1">
        <f t="shared" si="92"/>
        <v>0.18431001281219261</v>
      </c>
    </row>
    <row r="1939" spans="4:11" ht="15.75" thickBot="1">
      <c r="D1939" s="109"/>
      <c r="E1939" s="89" t="s">
        <v>24</v>
      </c>
      <c r="F1939" s="89" t="s">
        <v>20</v>
      </c>
      <c r="G1939" s="84"/>
      <c r="H1939" s="84"/>
      <c r="I1939" s="1" t="str">
        <f t="shared" si="91"/>
        <v/>
      </c>
      <c r="J1939" s="1" t="str">
        <f t="shared" si="90"/>
        <v/>
      </c>
      <c r="K1939" s="1">
        <f t="shared" si="92"/>
        <v>0</v>
      </c>
    </row>
    <row r="1940" spans="4:11">
      <c r="D1940" s="106" t="s">
        <v>490</v>
      </c>
      <c r="E1940" s="87"/>
      <c r="F1940" s="87"/>
      <c r="G1940" s="84">
        <v>5</v>
      </c>
      <c r="H1940" s="84">
        <v>2</v>
      </c>
      <c r="I1940" s="1">
        <f t="shared" si="91"/>
        <v>3</v>
      </c>
      <c r="J1940" s="1">
        <f t="shared" si="90"/>
        <v>0.79914836333078654</v>
      </c>
      <c r="K1940" s="1">
        <f t="shared" si="92"/>
        <v>4.8437479266295558</v>
      </c>
    </row>
    <row r="1941" spans="4:11" ht="15.75" thickBot="1">
      <c r="D1941" s="107"/>
      <c r="E1941" s="88" t="s">
        <v>11</v>
      </c>
      <c r="F1941" s="88" t="s">
        <v>10</v>
      </c>
      <c r="G1941" s="84"/>
      <c r="H1941" s="84"/>
      <c r="I1941" s="1" t="str">
        <f t="shared" si="91"/>
        <v/>
      </c>
      <c r="J1941" s="1" t="str">
        <f t="shared" si="90"/>
        <v/>
      </c>
      <c r="K1941" s="1">
        <f t="shared" si="92"/>
        <v>0</v>
      </c>
    </row>
    <row r="1942" spans="4:11">
      <c r="D1942" s="108" t="s">
        <v>491</v>
      </c>
      <c r="E1942" s="86"/>
      <c r="F1942" s="86"/>
      <c r="G1942" s="84">
        <v>2</v>
      </c>
      <c r="H1942" s="84">
        <v>3</v>
      </c>
      <c r="I1942" s="1">
        <f t="shared" si="91"/>
        <v>-1</v>
      </c>
      <c r="J1942" s="1">
        <f t="shared" si="90"/>
        <v>-0.33326110860548397</v>
      </c>
      <c r="K1942" s="1">
        <f t="shared" si="92"/>
        <v>0.44454074929798826</v>
      </c>
    </row>
    <row r="1943" spans="4:11" ht="15.75" thickBot="1">
      <c r="D1943" s="109"/>
      <c r="E1943" s="89" t="s">
        <v>1</v>
      </c>
      <c r="F1943" s="89" t="s">
        <v>2</v>
      </c>
      <c r="G1943" s="84"/>
      <c r="H1943" s="84"/>
      <c r="I1943" s="1" t="str">
        <f t="shared" si="91"/>
        <v/>
      </c>
      <c r="J1943" s="1" t="str">
        <f t="shared" si="90"/>
        <v/>
      </c>
      <c r="K1943" s="1">
        <f t="shared" si="92"/>
        <v>0</v>
      </c>
    </row>
    <row r="1944" spans="4:11">
      <c r="D1944" s="106" t="s">
        <v>491</v>
      </c>
      <c r="E1944" s="87"/>
      <c r="F1944" s="87"/>
      <c r="G1944" s="84">
        <v>6</v>
      </c>
      <c r="H1944" s="84">
        <v>1</v>
      </c>
      <c r="I1944" s="1">
        <f t="shared" si="91"/>
        <v>5</v>
      </c>
      <c r="J1944" s="1">
        <f t="shared" si="90"/>
        <v>1.0633445263678709</v>
      </c>
      <c r="K1944" s="1">
        <f t="shared" si="92"/>
        <v>15.497256318077802</v>
      </c>
    </row>
    <row r="1945" spans="4:11" ht="15.75" thickBot="1">
      <c r="D1945" s="107"/>
      <c r="E1945" s="88" t="s">
        <v>17</v>
      </c>
      <c r="F1945" s="88" t="s">
        <v>0</v>
      </c>
      <c r="G1945" s="84"/>
      <c r="H1945" s="84"/>
      <c r="I1945" s="1" t="str">
        <f t="shared" si="91"/>
        <v/>
      </c>
      <c r="J1945" s="1" t="str">
        <f t="shared" si="90"/>
        <v/>
      </c>
      <c r="K1945" s="1">
        <f t="shared" si="92"/>
        <v>0</v>
      </c>
    </row>
    <row r="1946" spans="4:11">
      <c r="D1946" s="108" t="s">
        <v>491</v>
      </c>
      <c r="E1946" s="86"/>
      <c r="F1946" s="86"/>
      <c r="G1946" s="84">
        <v>4</v>
      </c>
      <c r="H1946" s="84">
        <v>5</v>
      </c>
      <c r="I1946" s="1">
        <f t="shared" si="91"/>
        <v>-1</v>
      </c>
      <c r="J1946" s="1">
        <f t="shared" si="90"/>
        <v>-0.61455816123812212</v>
      </c>
      <c r="K1946" s="1">
        <f t="shared" si="92"/>
        <v>0.14856541106813745</v>
      </c>
    </row>
    <row r="1947" spans="4:11" ht="15.75" thickBot="1">
      <c r="D1947" s="109"/>
      <c r="E1947" s="89" t="s">
        <v>21</v>
      </c>
      <c r="F1947" s="89" t="s">
        <v>15</v>
      </c>
      <c r="G1947" s="84"/>
      <c r="H1947" s="84"/>
      <c r="I1947" s="1" t="str">
        <f t="shared" si="91"/>
        <v/>
      </c>
      <c r="J1947" s="1" t="str">
        <f t="shared" si="90"/>
        <v/>
      </c>
      <c r="K1947" s="1">
        <f t="shared" si="92"/>
        <v>0</v>
      </c>
    </row>
    <row r="1948" spans="4:11">
      <c r="D1948" s="106" t="s">
        <v>491</v>
      </c>
      <c r="E1948" s="87"/>
      <c r="F1948" s="87"/>
      <c r="G1948" s="84">
        <v>3</v>
      </c>
      <c r="H1948" s="84">
        <v>4</v>
      </c>
      <c r="I1948" s="1">
        <f t="shared" si="91"/>
        <v>-1</v>
      </c>
      <c r="J1948" s="1">
        <f t="shared" si="90"/>
        <v>-0.13181216398453444</v>
      </c>
      <c r="K1948" s="1">
        <f t="shared" si="92"/>
        <v>0.7537501186052169</v>
      </c>
    </row>
    <row r="1949" spans="4:11" ht="15.75" thickBot="1">
      <c r="D1949" s="107"/>
      <c r="E1949" s="88" t="s">
        <v>27</v>
      </c>
      <c r="F1949" s="88" t="s">
        <v>14</v>
      </c>
      <c r="G1949" s="84"/>
      <c r="H1949" s="84"/>
      <c r="I1949" s="1" t="str">
        <f t="shared" si="91"/>
        <v/>
      </c>
      <c r="J1949" s="1" t="str">
        <f t="shared" si="90"/>
        <v/>
      </c>
      <c r="K1949" s="1">
        <f t="shared" si="92"/>
        <v>0</v>
      </c>
    </row>
    <row r="1950" spans="4:11">
      <c r="D1950" s="108" t="s">
        <v>491</v>
      </c>
      <c r="E1950" s="86"/>
      <c r="F1950" s="86"/>
      <c r="G1950" s="84">
        <v>1</v>
      </c>
      <c r="H1950" s="84">
        <v>6</v>
      </c>
      <c r="I1950" s="1">
        <f t="shared" si="91"/>
        <v>-5</v>
      </c>
      <c r="J1950" s="1">
        <f t="shared" si="90"/>
        <v>-1.7875352367187105</v>
      </c>
      <c r="K1950" s="1">
        <f t="shared" si="92"/>
        <v>10.319929855323911</v>
      </c>
    </row>
    <row r="1951" spans="4:11" ht="15.75" thickBot="1">
      <c r="D1951" s="109"/>
      <c r="E1951" s="89" t="s">
        <v>8</v>
      </c>
      <c r="F1951" s="89" t="s">
        <v>12</v>
      </c>
      <c r="G1951" s="84"/>
      <c r="H1951" s="84"/>
      <c r="I1951" s="1" t="str">
        <f t="shared" si="91"/>
        <v/>
      </c>
      <c r="J1951" s="1" t="str">
        <f t="shared" si="90"/>
        <v/>
      </c>
      <c r="K1951" s="1">
        <f t="shared" si="92"/>
        <v>0</v>
      </c>
    </row>
    <row r="1952" spans="4:11">
      <c r="D1952" s="106" t="s">
        <v>491</v>
      </c>
      <c r="E1952" s="87"/>
      <c r="F1952" s="87"/>
      <c r="G1952" s="84">
        <v>4</v>
      </c>
      <c r="H1952" s="84">
        <v>0</v>
      </c>
      <c r="I1952" s="1">
        <f t="shared" si="91"/>
        <v>4</v>
      </c>
      <c r="J1952" s="1">
        <f t="shared" si="90"/>
        <v>0.2583348693913905</v>
      </c>
      <c r="K1952" s="1">
        <f t="shared" si="92"/>
        <v>14.000057949612343</v>
      </c>
    </row>
    <row r="1953" spans="4:11" ht="15.75" thickBot="1">
      <c r="D1953" s="107"/>
      <c r="E1953" s="88" t="s">
        <v>22</v>
      </c>
      <c r="F1953" s="88" t="s">
        <v>7</v>
      </c>
      <c r="G1953" s="84"/>
      <c r="H1953" s="84"/>
      <c r="I1953" s="1" t="str">
        <f t="shared" si="91"/>
        <v/>
      </c>
      <c r="J1953" s="1" t="str">
        <f t="shared" si="90"/>
        <v/>
      </c>
      <c r="K1953" s="1">
        <f t="shared" si="92"/>
        <v>0</v>
      </c>
    </row>
    <row r="1954" spans="4:11">
      <c r="D1954" s="108" t="s">
        <v>491</v>
      </c>
      <c r="E1954" s="86"/>
      <c r="F1954" s="86"/>
      <c r="G1954" s="84">
        <v>3</v>
      </c>
      <c r="H1954" s="84">
        <v>1</v>
      </c>
      <c r="I1954" s="1">
        <f t="shared" si="91"/>
        <v>2</v>
      </c>
      <c r="J1954" s="1">
        <f t="shared" si="90"/>
        <v>-0.20922527724617623</v>
      </c>
      <c r="K1954" s="1">
        <f t="shared" si="92"/>
        <v>4.880676325623444</v>
      </c>
    </row>
    <row r="1955" spans="4:11" ht="15.75" thickBot="1">
      <c r="D1955" s="109"/>
      <c r="E1955" s="89" t="s">
        <v>25</v>
      </c>
      <c r="F1955" s="89" t="s">
        <v>19</v>
      </c>
      <c r="G1955" s="84"/>
      <c r="H1955" s="84"/>
      <c r="I1955" s="1" t="str">
        <f t="shared" si="91"/>
        <v/>
      </c>
      <c r="J1955" s="1" t="str">
        <f t="shared" si="90"/>
        <v/>
      </c>
      <c r="K1955" s="1">
        <f t="shared" si="92"/>
        <v>0</v>
      </c>
    </row>
    <row r="1956" spans="4:11">
      <c r="D1956" s="106" t="s">
        <v>491</v>
      </c>
      <c r="E1956" s="87"/>
      <c r="F1956" s="87"/>
      <c r="G1956" s="84">
        <v>2</v>
      </c>
      <c r="H1956" s="84">
        <v>0</v>
      </c>
      <c r="I1956" s="1">
        <f t="shared" si="91"/>
        <v>2</v>
      </c>
      <c r="J1956" s="1">
        <f t="shared" si="90"/>
        <v>0.86768942536534155</v>
      </c>
      <c r="K1956" s="1">
        <f t="shared" si="92"/>
        <v>1.2821272374294703</v>
      </c>
    </row>
    <row r="1957" spans="4:11" ht="15.75" thickBot="1">
      <c r="D1957" s="107"/>
      <c r="E1957" s="88" t="s">
        <v>443</v>
      </c>
      <c r="F1957" s="88" t="s">
        <v>26</v>
      </c>
      <c r="G1957" s="84"/>
      <c r="H1957" s="84"/>
      <c r="I1957" s="1" t="str">
        <f t="shared" si="91"/>
        <v/>
      </c>
      <c r="J1957" s="1" t="str">
        <f t="shared" si="90"/>
        <v/>
      </c>
      <c r="K1957" s="1">
        <f t="shared" si="92"/>
        <v>0</v>
      </c>
    </row>
    <row r="1958" spans="4:11">
      <c r="D1958" s="108" t="s">
        <v>491</v>
      </c>
      <c r="E1958" s="86"/>
      <c r="F1958" s="86"/>
      <c r="G1958" s="84">
        <v>1</v>
      </c>
      <c r="H1958" s="84">
        <v>0</v>
      </c>
      <c r="I1958" s="1">
        <f t="shared" si="91"/>
        <v>1</v>
      </c>
      <c r="J1958" s="1">
        <f t="shared" si="90"/>
        <v>0.17655205301355181</v>
      </c>
      <c r="K1958" s="1">
        <f t="shared" si="92"/>
        <v>0.67806652139619639</v>
      </c>
    </row>
    <row r="1959" spans="4:11" ht="15.75" thickBot="1">
      <c r="D1959" s="109"/>
      <c r="E1959" s="89" t="s">
        <v>11</v>
      </c>
      <c r="F1959" s="89" t="s">
        <v>6</v>
      </c>
      <c r="G1959" s="84"/>
      <c r="H1959" s="84"/>
      <c r="I1959" s="1" t="str">
        <f t="shared" si="91"/>
        <v/>
      </c>
      <c r="J1959" s="1" t="str">
        <f t="shared" si="90"/>
        <v/>
      </c>
      <c r="K1959" s="1">
        <f t="shared" si="92"/>
        <v>0</v>
      </c>
    </row>
    <row r="1960" spans="4:11">
      <c r="D1960" s="106" t="s">
        <v>491</v>
      </c>
      <c r="E1960" s="87"/>
      <c r="F1960" s="87"/>
      <c r="G1960" s="84">
        <v>3</v>
      </c>
      <c r="H1960" s="84">
        <v>2</v>
      </c>
      <c r="I1960" s="1">
        <f t="shared" si="91"/>
        <v>1</v>
      </c>
      <c r="J1960" s="1">
        <f t="shared" si="90"/>
        <v>0.21140118979968747</v>
      </c>
      <c r="K1960" s="1">
        <f t="shared" si="92"/>
        <v>0.62188808344934854</v>
      </c>
    </row>
    <row r="1961" spans="4:11" ht="15.75" thickBot="1">
      <c r="D1961" s="107"/>
      <c r="E1961" s="88" t="s">
        <v>3</v>
      </c>
      <c r="F1961" s="88" t="s">
        <v>5</v>
      </c>
      <c r="G1961" s="84"/>
      <c r="H1961" s="84"/>
      <c r="I1961" s="1" t="str">
        <f t="shared" si="91"/>
        <v/>
      </c>
      <c r="J1961" s="1" t="str">
        <f t="shared" si="90"/>
        <v/>
      </c>
      <c r="K1961" s="1">
        <f t="shared" si="92"/>
        <v>0</v>
      </c>
    </row>
    <row r="1962" spans="4:11">
      <c r="D1962" s="108" t="s">
        <v>492</v>
      </c>
      <c r="E1962" s="86"/>
      <c r="F1962" s="86"/>
      <c r="G1962" s="84">
        <v>3</v>
      </c>
      <c r="H1962" s="84">
        <v>5</v>
      </c>
      <c r="I1962" s="1">
        <f t="shared" si="91"/>
        <v>-2</v>
      </c>
      <c r="J1962" s="1">
        <f t="shared" si="90"/>
        <v>6.3981103375752468E-2</v>
      </c>
      <c r="K1962" s="1">
        <f t="shared" si="92"/>
        <v>4.2600179950921886</v>
      </c>
    </row>
    <row r="1963" spans="4:11" ht="15.75" thickBot="1">
      <c r="D1963" s="109"/>
      <c r="E1963" s="89" t="s">
        <v>13</v>
      </c>
      <c r="F1963" s="89" t="s">
        <v>2</v>
      </c>
      <c r="G1963" s="84"/>
      <c r="H1963" s="84"/>
      <c r="I1963" s="1" t="str">
        <f t="shared" si="91"/>
        <v/>
      </c>
      <c r="J1963" s="1" t="str">
        <f t="shared" si="90"/>
        <v/>
      </c>
      <c r="K1963" s="1">
        <f t="shared" si="92"/>
        <v>0</v>
      </c>
    </row>
    <row r="1964" spans="4:11">
      <c r="D1964" s="106" t="s">
        <v>492</v>
      </c>
      <c r="E1964" s="87"/>
      <c r="F1964" s="87"/>
      <c r="G1964" s="84">
        <v>4</v>
      </c>
      <c r="H1964" s="84">
        <v>7</v>
      </c>
      <c r="I1964" s="1">
        <f t="shared" si="91"/>
        <v>-3</v>
      </c>
      <c r="J1964" s="1">
        <f t="shared" si="90"/>
        <v>-0.51474631446032504</v>
      </c>
      <c r="K1964" s="1">
        <f t="shared" si="92"/>
        <v>6.1764858814885377</v>
      </c>
    </row>
    <row r="1965" spans="4:11" ht="15.75" thickBot="1">
      <c r="D1965" s="107"/>
      <c r="E1965" s="88" t="s">
        <v>24</v>
      </c>
      <c r="F1965" s="88" t="s">
        <v>28</v>
      </c>
      <c r="G1965" s="84"/>
      <c r="H1965" s="84"/>
      <c r="I1965" s="1" t="str">
        <f t="shared" si="91"/>
        <v/>
      </c>
      <c r="J1965" s="1" t="str">
        <f t="shared" si="90"/>
        <v/>
      </c>
      <c r="K1965" s="1">
        <f t="shared" si="92"/>
        <v>0</v>
      </c>
    </row>
    <row r="1966" spans="4:11">
      <c r="D1966" s="108" t="s">
        <v>492</v>
      </c>
      <c r="E1966" s="86"/>
      <c r="F1966" s="86"/>
      <c r="G1966" s="84">
        <v>2</v>
      </c>
      <c r="H1966" s="84">
        <v>5</v>
      </c>
      <c r="I1966" s="1">
        <f t="shared" si="91"/>
        <v>-3</v>
      </c>
      <c r="J1966" s="1">
        <f t="shared" si="90"/>
        <v>7.995067162934788E-2</v>
      </c>
      <c r="K1966" s="1">
        <f t="shared" si="92"/>
        <v>9.4860961396700709</v>
      </c>
    </row>
    <row r="1967" spans="4:11" ht="15.75" thickBot="1">
      <c r="D1967" s="109"/>
      <c r="E1967" s="89" t="s">
        <v>1</v>
      </c>
      <c r="F1967" s="89" t="s">
        <v>9</v>
      </c>
      <c r="G1967" s="84"/>
      <c r="H1967" s="84"/>
      <c r="I1967" s="1" t="str">
        <f t="shared" si="91"/>
        <v/>
      </c>
      <c r="J1967" s="1" t="str">
        <f t="shared" si="90"/>
        <v/>
      </c>
      <c r="K1967" s="1">
        <f t="shared" si="92"/>
        <v>0</v>
      </c>
    </row>
    <row r="1968" spans="4:11">
      <c r="D1968" s="106" t="s">
        <v>492</v>
      </c>
      <c r="E1968" s="87"/>
      <c r="F1968" s="87"/>
      <c r="G1968" s="84">
        <v>3</v>
      </c>
      <c r="H1968" s="84">
        <v>2</v>
      </c>
      <c r="I1968" s="1">
        <f t="shared" si="91"/>
        <v>1</v>
      </c>
      <c r="J1968" s="1">
        <f t="shared" si="90"/>
        <v>-0.45531239078036378</v>
      </c>
      <c r="K1968" s="1">
        <f t="shared" si="92"/>
        <v>2.1179341547588582</v>
      </c>
    </row>
    <row r="1969" spans="4:11" ht="15.75" thickBot="1">
      <c r="D1969" s="107"/>
      <c r="E1969" s="88" t="s">
        <v>22</v>
      </c>
      <c r="F1969" s="88" t="s">
        <v>23</v>
      </c>
      <c r="G1969" s="84"/>
      <c r="H1969" s="84"/>
      <c r="I1969" s="1" t="str">
        <f t="shared" si="91"/>
        <v/>
      </c>
      <c r="J1969" s="1" t="str">
        <f t="shared" si="90"/>
        <v/>
      </c>
      <c r="K1969" s="1">
        <f t="shared" si="92"/>
        <v>0</v>
      </c>
    </row>
    <row r="1970" spans="4:11">
      <c r="D1970" s="108" t="s">
        <v>492</v>
      </c>
      <c r="E1970" s="86"/>
      <c r="F1970" s="86"/>
      <c r="G1970" s="84">
        <v>4</v>
      </c>
      <c r="H1970" s="84">
        <v>5</v>
      </c>
      <c r="I1970" s="1">
        <f t="shared" si="91"/>
        <v>-1</v>
      </c>
      <c r="J1970" s="1">
        <f t="shared" si="90"/>
        <v>0.12960848711851725</v>
      </c>
      <c r="K1970" s="1">
        <f t="shared" si="92"/>
        <v>1.2760153341701854</v>
      </c>
    </row>
    <row r="1971" spans="4:11" ht="15.75" thickBot="1">
      <c r="D1971" s="109"/>
      <c r="E1971" s="89" t="s">
        <v>4</v>
      </c>
      <c r="F1971" s="89" t="s">
        <v>18</v>
      </c>
      <c r="G1971" s="84"/>
      <c r="H1971" s="84"/>
      <c r="I1971" s="1" t="str">
        <f t="shared" si="91"/>
        <v/>
      </c>
      <c r="J1971" s="1" t="str">
        <f t="shared" si="90"/>
        <v/>
      </c>
      <c r="K1971" s="1">
        <f t="shared" si="92"/>
        <v>0</v>
      </c>
    </row>
    <row r="1972" spans="4:11">
      <c r="D1972" s="106" t="s">
        <v>492</v>
      </c>
      <c r="E1972" s="87"/>
      <c r="F1972" s="87"/>
      <c r="G1972" s="84">
        <v>1</v>
      </c>
      <c r="H1972" s="84">
        <v>0</v>
      </c>
      <c r="I1972" s="1">
        <f t="shared" si="91"/>
        <v>1</v>
      </c>
      <c r="J1972" s="1">
        <f t="shared" si="90"/>
        <v>-6.9742913252497374E-3</v>
      </c>
      <c r="K1972" s="1">
        <f t="shared" si="92"/>
        <v>1.013997223389989</v>
      </c>
    </row>
    <row r="1973" spans="4:11" ht="15.75" thickBot="1">
      <c r="D1973" s="107"/>
      <c r="E1973" s="88" t="s">
        <v>16</v>
      </c>
      <c r="F1973" s="88" t="s">
        <v>20</v>
      </c>
      <c r="G1973" s="84"/>
      <c r="H1973" s="84"/>
      <c r="I1973" s="1" t="str">
        <f t="shared" si="91"/>
        <v/>
      </c>
      <c r="J1973" s="1" t="str">
        <f t="shared" si="90"/>
        <v/>
      </c>
      <c r="K1973" s="1">
        <f t="shared" si="92"/>
        <v>0</v>
      </c>
    </row>
    <row r="1974" spans="4:11">
      <c r="D1974" s="108" t="s">
        <v>493</v>
      </c>
      <c r="E1974" s="86"/>
      <c r="F1974" s="86"/>
      <c r="G1974" s="84">
        <v>4</v>
      </c>
      <c r="H1974" s="84">
        <v>3</v>
      </c>
      <c r="I1974" s="1">
        <f t="shared" si="91"/>
        <v>1</v>
      </c>
      <c r="J1974" s="1">
        <f t="shared" si="90"/>
        <v>0.15717472591110493</v>
      </c>
      <c r="K1974" s="1">
        <f t="shared" si="92"/>
        <v>0.71035444264302106</v>
      </c>
    </row>
    <row r="1975" spans="4:11" ht="15.75" thickBot="1">
      <c r="D1975" s="109"/>
      <c r="E1975" s="89" t="s">
        <v>27</v>
      </c>
      <c r="F1975" s="89" t="s">
        <v>0</v>
      </c>
      <c r="G1975" s="84"/>
      <c r="H1975" s="84"/>
      <c r="I1975" s="1" t="str">
        <f t="shared" si="91"/>
        <v/>
      </c>
      <c r="J1975" s="1" t="str">
        <f t="shared" si="90"/>
        <v/>
      </c>
      <c r="K1975" s="1">
        <f t="shared" si="92"/>
        <v>0</v>
      </c>
    </row>
    <row r="1976" spans="4:11">
      <c r="D1976" s="106" t="s">
        <v>493</v>
      </c>
      <c r="E1976" s="87"/>
      <c r="F1976" s="87"/>
      <c r="G1976" s="84">
        <v>2</v>
      </c>
      <c r="H1976" s="84">
        <v>5</v>
      </c>
      <c r="I1976" s="1">
        <f t="shared" si="91"/>
        <v>-3</v>
      </c>
      <c r="J1976" s="1">
        <f t="shared" si="90"/>
        <v>-1.0076594875514076</v>
      </c>
      <c r="K1976" s="1">
        <f t="shared" si="92"/>
        <v>3.9694207175439198</v>
      </c>
    </row>
    <row r="1977" spans="4:11" ht="15.75" thickBot="1">
      <c r="D1977" s="107"/>
      <c r="E1977" s="88" t="s">
        <v>24</v>
      </c>
      <c r="F1977" s="88" t="s">
        <v>13</v>
      </c>
      <c r="G1977" s="84"/>
      <c r="H1977" s="84"/>
      <c r="I1977" s="1" t="str">
        <f t="shared" si="91"/>
        <v/>
      </c>
      <c r="J1977" s="1" t="str">
        <f t="shared" si="90"/>
        <v/>
      </c>
      <c r="K1977" s="1">
        <f t="shared" si="92"/>
        <v>0</v>
      </c>
    </row>
    <row r="1978" spans="4:11">
      <c r="D1978" s="108" t="s">
        <v>493</v>
      </c>
      <c r="E1978" s="86"/>
      <c r="F1978" s="86"/>
      <c r="G1978" s="84">
        <v>1</v>
      </c>
      <c r="H1978" s="84">
        <v>2</v>
      </c>
      <c r="I1978" s="1">
        <f t="shared" si="91"/>
        <v>-1</v>
      </c>
      <c r="J1978" s="1">
        <f t="shared" si="90"/>
        <v>-0.69829596555400997</v>
      </c>
      <c r="K1978" s="1">
        <f t="shared" si="92"/>
        <v>9.1025324400987137E-2</v>
      </c>
    </row>
    <row r="1979" spans="4:11" ht="15.75" thickBot="1">
      <c r="D1979" s="109"/>
      <c r="E1979" s="89" t="s">
        <v>10</v>
      </c>
      <c r="F1979" s="89" t="s">
        <v>3</v>
      </c>
      <c r="G1979" s="84"/>
      <c r="H1979" s="84"/>
      <c r="I1979" s="1" t="str">
        <f t="shared" si="91"/>
        <v/>
      </c>
      <c r="J1979" s="1" t="str">
        <f t="shared" si="90"/>
        <v/>
      </c>
      <c r="K1979" s="1">
        <f t="shared" si="92"/>
        <v>0</v>
      </c>
    </row>
    <row r="1980" spans="4:11">
      <c r="D1980" s="106" t="s">
        <v>493</v>
      </c>
      <c r="E1980" s="87"/>
      <c r="F1980" s="87"/>
      <c r="G1980" s="84">
        <v>2</v>
      </c>
      <c r="H1980" s="84">
        <v>1</v>
      </c>
      <c r="I1980" s="1">
        <f t="shared" si="91"/>
        <v>1</v>
      </c>
      <c r="J1980" s="1">
        <f t="shared" si="90"/>
        <v>0.93461096994850834</v>
      </c>
      <c r="K1980" s="1">
        <f t="shared" si="92"/>
        <v>4.275725251074879E-3</v>
      </c>
    </row>
    <row r="1981" spans="4:11" ht="15.75" thickBot="1">
      <c r="D1981" s="107"/>
      <c r="E1981" s="88" t="s">
        <v>19</v>
      </c>
      <c r="F1981" s="88" t="s">
        <v>26</v>
      </c>
      <c r="G1981" s="84"/>
      <c r="H1981" s="84"/>
      <c r="I1981" s="1" t="str">
        <f t="shared" si="91"/>
        <v/>
      </c>
      <c r="J1981" s="1" t="str">
        <f t="shared" si="90"/>
        <v/>
      </c>
      <c r="K1981" s="1">
        <f t="shared" si="92"/>
        <v>0</v>
      </c>
    </row>
    <row r="1982" spans="4:11">
      <c r="D1982" s="108" t="s">
        <v>493</v>
      </c>
      <c r="E1982" s="86"/>
      <c r="F1982" s="86"/>
      <c r="G1982" s="84">
        <v>1</v>
      </c>
      <c r="H1982" s="84">
        <v>2</v>
      </c>
      <c r="I1982" s="1">
        <f t="shared" si="91"/>
        <v>-1</v>
      </c>
      <c r="J1982" s="1">
        <f t="shared" si="90"/>
        <v>0.31225358757646404</v>
      </c>
      <c r="K1982" s="1">
        <f t="shared" si="92"/>
        <v>1.7220094781073005</v>
      </c>
    </row>
    <row r="1983" spans="4:11" ht="15.75" thickBot="1">
      <c r="D1983" s="109"/>
      <c r="E1983" s="89" t="s">
        <v>11</v>
      </c>
      <c r="F1983" s="89" t="s">
        <v>5</v>
      </c>
      <c r="G1983" s="84"/>
      <c r="H1983" s="84"/>
      <c r="I1983" s="1" t="str">
        <f t="shared" si="91"/>
        <v/>
      </c>
      <c r="J1983" s="1" t="str">
        <f t="shared" si="90"/>
        <v/>
      </c>
      <c r="K1983" s="1">
        <f t="shared" si="92"/>
        <v>0</v>
      </c>
    </row>
    <row r="1984" spans="4:11">
      <c r="D1984" s="106" t="s">
        <v>494</v>
      </c>
      <c r="E1984" s="87"/>
      <c r="F1984" s="87"/>
      <c r="G1984" s="84">
        <v>2</v>
      </c>
      <c r="H1984" s="84">
        <v>1</v>
      </c>
      <c r="I1984" s="1">
        <f t="shared" si="91"/>
        <v>1</v>
      </c>
      <c r="J1984" s="1">
        <f t="shared" si="90"/>
        <v>0.93336603548992514</v>
      </c>
      <c r="K1984" s="1">
        <f t="shared" si="92"/>
        <v>4.4400852263299165E-3</v>
      </c>
    </row>
    <row r="1985" spans="4:11" ht="15.75" thickBot="1">
      <c r="D1985" s="107"/>
      <c r="E1985" s="88" t="s">
        <v>16</v>
      </c>
      <c r="F1985" s="88" t="s">
        <v>27</v>
      </c>
      <c r="G1985" s="84"/>
      <c r="H1985" s="84"/>
      <c r="I1985" s="1" t="str">
        <f t="shared" si="91"/>
        <v/>
      </c>
      <c r="J1985" s="1" t="str">
        <f t="shared" ref="J1985:J2048" si="93">IF(F1986="","",VLOOKUP(F1986,$A$2:$B$31,2)+$B$33-VLOOKUP(E1986,$A$2:$B$31,2))</f>
        <v/>
      </c>
      <c r="K1985" s="1">
        <f t="shared" si="92"/>
        <v>0</v>
      </c>
    </row>
    <row r="1986" spans="4:11">
      <c r="D1986" s="108" t="s">
        <v>494</v>
      </c>
      <c r="E1986" s="86"/>
      <c r="F1986" s="86"/>
      <c r="G1986" s="84">
        <v>2</v>
      </c>
      <c r="H1986" s="84">
        <v>1</v>
      </c>
      <c r="I1986" s="1">
        <f t="shared" ref="I1986:I2049" si="94">IF(G1986="","",G1986-H1986)</f>
        <v>1</v>
      </c>
      <c r="J1986" s="1">
        <f t="shared" si="93"/>
        <v>0.19846017744070821</v>
      </c>
      <c r="K1986" s="1">
        <f t="shared" si="92"/>
        <v>0.64246608714838094</v>
      </c>
    </row>
    <row r="1987" spans="4:11" ht="15.75" thickBot="1">
      <c r="D1987" s="109"/>
      <c r="E1987" s="89" t="s">
        <v>21</v>
      </c>
      <c r="F1987" s="89" t="s">
        <v>1</v>
      </c>
      <c r="G1987" s="84"/>
      <c r="H1987" s="84"/>
      <c r="I1987" s="1" t="str">
        <f t="shared" si="94"/>
        <v/>
      </c>
      <c r="J1987" s="1" t="str">
        <f t="shared" si="93"/>
        <v/>
      </c>
      <c r="K1987" s="1">
        <f t="shared" si="92"/>
        <v>0</v>
      </c>
    </row>
    <row r="1988" spans="4:11">
      <c r="D1988" s="106" t="s">
        <v>494</v>
      </c>
      <c r="E1988" s="87"/>
      <c r="F1988" s="87"/>
      <c r="G1988" s="84">
        <v>4</v>
      </c>
      <c r="H1988" s="84">
        <v>3</v>
      </c>
      <c r="I1988" s="1">
        <f t="shared" si="94"/>
        <v>1</v>
      </c>
      <c r="J1988" s="1">
        <f t="shared" si="93"/>
        <v>7.4977837838929418E-2</v>
      </c>
      <c r="K1988" s="1">
        <f t="shared" ref="K1988:K2051" si="95">IF(J1988="",0,(I1988-J1988)^2)</f>
        <v>0.85566600048914199</v>
      </c>
    </row>
    <row r="1989" spans="4:11" ht="15.75" thickBot="1">
      <c r="D1989" s="107"/>
      <c r="E1989" s="88" t="s">
        <v>7</v>
      </c>
      <c r="F1989" s="88" t="s">
        <v>28</v>
      </c>
      <c r="G1989" s="84"/>
      <c r="H1989" s="84"/>
      <c r="I1989" s="1" t="str">
        <f t="shared" si="94"/>
        <v/>
      </c>
      <c r="J1989" s="1" t="str">
        <f t="shared" si="93"/>
        <v/>
      </c>
      <c r="K1989" s="1">
        <f t="shared" si="95"/>
        <v>0</v>
      </c>
    </row>
    <row r="1990" spans="4:11">
      <c r="D1990" s="108" t="s">
        <v>494</v>
      </c>
      <c r="E1990" s="86"/>
      <c r="F1990" s="86"/>
      <c r="G1990" s="84">
        <v>1</v>
      </c>
      <c r="H1990" s="84">
        <v>0</v>
      </c>
      <c r="I1990" s="1">
        <f t="shared" si="94"/>
        <v>1</v>
      </c>
      <c r="J1990" s="1">
        <f t="shared" si="93"/>
        <v>0.19634364461721532</v>
      </c>
      <c r="K1990" s="1">
        <f t="shared" si="95"/>
        <v>0.64586353754714076</v>
      </c>
    </row>
    <row r="1991" spans="4:11" ht="15.75" thickBot="1">
      <c r="D1991" s="109"/>
      <c r="E1991" s="89" t="s">
        <v>15</v>
      </c>
      <c r="F1991" s="89" t="s">
        <v>443</v>
      </c>
      <c r="G1991" s="84"/>
      <c r="H1991" s="84"/>
      <c r="I1991" s="1" t="str">
        <f t="shared" si="94"/>
        <v/>
      </c>
      <c r="J1991" s="1" t="str">
        <f t="shared" si="93"/>
        <v/>
      </c>
      <c r="K1991" s="1">
        <f t="shared" si="95"/>
        <v>0</v>
      </c>
    </row>
    <row r="1992" spans="4:11">
      <c r="D1992" s="106" t="s">
        <v>494</v>
      </c>
      <c r="E1992" s="87"/>
      <c r="F1992" s="87"/>
      <c r="G1992" s="84">
        <v>3</v>
      </c>
      <c r="H1992" s="84">
        <v>1</v>
      </c>
      <c r="I1992" s="1">
        <f t="shared" si="94"/>
        <v>2</v>
      </c>
      <c r="J1992" s="1">
        <f t="shared" si="93"/>
        <v>-9.5944586461243375E-2</v>
      </c>
      <c r="K1992" s="1">
        <f t="shared" si="95"/>
        <v>4.3929837095161925</v>
      </c>
    </row>
    <row r="1993" spans="4:11" ht="15.75" thickBot="1">
      <c r="D1993" s="107"/>
      <c r="E1993" s="88" t="s">
        <v>2</v>
      </c>
      <c r="F1993" s="88" t="s">
        <v>18</v>
      </c>
      <c r="G1993" s="84"/>
      <c r="H1993" s="84"/>
      <c r="I1993" s="1" t="str">
        <f t="shared" si="94"/>
        <v/>
      </c>
      <c r="J1993" s="1" t="str">
        <f t="shared" si="93"/>
        <v/>
      </c>
      <c r="K1993" s="1">
        <f t="shared" si="95"/>
        <v>0</v>
      </c>
    </row>
    <row r="1994" spans="4:11">
      <c r="D1994" s="108" t="s">
        <v>494</v>
      </c>
      <c r="E1994" s="86"/>
      <c r="F1994" s="86"/>
      <c r="G1994" s="84">
        <v>4</v>
      </c>
      <c r="H1994" s="84">
        <v>5</v>
      </c>
      <c r="I1994" s="1">
        <f t="shared" si="94"/>
        <v>-1</v>
      </c>
      <c r="J1994" s="1">
        <f t="shared" si="93"/>
        <v>-0.31035465692914954</v>
      </c>
      <c r="K1994" s="1">
        <f t="shared" si="95"/>
        <v>0.47561069921931104</v>
      </c>
    </row>
    <row r="1995" spans="4:11" ht="15.75" thickBot="1">
      <c r="D1995" s="109"/>
      <c r="E1995" s="89" t="s">
        <v>25</v>
      </c>
      <c r="F1995" s="89" t="s">
        <v>17</v>
      </c>
      <c r="G1995" s="84"/>
      <c r="H1995" s="84"/>
      <c r="I1995" s="1" t="str">
        <f t="shared" si="94"/>
        <v/>
      </c>
      <c r="J1995" s="1" t="str">
        <f t="shared" si="93"/>
        <v/>
      </c>
      <c r="K1995" s="1">
        <f t="shared" si="95"/>
        <v>0</v>
      </c>
    </row>
    <row r="1996" spans="4:11">
      <c r="D1996" s="106" t="s">
        <v>494</v>
      </c>
      <c r="E1996" s="87"/>
      <c r="F1996" s="87"/>
      <c r="G1996" s="84">
        <v>2</v>
      </c>
      <c r="H1996" s="84">
        <v>6</v>
      </c>
      <c r="I1996" s="1">
        <f t="shared" si="94"/>
        <v>-4</v>
      </c>
      <c r="J1996" s="1">
        <f t="shared" si="93"/>
        <v>-0.77290480853018551</v>
      </c>
      <c r="K1996" s="1">
        <f t="shared" si="95"/>
        <v>10.414143374807599</v>
      </c>
    </row>
    <row r="1997" spans="4:11" ht="15.75" thickBot="1">
      <c r="D1997" s="107"/>
      <c r="E1997" s="88" t="s">
        <v>9</v>
      </c>
      <c r="F1997" s="88" t="s">
        <v>23</v>
      </c>
      <c r="G1997" s="84"/>
      <c r="H1997" s="84"/>
      <c r="I1997" s="1" t="str">
        <f t="shared" si="94"/>
        <v/>
      </c>
      <c r="J1997" s="1" t="str">
        <f t="shared" si="93"/>
        <v/>
      </c>
      <c r="K1997" s="1">
        <f t="shared" si="95"/>
        <v>0</v>
      </c>
    </row>
    <row r="1998" spans="4:11">
      <c r="D1998" s="108" t="s">
        <v>494</v>
      </c>
      <c r="E1998" s="86"/>
      <c r="F1998" s="86"/>
      <c r="G1998" s="84">
        <v>5</v>
      </c>
      <c r="H1998" s="84">
        <v>2</v>
      </c>
      <c r="I1998" s="1">
        <f t="shared" si="94"/>
        <v>3</v>
      </c>
      <c r="J1998" s="1">
        <f t="shared" si="93"/>
        <v>0.13393983289303435</v>
      </c>
      <c r="K1998" s="1">
        <f t="shared" si="95"/>
        <v>8.2143008814772074</v>
      </c>
    </row>
    <row r="1999" spans="4:11" ht="15.75" thickBot="1">
      <c r="D1999" s="109"/>
      <c r="E1999" s="89" t="s">
        <v>6</v>
      </c>
      <c r="F1999" s="89" t="s">
        <v>22</v>
      </c>
      <c r="G1999" s="84"/>
      <c r="H1999" s="84"/>
      <c r="I1999" s="1" t="str">
        <f t="shared" si="94"/>
        <v/>
      </c>
      <c r="J1999" s="1" t="str">
        <f t="shared" si="93"/>
        <v/>
      </c>
      <c r="K1999" s="1">
        <f t="shared" si="95"/>
        <v>0</v>
      </c>
    </row>
    <row r="2000" spans="4:11">
      <c r="D2000" s="106" t="s">
        <v>495</v>
      </c>
      <c r="E2000" s="87"/>
      <c r="F2000" s="87"/>
      <c r="G2000" s="84">
        <v>3</v>
      </c>
      <c r="H2000" s="84">
        <v>4</v>
      </c>
      <c r="I2000" s="1">
        <f t="shared" si="94"/>
        <v>-1</v>
      </c>
      <c r="J2000" s="1">
        <f t="shared" si="93"/>
        <v>-0.79813271765905824</v>
      </c>
      <c r="K2000" s="1">
        <f t="shared" si="95"/>
        <v>4.0750399679717497E-2</v>
      </c>
    </row>
    <row r="2001" spans="4:11" ht="15.75" thickBot="1">
      <c r="D2001" s="107"/>
      <c r="E2001" s="88" t="s">
        <v>8</v>
      </c>
      <c r="F2001" s="88" t="s">
        <v>0</v>
      </c>
      <c r="G2001" s="84"/>
      <c r="H2001" s="84"/>
      <c r="I2001" s="1" t="str">
        <f t="shared" si="94"/>
        <v/>
      </c>
      <c r="J2001" s="1" t="str">
        <f t="shared" si="93"/>
        <v/>
      </c>
      <c r="K2001" s="1">
        <f t="shared" si="95"/>
        <v>0</v>
      </c>
    </row>
    <row r="2002" spans="4:11">
      <c r="D2002" s="108" t="s">
        <v>495</v>
      </c>
      <c r="E2002" s="86"/>
      <c r="F2002" s="86"/>
      <c r="G2002" s="84">
        <v>3</v>
      </c>
      <c r="H2002" s="84">
        <v>1</v>
      </c>
      <c r="I2002" s="1">
        <f t="shared" si="94"/>
        <v>2</v>
      </c>
      <c r="J2002" s="1">
        <f t="shared" si="93"/>
        <v>0.1011382423413778</v>
      </c>
      <c r="K2002" s="1">
        <f t="shared" si="95"/>
        <v>3.605675974698392</v>
      </c>
    </row>
    <row r="2003" spans="4:11" ht="15.75" thickBot="1">
      <c r="D2003" s="109"/>
      <c r="E2003" s="89" t="s">
        <v>16</v>
      </c>
      <c r="F2003" s="89" t="s">
        <v>12</v>
      </c>
      <c r="G2003" s="84"/>
      <c r="H2003" s="84"/>
      <c r="I2003" s="1" t="str">
        <f t="shared" si="94"/>
        <v/>
      </c>
      <c r="J2003" s="1" t="str">
        <f t="shared" si="93"/>
        <v/>
      </c>
      <c r="K2003" s="1">
        <f t="shared" si="95"/>
        <v>0</v>
      </c>
    </row>
    <row r="2004" spans="4:11">
      <c r="D2004" s="106" t="s">
        <v>495</v>
      </c>
      <c r="E2004" s="87"/>
      <c r="F2004" s="87"/>
      <c r="G2004" s="84">
        <v>3</v>
      </c>
      <c r="H2004" s="84">
        <v>6</v>
      </c>
      <c r="I2004" s="1">
        <f t="shared" si="94"/>
        <v>-3</v>
      </c>
      <c r="J2004" s="1">
        <f t="shared" si="93"/>
        <v>-0.80982891348897112</v>
      </c>
      <c r="K2004" s="1">
        <f t="shared" si="95"/>
        <v>4.7968493881889005</v>
      </c>
    </row>
    <row r="2005" spans="4:11" ht="15.75" thickBot="1">
      <c r="D2005" s="107"/>
      <c r="E2005" s="88" t="s">
        <v>10</v>
      </c>
      <c r="F2005" s="88" t="s">
        <v>4</v>
      </c>
      <c r="G2005" s="84"/>
      <c r="H2005" s="84"/>
      <c r="I2005" s="1" t="str">
        <f t="shared" si="94"/>
        <v/>
      </c>
      <c r="J2005" s="1" t="str">
        <f t="shared" si="93"/>
        <v/>
      </c>
      <c r="K2005" s="1">
        <f t="shared" si="95"/>
        <v>0</v>
      </c>
    </row>
    <row r="2006" spans="4:11">
      <c r="D2006" s="108" t="s">
        <v>496</v>
      </c>
      <c r="E2006" s="86"/>
      <c r="F2006" s="86"/>
      <c r="G2006" s="84">
        <v>2</v>
      </c>
      <c r="H2006" s="84">
        <v>3</v>
      </c>
      <c r="I2006" s="1">
        <f t="shared" si="94"/>
        <v>-1</v>
      </c>
      <c r="J2006" s="1">
        <f t="shared" si="93"/>
        <v>0.47975723007334636</v>
      </c>
      <c r="K2006" s="1">
        <f t="shared" si="95"/>
        <v>2.1896814599543424</v>
      </c>
    </row>
    <row r="2007" spans="4:11" ht="15.75" thickBot="1">
      <c r="D2007" s="109"/>
      <c r="E2007" s="89" t="s">
        <v>15</v>
      </c>
      <c r="F2007" s="89" t="s">
        <v>2</v>
      </c>
      <c r="G2007" s="84"/>
      <c r="H2007" s="84"/>
      <c r="I2007" s="1" t="str">
        <f t="shared" si="94"/>
        <v/>
      </c>
      <c r="J2007" s="1" t="str">
        <f t="shared" si="93"/>
        <v/>
      </c>
      <c r="K2007" s="1">
        <f t="shared" si="95"/>
        <v>0</v>
      </c>
    </row>
    <row r="2008" spans="4:11">
      <c r="D2008" s="106" t="s">
        <v>496</v>
      </c>
      <c r="E2008" s="87"/>
      <c r="F2008" s="87"/>
      <c r="G2008" s="84">
        <v>4</v>
      </c>
      <c r="H2008" s="84">
        <v>6</v>
      </c>
      <c r="I2008" s="1">
        <f t="shared" si="94"/>
        <v>-2</v>
      </c>
      <c r="J2008" s="1">
        <f t="shared" si="93"/>
        <v>-1.1585509075972311</v>
      </c>
      <c r="K2008" s="1">
        <f t="shared" si="95"/>
        <v>0.70803657510544349</v>
      </c>
    </row>
    <row r="2009" spans="4:11" ht="15.75" thickBot="1">
      <c r="D2009" s="107"/>
      <c r="E2009" s="88" t="s">
        <v>24</v>
      </c>
      <c r="F2009" s="88" t="s">
        <v>11</v>
      </c>
      <c r="G2009" s="84"/>
      <c r="H2009" s="84"/>
      <c r="I2009" s="1" t="str">
        <f t="shared" si="94"/>
        <v/>
      </c>
      <c r="J2009" s="1" t="str">
        <f t="shared" si="93"/>
        <v/>
      </c>
      <c r="K2009" s="1">
        <f t="shared" si="95"/>
        <v>0</v>
      </c>
    </row>
    <row r="2010" spans="4:11">
      <c r="D2010" s="108" t="s">
        <v>496</v>
      </c>
      <c r="E2010" s="86"/>
      <c r="F2010" s="86"/>
      <c r="G2010" s="84">
        <v>5</v>
      </c>
      <c r="H2010" s="84">
        <v>3</v>
      </c>
      <c r="I2010" s="1">
        <f t="shared" si="94"/>
        <v>2</v>
      </c>
      <c r="J2010" s="1">
        <f t="shared" si="93"/>
        <v>0.29413113855055428</v>
      </c>
      <c r="K2010" s="1">
        <f t="shared" si="95"/>
        <v>2.909988572462828</v>
      </c>
    </row>
    <row r="2011" spans="4:11" ht="15.75" thickBot="1">
      <c r="D2011" s="109"/>
      <c r="E2011" s="89" t="s">
        <v>21</v>
      </c>
      <c r="F2011" s="89" t="s">
        <v>28</v>
      </c>
      <c r="G2011" s="84"/>
      <c r="H2011" s="84"/>
      <c r="I2011" s="1" t="str">
        <f t="shared" si="94"/>
        <v/>
      </c>
      <c r="J2011" s="1" t="str">
        <f t="shared" si="93"/>
        <v/>
      </c>
      <c r="K2011" s="1">
        <f t="shared" si="95"/>
        <v>0</v>
      </c>
    </row>
    <row r="2012" spans="4:11">
      <c r="D2012" s="106" t="s">
        <v>496</v>
      </c>
      <c r="E2012" s="87"/>
      <c r="F2012" s="87"/>
      <c r="G2012" s="84">
        <v>5</v>
      </c>
      <c r="H2012" s="84">
        <v>2</v>
      </c>
      <c r="I2012" s="1">
        <f t="shared" si="94"/>
        <v>3</v>
      </c>
      <c r="J2012" s="1">
        <f t="shared" si="93"/>
        <v>-0.18746899899488767</v>
      </c>
      <c r="K2012" s="1">
        <f t="shared" si="95"/>
        <v>10.159958619553471</v>
      </c>
    </row>
    <row r="2013" spans="4:11" ht="15.75" thickBot="1">
      <c r="D2013" s="107"/>
      <c r="E2013" s="88" t="s">
        <v>18</v>
      </c>
      <c r="F2013" s="88" t="s">
        <v>443</v>
      </c>
      <c r="G2013" s="84"/>
      <c r="H2013" s="84"/>
      <c r="I2013" s="1" t="str">
        <f t="shared" si="94"/>
        <v/>
      </c>
      <c r="J2013" s="1" t="str">
        <f t="shared" si="93"/>
        <v/>
      </c>
      <c r="K2013" s="1">
        <f t="shared" si="95"/>
        <v>0</v>
      </c>
    </row>
    <row r="2014" spans="4:11">
      <c r="D2014" s="108" t="s">
        <v>496</v>
      </c>
      <c r="E2014" s="86"/>
      <c r="F2014" s="86"/>
      <c r="G2014" s="84">
        <v>3</v>
      </c>
      <c r="H2014" s="84">
        <v>1</v>
      </c>
      <c r="I2014" s="1">
        <f t="shared" si="94"/>
        <v>2</v>
      </c>
      <c r="J2014" s="1">
        <f t="shared" si="93"/>
        <v>-0.4179353352521531</v>
      </c>
      <c r="K2014" s="1">
        <f t="shared" si="95"/>
        <v>5.8464112854609418</v>
      </c>
    </row>
    <row r="2015" spans="4:11" ht="15.75" thickBot="1">
      <c r="D2015" s="109"/>
      <c r="E2015" s="89" t="s">
        <v>7</v>
      </c>
      <c r="F2015" s="89" t="s">
        <v>13</v>
      </c>
      <c r="G2015" s="84"/>
      <c r="H2015" s="84"/>
      <c r="I2015" s="1" t="str">
        <f t="shared" si="94"/>
        <v/>
      </c>
      <c r="J2015" s="1" t="str">
        <f t="shared" si="93"/>
        <v/>
      </c>
      <c r="K2015" s="1">
        <f t="shared" si="95"/>
        <v>0</v>
      </c>
    </row>
    <row r="2016" spans="4:11">
      <c r="D2016" s="106" t="s">
        <v>496</v>
      </c>
      <c r="E2016" s="87"/>
      <c r="F2016" s="87"/>
      <c r="G2016" s="84">
        <v>2</v>
      </c>
      <c r="H2016" s="84">
        <v>4</v>
      </c>
      <c r="I2016" s="1">
        <f t="shared" si="94"/>
        <v>-2</v>
      </c>
      <c r="J2016" s="1">
        <f t="shared" si="93"/>
        <v>0.46400297954308201</v>
      </c>
      <c r="K2016" s="1">
        <f t="shared" si="95"/>
        <v>6.0713106831971855</v>
      </c>
    </row>
    <row r="2017" spans="4:11" ht="15.75" thickBot="1">
      <c r="D2017" s="107"/>
      <c r="E2017" s="88" t="s">
        <v>25</v>
      </c>
      <c r="F2017" s="88" t="s">
        <v>14</v>
      </c>
      <c r="G2017" s="84"/>
      <c r="H2017" s="84"/>
      <c r="I2017" s="1" t="str">
        <f t="shared" si="94"/>
        <v/>
      </c>
      <c r="J2017" s="1" t="str">
        <f t="shared" si="93"/>
        <v/>
      </c>
      <c r="K2017" s="1">
        <f t="shared" si="95"/>
        <v>0</v>
      </c>
    </row>
    <row r="2018" spans="4:11">
      <c r="D2018" s="108" t="s">
        <v>496</v>
      </c>
      <c r="E2018" s="86"/>
      <c r="F2018" s="86"/>
      <c r="G2018" s="84">
        <v>0</v>
      </c>
      <c r="H2018" s="84">
        <v>1</v>
      </c>
      <c r="I2018" s="1">
        <f t="shared" si="94"/>
        <v>-1</v>
      </c>
      <c r="J2018" s="1">
        <f t="shared" si="93"/>
        <v>-0.78472561832775511</v>
      </c>
      <c r="K2018" s="1">
        <f t="shared" si="95"/>
        <v>4.6343059404367365E-2</v>
      </c>
    </row>
    <row r="2019" spans="4:11" ht="15.75" thickBot="1">
      <c r="D2019" s="109"/>
      <c r="E2019" s="89" t="s">
        <v>1</v>
      </c>
      <c r="F2019" s="89" t="s">
        <v>17</v>
      </c>
      <c r="G2019" s="84"/>
      <c r="H2019" s="84"/>
      <c r="I2019" s="1" t="str">
        <f t="shared" si="94"/>
        <v/>
      </c>
      <c r="J2019" s="1" t="str">
        <f t="shared" si="93"/>
        <v/>
      </c>
      <c r="K2019" s="1">
        <f t="shared" si="95"/>
        <v>0</v>
      </c>
    </row>
    <row r="2020" spans="4:11">
      <c r="D2020" s="106" t="s">
        <v>496</v>
      </c>
      <c r="E2020" s="87"/>
      <c r="F2020" s="87"/>
      <c r="G2020" s="84">
        <v>1</v>
      </c>
      <c r="H2020" s="84">
        <v>2</v>
      </c>
      <c r="I2020" s="1">
        <f t="shared" si="94"/>
        <v>-1</v>
      </c>
      <c r="J2020" s="1">
        <f t="shared" si="93"/>
        <v>-0.31759241774982172</v>
      </c>
      <c r="K2020" s="1">
        <f t="shared" si="95"/>
        <v>0.46568010831253381</v>
      </c>
    </row>
    <row r="2021" spans="4:11" ht="15.75" thickBot="1">
      <c r="D2021" s="107"/>
      <c r="E2021" s="88" t="s">
        <v>9</v>
      </c>
      <c r="F2021" s="88" t="s">
        <v>22</v>
      </c>
      <c r="G2021" s="84"/>
      <c r="H2021" s="84"/>
      <c r="I2021" s="1" t="str">
        <f t="shared" si="94"/>
        <v/>
      </c>
      <c r="J2021" s="1" t="str">
        <f t="shared" si="93"/>
        <v/>
      </c>
      <c r="K2021" s="1">
        <f t="shared" si="95"/>
        <v>0</v>
      </c>
    </row>
    <row r="2022" spans="4:11">
      <c r="D2022" s="108" t="s">
        <v>496</v>
      </c>
      <c r="E2022" s="86"/>
      <c r="F2022" s="86"/>
      <c r="G2022" s="84">
        <v>4</v>
      </c>
      <c r="H2022" s="84">
        <v>0</v>
      </c>
      <c r="I2022" s="1">
        <f t="shared" si="94"/>
        <v>4</v>
      </c>
      <c r="J2022" s="1">
        <f t="shared" si="93"/>
        <v>-7.5699655236775243E-2</v>
      </c>
      <c r="K2022" s="1">
        <f t="shared" si="95"/>
        <v>16.611327679697169</v>
      </c>
    </row>
    <row r="2023" spans="4:11" ht="15.75" thickBot="1">
      <c r="D2023" s="109"/>
      <c r="E2023" s="89" t="s">
        <v>6</v>
      </c>
      <c r="F2023" s="89" t="s">
        <v>3</v>
      </c>
      <c r="G2023" s="84"/>
      <c r="H2023" s="84"/>
      <c r="I2023" s="1" t="str">
        <f t="shared" si="94"/>
        <v/>
      </c>
      <c r="J2023" s="1" t="str">
        <f t="shared" si="93"/>
        <v/>
      </c>
      <c r="K2023" s="1">
        <f t="shared" si="95"/>
        <v>0</v>
      </c>
    </row>
    <row r="2024" spans="4:11">
      <c r="D2024" s="106" t="s">
        <v>496</v>
      </c>
      <c r="E2024" s="87"/>
      <c r="F2024" s="87"/>
      <c r="G2024" s="84">
        <v>2</v>
      </c>
      <c r="H2024" s="84">
        <v>1</v>
      </c>
      <c r="I2024" s="1">
        <f t="shared" si="94"/>
        <v>1</v>
      </c>
      <c r="J2024" s="1">
        <f t="shared" si="93"/>
        <v>1.0699108759898905</v>
      </c>
      <c r="K2024" s="1">
        <f t="shared" si="95"/>
        <v>4.8875305816738542E-3</v>
      </c>
    </row>
    <row r="2025" spans="4:11" ht="15.75" thickBot="1">
      <c r="D2025" s="107"/>
      <c r="E2025" s="88" t="s">
        <v>20</v>
      </c>
      <c r="F2025" s="88" t="s">
        <v>26</v>
      </c>
      <c r="G2025" s="84"/>
      <c r="H2025" s="84"/>
      <c r="I2025" s="1" t="str">
        <f t="shared" si="94"/>
        <v/>
      </c>
      <c r="J2025" s="1" t="str">
        <f t="shared" si="93"/>
        <v/>
      </c>
      <c r="K2025" s="1">
        <f t="shared" si="95"/>
        <v>0</v>
      </c>
    </row>
    <row r="2026" spans="4:11">
      <c r="D2026" s="108" t="s">
        <v>496</v>
      </c>
      <c r="E2026" s="86"/>
      <c r="F2026" s="86"/>
      <c r="G2026" s="84">
        <v>0</v>
      </c>
      <c r="H2026" s="84">
        <v>2</v>
      </c>
      <c r="I2026" s="1">
        <f t="shared" si="94"/>
        <v>-2</v>
      </c>
      <c r="J2026" s="1">
        <f t="shared" si="93"/>
        <v>0.44771619419418585</v>
      </c>
      <c r="K2026" s="1">
        <f t="shared" si="95"/>
        <v>5.9913145673204697</v>
      </c>
    </row>
    <row r="2027" spans="4:11" ht="15.75" thickBot="1">
      <c r="D2027" s="109"/>
      <c r="E2027" s="89" t="s">
        <v>19</v>
      </c>
      <c r="F2027" s="89" t="s">
        <v>5</v>
      </c>
      <c r="G2027" s="84"/>
      <c r="H2027" s="84"/>
      <c r="I2027" s="1" t="str">
        <f t="shared" si="94"/>
        <v/>
      </c>
      <c r="J2027" s="1" t="str">
        <f t="shared" si="93"/>
        <v/>
      </c>
      <c r="K2027" s="1">
        <f t="shared" si="95"/>
        <v>0</v>
      </c>
    </row>
    <row r="2028" spans="4:11">
      <c r="D2028" s="106" t="s">
        <v>497</v>
      </c>
      <c r="E2028" s="87"/>
      <c r="F2028" s="87"/>
      <c r="G2028" s="84">
        <v>2</v>
      </c>
      <c r="H2028" s="84">
        <v>1</v>
      </c>
      <c r="I2028" s="1">
        <f t="shared" si="94"/>
        <v>1</v>
      </c>
      <c r="J2028" s="1">
        <f t="shared" si="93"/>
        <v>0.55064987719573821</v>
      </c>
      <c r="K2028" s="1">
        <f t="shared" si="95"/>
        <v>0.20191553286420516</v>
      </c>
    </row>
    <row r="2029" spans="4:11" ht="15.75" thickBot="1">
      <c r="D2029" s="107"/>
      <c r="E2029" s="88" t="s">
        <v>18</v>
      </c>
      <c r="F2029" s="88" t="s">
        <v>27</v>
      </c>
      <c r="G2029" s="84"/>
      <c r="H2029" s="84"/>
      <c r="I2029" s="1" t="str">
        <f t="shared" si="94"/>
        <v/>
      </c>
      <c r="J2029" s="1" t="str">
        <f t="shared" si="93"/>
        <v/>
      </c>
      <c r="K2029" s="1">
        <f t="shared" si="95"/>
        <v>0</v>
      </c>
    </row>
    <row r="2030" spans="4:11">
      <c r="D2030" s="108" t="s">
        <v>497</v>
      </c>
      <c r="E2030" s="86"/>
      <c r="F2030" s="86"/>
      <c r="G2030" s="84">
        <v>4</v>
      </c>
      <c r="H2030" s="84">
        <v>2</v>
      </c>
      <c r="I2030" s="1">
        <f t="shared" si="94"/>
        <v>2</v>
      </c>
      <c r="J2030" s="1">
        <f t="shared" si="93"/>
        <v>-0.51232343357882826</v>
      </c>
      <c r="K2030" s="1">
        <f t="shared" si="95"/>
        <v>6.3117690349093127</v>
      </c>
    </row>
    <row r="2031" spans="4:11" ht="15.75" thickBot="1">
      <c r="D2031" s="109"/>
      <c r="E2031" s="89" t="s">
        <v>21</v>
      </c>
      <c r="F2031" s="89" t="s">
        <v>12</v>
      </c>
      <c r="G2031" s="84"/>
      <c r="H2031" s="84"/>
      <c r="I2031" s="1" t="str">
        <f t="shared" si="94"/>
        <v/>
      </c>
      <c r="J2031" s="1" t="str">
        <f t="shared" si="93"/>
        <v/>
      </c>
      <c r="K2031" s="1">
        <f t="shared" si="95"/>
        <v>0</v>
      </c>
    </row>
    <row r="2032" spans="4:11">
      <c r="D2032" s="106" t="s">
        <v>497</v>
      </c>
      <c r="E2032" s="87"/>
      <c r="F2032" s="87"/>
      <c r="G2032" s="84">
        <v>4</v>
      </c>
      <c r="H2032" s="84">
        <v>5</v>
      </c>
      <c r="I2032" s="1">
        <f t="shared" si="94"/>
        <v>-1</v>
      </c>
      <c r="J2032" s="1">
        <f t="shared" si="93"/>
        <v>-0.58972415229925446</v>
      </c>
      <c r="K2032" s="1">
        <f t="shared" si="95"/>
        <v>0.16832627120656535</v>
      </c>
    </row>
    <row r="2033" spans="4:11" ht="15.75" thickBot="1">
      <c r="D2033" s="107"/>
      <c r="E2033" s="88" t="s">
        <v>24</v>
      </c>
      <c r="F2033" s="88" t="s">
        <v>7</v>
      </c>
      <c r="G2033" s="84"/>
      <c r="H2033" s="84"/>
      <c r="I2033" s="1" t="str">
        <f t="shared" si="94"/>
        <v/>
      </c>
      <c r="J2033" s="1" t="str">
        <f t="shared" si="93"/>
        <v/>
      </c>
      <c r="K2033" s="1">
        <f t="shared" si="95"/>
        <v>0</v>
      </c>
    </row>
    <row r="2034" spans="4:11">
      <c r="D2034" s="108" t="s">
        <v>497</v>
      </c>
      <c r="E2034" s="86"/>
      <c r="F2034" s="86"/>
      <c r="G2034" s="84">
        <v>2</v>
      </c>
      <c r="H2034" s="84">
        <v>1</v>
      </c>
      <c r="I2034" s="1">
        <f t="shared" si="94"/>
        <v>1</v>
      </c>
      <c r="J2034" s="1">
        <f t="shared" si="93"/>
        <v>-0.94396886820456416</v>
      </c>
      <c r="K2034" s="1">
        <f t="shared" si="95"/>
        <v>3.7790149605485341</v>
      </c>
    </row>
    <row r="2035" spans="4:11" ht="15.75" thickBot="1">
      <c r="D2035" s="109"/>
      <c r="E2035" s="89" t="s">
        <v>10</v>
      </c>
      <c r="F2035" s="89" t="s">
        <v>23</v>
      </c>
      <c r="G2035" s="84"/>
      <c r="H2035" s="84"/>
      <c r="I2035" s="1" t="str">
        <f t="shared" si="94"/>
        <v/>
      </c>
      <c r="J2035" s="1" t="str">
        <f t="shared" si="93"/>
        <v/>
      </c>
      <c r="K2035" s="1">
        <f t="shared" si="95"/>
        <v>0</v>
      </c>
    </row>
    <row r="2036" spans="4:11">
      <c r="D2036" s="106" t="s">
        <v>497</v>
      </c>
      <c r="E2036" s="87"/>
      <c r="F2036" s="87"/>
      <c r="G2036" s="84">
        <v>3</v>
      </c>
      <c r="H2036" s="84">
        <v>6</v>
      </c>
      <c r="I2036" s="1">
        <f t="shared" si="94"/>
        <v>-3</v>
      </c>
      <c r="J2036" s="1">
        <f t="shared" si="93"/>
        <v>-0.83743309022536039</v>
      </c>
      <c r="K2036" s="1">
        <f t="shared" si="95"/>
        <v>4.6766956392522339</v>
      </c>
    </row>
    <row r="2037" spans="4:11" ht="15.75" thickBot="1">
      <c r="D2037" s="107"/>
      <c r="E2037" s="88" t="s">
        <v>0</v>
      </c>
      <c r="F2037" s="88" t="s">
        <v>4</v>
      </c>
      <c r="G2037" s="84"/>
      <c r="H2037" s="84"/>
      <c r="I2037" s="1" t="str">
        <f t="shared" si="94"/>
        <v/>
      </c>
      <c r="J2037" s="1" t="str">
        <f t="shared" si="93"/>
        <v/>
      </c>
      <c r="K2037" s="1">
        <f t="shared" si="95"/>
        <v>0</v>
      </c>
    </row>
    <row r="2038" spans="4:11">
      <c r="D2038" s="108" t="s">
        <v>498</v>
      </c>
      <c r="E2038" s="86"/>
      <c r="F2038" s="86"/>
      <c r="G2038" s="84">
        <v>2</v>
      </c>
      <c r="H2038" s="84">
        <v>7</v>
      </c>
      <c r="I2038" s="1">
        <f t="shared" si="94"/>
        <v>-5</v>
      </c>
      <c r="J2038" s="1">
        <f t="shared" si="93"/>
        <v>0.39724221198123644</v>
      </c>
      <c r="K2038" s="1">
        <f t="shared" si="95"/>
        <v>29.130223494792109</v>
      </c>
    </row>
    <row r="2039" spans="4:11" ht="15.75" thickBot="1">
      <c r="D2039" s="109"/>
      <c r="E2039" s="89" t="s">
        <v>13</v>
      </c>
      <c r="F2039" s="89" t="s">
        <v>1</v>
      </c>
      <c r="G2039" s="84"/>
      <c r="H2039" s="84"/>
      <c r="I2039" s="1" t="str">
        <f t="shared" si="94"/>
        <v/>
      </c>
      <c r="J2039" s="1" t="str">
        <f t="shared" si="93"/>
        <v/>
      </c>
      <c r="K2039" s="1">
        <f t="shared" si="95"/>
        <v>0</v>
      </c>
    </row>
    <row r="2040" spans="4:11">
      <c r="D2040" s="106" t="s">
        <v>498</v>
      </c>
      <c r="E2040" s="87"/>
      <c r="F2040" s="87"/>
      <c r="G2040" s="84">
        <v>2</v>
      </c>
      <c r="H2040" s="84">
        <v>0</v>
      </c>
      <c r="I2040" s="1">
        <f t="shared" si="94"/>
        <v>2</v>
      </c>
      <c r="J2040" s="1">
        <f t="shared" si="93"/>
        <v>-0.21487252342157603</v>
      </c>
      <c r="K2040" s="1">
        <f t="shared" si="95"/>
        <v>4.9056602950078601</v>
      </c>
    </row>
    <row r="2041" spans="4:11" ht="15.75" thickBot="1">
      <c r="D2041" s="107"/>
      <c r="E2041" s="88" t="s">
        <v>2</v>
      </c>
      <c r="F2041" s="88" t="s">
        <v>11</v>
      </c>
      <c r="G2041" s="84"/>
      <c r="H2041" s="84"/>
      <c r="I2041" s="1" t="str">
        <f t="shared" si="94"/>
        <v/>
      </c>
      <c r="J2041" s="1" t="str">
        <f t="shared" si="93"/>
        <v/>
      </c>
      <c r="K2041" s="1">
        <f t="shared" si="95"/>
        <v>0</v>
      </c>
    </row>
    <row r="2042" spans="4:11">
      <c r="D2042" s="108" t="s">
        <v>498</v>
      </c>
      <c r="E2042" s="86"/>
      <c r="F2042" s="86"/>
      <c r="G2042" s="84">
        <v>6</v>
      </c>
      <c r="H2042" s="84">
        <v>2</v>
      </c>
      <c r="I2042" s="1">
        <f t="shared" si="94"/>
        <v>4</v>
      </c>
      <c r="J2042" s="1">
        <f t="shared" si="93"/>
        <v>0.58301610023556805</v>
      </c>
      <c r="K2042" s="1">
        <f t="shared" si="95"/>
        <v>11.675778971249345</v>
      </c>
    </row>
    <row r="2043" spans="4:11" ht="15.75" thickBot="1">
      <c r="D2043" s="109"/>
      <c r="E2043" s="89" t="s">
        <v>20</v>
      </c>
      <c r="F2043" s="89" t="s">
        <v>5</v>
      </c>
      <c r="G2043" s="84"/>
      <c r="H2043" s="84"/>
      <c r="I2043" s="1" t="str">
        <f t="shared" si="94"/>
        <v/>
      </c>
      <c r="J2043" s="1" t="str">
        <f t="shared" si="93"/>
        <v/>
      </c>
      <c r="K2043" s="1">
        <f t="shared" si="95"/>
        <v>0</v>
      </c>
    </row>
    <row r="2044" spans="4:11">
      <c r="D2044" s="106" t="s">
        <v>498</v>
      </c>
      <c r="E2044" s="87"/>
      <c r="F2044" s="87"/>
      <c r="G2044" s="84">
        <v>2</v>
      </c>
      <c r="H2044" s="84">
        <v>0</v>
      </c>
      <c r="I2044" s="1">
        <f t="shared" si="94"/>
        <v>2</v>
      </c>
      <c r="J2044" s="1">
        <f t="shared" si="93"/>
        <v>1.8886734790600883</v>
      </c>
      <c r="K2044" s="1">
        <f t="shared" si="95"/>
        <v>1.2393594264584596E-2</v>
      </c>
    </row>
    <row r="2045" spans="4:11" ht="15.75" thickBot="1">
      <c r="D2045" s="107"/>
      <c r="E2045" s="88" t="s">
        <v>16</v>
      </c>
      <c r="F2045" s="88" t="s">
        <v>8</v>
      </c>
      <c r="G2045" s="84"/>
      <c r="H2045" s="84"/>
      <c r="I2045" s="1" t="str">
        <f t="shared" si="94"/>
        <v/>
      </c>
      <c r="J2045" s="1" t="str">
        <f t="shared" si="93"/>
        <v/>
      </c>
      <c r="K2045" s="1">
        <f t="shared" si="95"/>
        <v>0</v>
      </c>
    </row>
    <row r="2046" spans="4:11">
      <c r="D2046" s="108" t="s">
        <v>498</v>
      </c>
      <c r="E2046" s="86"/>
      <c r="F2046" s="86"/>
      <c r="G2046" s="84">
        <v>2</v>
      </c>
      <c r="H2046" s="84">
        <v>1</v>
      </c>
      <c r="I2046" s="1">
        <f t="shared" si="94"/>
        <v>1</v>
      </c>
      <c r="J2046" s="1">
        <f t="shared" si="93"/>
        <v>-0.33864737728022476</v>
      </c>
      <c r="K2046" s="1">
        <f t="shared" si="95"/>
        <v>1.7919768006992245</v>
      </c>
    </row>
    <row r="2047" spans="4:11" ht="15.75" thickBot="1">
      <c r="D2047" s="109"/>
      <c r="E2047" s="89" t="s">
        <v>25</v>
      </c>
      <c r="F2047" s="89" t="s">
        <v>15</v>
      </c>
      <c r="G2047" s="84"/>
      <c r="H2047" s="84"/>
      <c r="I2047" s="1" t="str">
        <f t="shared" si="94"/>
        <v/>
      </c>
      <c r="J2047" s="1" t="str">
        <f t="shared" si="93"/>
        <v/>
      </c>
      <c r="K2047" s="1">
        <f t="shared" si="95"/>
        <v>0</v>
      </c>
    </row>
    <row r="2048" spans="4:11">
      <c r="D2048" s="106" t="s">
        <v>498</v>
      </c>
      <c r="E2048" s="87"/>
      <c r="F2048" s="87"/>
      <c r="G2048" s="84">
        <v>3</v>
      </c>
      <c r="H2048" s="84">
        <v>1</v>
      </c>
      <c r="I2048" s="1">
        <f t="shared" si="94"/>
        <v>2</v>
      </c>
      <c r="J2048" s="1">
        <f t="shared" si="93"/>
        <v>0.73811887619062588</v>
      </c>
      <c r="K2048" s="1">
        <f t="shared" si="95"/>
        <v>1.5923439706264089</v>
      </c>
    </row>
    <row r="2049" spans="4:11" ht="15.75" thickBot="1">
      <c r="D2049" s="107"/>
      <c r="E2049" s="88" t="s">
        <v>443</v>
      </c>
      <c r="F2049" s="88" t="s">
        <v>27</v>
      </c>
      <c r="G2049" s="84"/>
      <c r="H2049" s="84"/>
      <c r="I2049" s="1" t="str">
        <f t="shared" si="94"/>
        <v/>
      </c>
      <c r="J2049" s="1" t="str">
        <f t="shared" ref="J2049:J2112" si="96">IF(F2050="","",VLOOKUP(F2050,$A$2:$B$31,2)+$B$33-VLOOKUP(E2050,$A$2:$B$31,2))</f>
        <v/>
      </c>
      <c r="K2049" s="1">
        <f t="shared" si="95"/>
        <v>0</v>
      </c>
    </row>
    <row r="2050" spans="4:11">
      <c r="D2050" s="108" t="s">
        <v>498</v>
      </c>
      <c r="E2050" s="86"/>
      <c r="F2050" s="86"/>
      <c r="G2050" s="84">
        <v>2</v>
      </c>
      <c r="H2050" s="84">
        <v>0</v>
      </c>
      <c r="I2050" s="1">
        <f t="shared" ref="I2050:I2113" si="97">IF(G2050="","",G2050-H2050)</f>
        <v>2</v>
      </c>
      <c r="J2050" s="1">
        <f t="shared" si="96"/>
        <v>0.10603894296536964</v>
      </c>
      <c r="K2050" s="1">
        <f t="shared" si="95"/>
        <v>3.5870884855637342</v>
      </c>
    </row>
    <row r="2051" spans="4:11" ht="15.75" thickBot="1">
      <c r="D2051" s="109"/>
      <c r="E2051" s="89" t="s">
        <v>14</v>
      </c>
      <c r="F2051" s="89" t="s">
        <v>28</v>
      </c>
      <c r="G2051" s="84"/>
      <c r="H2051" s="84"/>
      <c r="I2051" s="1" t="str">
        <f t="shared" si="97"/>
        <v/>
      </c>
      <c r="J2051" s="1" t="str">
        <f t="shared" si="96"/>
        <v/>
      </c>
      <c r="K2051" s="1">
        <f t="shared" si="95"/>
        <v>0</v>
      </c>
    </row>
    <row r="2052" spans="4:11">
      <c r="D2052" s="106" t="s">
        <v>498</v>
      </c>
      <c r="E2052" s="87"/>
      <c r="F2052" s="87"/>
      <c r="G2052" s="84">
        <v>1</v>
      </c>
      <c r="H2052" s="84">
        <v>4</v>
      </c>
      <c r="I2052" s="1">
        <f t="shared" si="97"/>
        <v>-3</v>
      </c>
      <c r="J2052" s="1">
        <f t="shared" si="96"/>
        <v>-0.72590014229039923</v>
      </c>
      <c r="K2052" s="1">
        <f t="shared" ref="K2052:K2115" si="98">IF(J2052="",0,(I2052-J2052)^2)</f>
        <v>5.1715301628348262</v>
      </c>
    </row>
    <row r="2053" spans="4:11" ht="15.75" thickBot="1">
      <c r="D2053" s="107"/>
      <c r="E2053" s="88" t="s">
        <v>0</v>
      </c>
      <c r="F2053" s="88" t="s">
        <v>3</v>
      </c>
      <c r="G2053" s="84"/>
      <c r="H2053" s="84"/>
      <c r="I2053" s="1" t="str">
        <f t="shared" si="97"/>
        <v/>
      </c>
      <c r="J2053" s="1" t="str">
        <f t="shared" si="96"/>
        <v/>
      </c>
      <c r="K2053" s="1">
        <f t="shared" si="98"/>
        <v>0</v>
      </c>
    </row>
    <row r="2054" spans="4:11">
      <c r="D2054" s="108" t="s">
        <v>498</v>
      </c>
      <c r="E2054" s="86"/>
      <c r="F2054" s="86"/>
      <c r="G2054" s="84">
        <v>3</v>
      </c>
      <c r="H2054" s="84">
        <v>1</v>
      </c>
      <c r="I2054" s="1">
        <f t="shared" si="97"/>
        <v>2</v>
      </c>
      <c r="J2054" s="1">
        <f t="shared" si="96"/>
        <v>-9.1771481426917489E-2</v>
      </c>
      <c r="K2054" s="1">
        <f t="shared" si="98"/>
        <v>4.3755079305109614</v>
      </c>
    </row>
    <row r="2055" spans="4:11" ht="15.75" thickBot="1">
      <c r="D2055" s="109"/>
      <c r="E2055" s="89" t="s">
        <v>23</v>
      </c>
      <c r="F2055" s="89" t="s">
        <v>17</v>
      </c>
      <c r="G2055" s="84"/>
      <c r="H2055" s="84"/>
      <c r="I2055" s="1" t="str">
        <f t="shared" si="97"/>
        <v/>
      </c>
      <c r="J2055" s="1" t="str">
        <f t="shared" si="96"/>
        <v/>
      </c>
      <c r="K2055" s="1">
        <f t="shared" si="98"/>
        <v>0</v>
      </c>
    </row>
    <row r="2056" spans="4:11">
      <c r="D2056" s="106" t="s">
        <v>498</v>
      </c>
      <c r="E2056" s="87"/>
      <c r="F2056" s="87"/>
      <c r="G2056" s="84">
        <v>4</v>
      </c>
      <c r="H2056" s="84">
        <v>1</v>
      </c>
      <c r="I2056" s="1">
        <f t="shared" si="97"/>
        <v>3</v>
      </c>
      <c r="J2056" s="1">
        <f t="shared" si="96"/>
        <v>0.17106405967437865</v>
      </c>
      <c r="K2056" s="1">
        <f t="shared" si="98"/>
        <v>8.0028785544660082</v>
      </c>
    </row>
    <row r="2057" spans="4:11" ht="15.75" thickBot="1">
      <c r="D2057" s="107"/>
      <c r="E2057" s="88" t="s">
        <v>9</v>
      </c>
      <c r="F2057" s="88" t="s">
        <v>26</v>
      </c>
      <c r="G2057" s="84"/>
      <c r="H2057" s="84"/>
      <c r="I2057" s="1" t="str">
        <f t="shared" si="97"/>
        <v/>
      </c>
      <c r="J2057" s="1" t="str">
        <f t="shared" si="96"/>
        <v/>
      </c>
      <c r="K2057" s="1">
        <f t="shared" si="98"/>
        <v>0</v>
      </c>
    </row>
    <row r="2058" spans="4:11">
      <c r="D2058" s="108" t="s">
        <v>498</v>
      </c>
      <c r="E2058" s="86"/>
      <c r="F2058" s="86"/>
      <c r="G2058" s="84">
        <v>2</v>
      </c>
      <c r="H2058" s="84">
        <v>3</v>
      </c>
      <c r="I2058" s="1">
        <f t="shared" si="97"/>
        <v>-1</v>
      </c>
      <c r="J2058" s="1">
        <f t="shared" si="96"/>
        <v>0.32117243606477075</v>
      </c>
      <c r="K2058" s="1">
        <f t="shared" si="98"/>
        <v>1.7454966058173207</v>
      </c>
    </row>
    <row r="2059" spans="4:11" ht="15.75" thickBot="1">
      <c r="D2059" s="109"/>
      <c r="E2059" s="89" t="s">
        <v>4</v>
      </c>
      <c r="F2059" s="89" t="s">
        <v>22</v>
      </c>
      <c r="G2059" s="84"/>
      <c r="H2059" s="84"/>
      <c r="I2059" s="1" t="str">
        <f t="shared" si="97"/>
        <v/>
      </c>
      <c r="J2059" s="1" t="str">
        <f t="shared" si="96"/>
        <v/>
      </c>
      <c r="K2059" s="1">
        <f t="shared" si="98"/>
        <v>0</v>
      </c>
    </row>
    <row r="2060" spans="4:11">
      <c r="D2060" s="106" t="s">
        <v>498</v>
      </c>
      <c r="E2060" s="87"/>
      <c r="F2060" s="87"/>
      <c r="G2060" s="84">
        <v>2</v>
      </c>
      <c r="H2060" s="84">
        <v>1</v>
      </c>
      <c r="I2060" s="1">
        <f t="shared" si="97"/>
        <v>1</v>
      </c>
      <c r="J2060" s="1">
        <f t="shared" si="96"/>
        <v>0.31201465963127362</v>
      </c>
      <c r="K2060" s="1">
        <f t="shared" si="98"/>
        <v>0.47332382856227229</v>
      </c>
    </row>
    <row r="2061" spans="4:11" ht="15.75" thickBot="1">
      <c r="D2061" s="107"/>
      <c r="E2061" s="88" t="s">
        <v>19</v>
      </c>
      <c r="F2061" s="88" t="s">
        <v>6</v>
      </c>
      <c r="G2061" s="84"/>
      <c r="H2061" s="84"/>
      <c r="I2061" s="1" t="str">
        <f t="shared" si="97"/>
        <v/>
      </c>
      <c r="J2061" s="1" t="str">
        <f t="shared" si="96"/>
        <v/>
      </c>
      <c r="K2061" s="1">
        <f t="shared" si="98"/>
        <v>0</v>
      </c>
    </row>
    <row r="2062" spans="4:11">
      <c r="D2062" s="108" t="s">
        <v>499</v>
      </c>
      <c r="E2062" s="86"/>
      <c r="F2062" s="86"/>
      <c r="G2062" s="84">
        <v>5</v>
      </c>
      <c r="H2062" s="84">
        <v>1</v>
      </c>
      <c r="I2062" s="1">
        <f t="shared" si="97"/>
        <v>4</v>
      </c>
      <c r="J2062" s="1">
        <f t="shared" si="96"/>
        <v>-0.15089142004582357</v>
      </c>
      <c r="K2062" s="1">
        <f t="shared" si="98"/>
        <v>17.229899581010034</v>
      </c>
    </row>
    <row r="2063" spans="4:11" ht="15.75" thickBot="1">
      <c r="D2063" s="109"/>
      <c r="E2063" s="89" t="s">
        <v>13</v>
      </c>
      <c r="F2063" s="89" t="s">
        <v>11</v>
      </c>
      <c r="G2063" s="84"/>
      <c r="H2063" s="84"/>
      <c r="I2063" s="1" t="str">
        <f t="shared" si="97"/>
        <v/>
      </c>
      <c r="J2063" s="1" t="str">
        <f t="shared" si="96"/>
        <v/>
      </c>
      <c r="K2063" s="1">
        <f t="shared" si="98"/>
        <v>0</v>
      </c>
    </row>
    <row r="2064" spans="4:11">
      <c r="D2064" s="106" t="s">
        <v>499</v>
      </c>
      <c r="E2064" s="87"/>
      <c r="F2064" s="87"/>
      <c r="G2064" s="84">
        <v>1</v>
      </c>
      <c r="H2064" s="84">
        <v>2</v>
      </c>
      <c r="I2064" s="1">
        <f t="shared" si="97"/>
        <v>-1</v>
      </c>
      <c r="J2064" s="1">
        <f t="shared" si="96"/>
        <v>-0.8015538715053907</v>
      </c>
      <c r="K2064" s="1">
        <f t="shared" si="98"/>
        <v>3.9380865914498984E-2</v>
      </c>
    </row>
    <row r="2065" spans="4:11" ht="15.75" thickBot="1">
      <c r="D2065" s="107"/>
      <c r="E2065" s="88" t="s">
        <v>14</v>
      </c>
      <c r="F2065" s="88" t="s">
        <v>16</v>
      </c>
      <c r="G2065" s="84"/>
      <c r="H2065" s="84"/>
      <c r="I2065" s="1" t="str">
        <f t="shared" si="97"/>
        <v/>
      </c>
      <c r="J2065" s="1" t="str">
        <f t="shared" si="96"/>
        <v/>
      </c>
      <c r="K2065" s="1">
        <f t="shared" si="98"/>
        <v>0</v>
      </c>
    </row>
    <row r="2066" spans="4:11">
      <c r="D2066" s="108" t="s">
        <v>499</v>
      </c>
      <c r="E2066" s="86"/>
      <c r="F2066" s="86"/>
      <c r="G2066" s="84">
        <v>3</v>
      </c>
      <c r="H2066" s="84">
        <v>2</v>
      </c>
      <c r="I2066" s="1">
        <f t="shared" si="97"/>
        <v>1</v>
      </c>
      <c r="J2066" s="1">
        <f t="shared" si="96"/>
        <v>-7.4977837838929418E-2</v>
      </c>
      <c r="K2066" s="1">
        <f t="shared" si="98"/>
        <v>1.1555773518448595</v>
      </c>
    </row>
    <row r="2067" spans="4:11" ht="15.75" thickBot="1">
      <c r="D2067" s="109"/>
      <c r="E2067" s="89" t="s">
        <v>28</v>
      </c>
      <c r="F2067" s="89" t="s">
        <v>7</v>
      </c>
      <c r="G2067" s="84"/>
      <c r="H2067" s="84"/>
      <c r="I2067" s="1" t="str">
        <f t="shared" si="97"/>
        <v/>
      </c>
      <c r="J2067" s="1" t="str">
        <f t="shared" si="96"/>
        <v/>
      </c>
      <c r="K2067" s="1">
        <f t="shared" si="98"/>
        <v>0</v>
      </c>
    </row>
    <row r="2068" spans="4:11">
      <c r="D2068" s="106" t="s">
        <v>499</v>
      </c>
      <c r="E2068" s="87"/>
      <c r="F2068" s="87"/>
      <c r="G2068" s="84">
        <v>3</v>
      </c>
      <c r="H2068" s="84">
        <v>0</v>
      </c>
      <c r="I2068" s="1">
        <f t="shared" si="97"/>
        <v>3</v>
      </c>
      <c r="J2068" s="1">
        <f t="shared" si="96"/>
        <v>0.58626544088704691</v>
      </c>
      <c r="K2068" s="1">
        <f t="shared" si="98"/>
        <v>5.8261145218562023</v>
      </c>
    </row>
    <row r="2069" spans="4:11" ht="15.75" thickBot="1">
      <c r="D2069" s="107"/>
      <c r="E2069" s="88" t="s">
        <v>17</v>
      </c>
      <c r="F2069" s="88" t="s">
        <v>21</v>
      </c>
      <c r="G2069" s="84"/>
      <c r="H2069" s="84"/>
      <c r="I2069" s="1" t="str">
        <f t="shared" si="97"/>
        <v/>
      </c>
      <c r="J2069" s="1" t="str">
        <f t="shared" si="96"/>
        <v/>
      </c>
      <c r="K2069" s="1">
        <f t="shared" si="98"/>
        <v>0</v>
      </c>
    </row>
    <row r="2070" spans="4:11">
      <c r="D2070" s="108" t="s">
        <v>499</v>
      </c>
      <c r="E2070" s="86"/>
      <c r="F2070" s="86"/>
      <c r="G2070" s="84">
        <v>1</v>
      </c>
      <c r="H2070" s="84">
        <v>2</v>
      </c>
      <c r="I2070" s="1">
        <f t="shared" si="97"/>
        <v>-1</v>
      </c>
      <c r="J2070" s="1">
        <f t="shared" si="96"/>
        <v>-0.42920569506672734</v>
      </c>
      <c r="K2070" s="1">
        <f t="shared" si="98"/>
        <v>0.32580613854425783</v>
      </c>
    </row>
    <row r="2071" spans="4:11" ht="15.75" thickBot="1">
      <c r="D2071" s="109"/>
      <c r="E2071" s="89" t="s">
        <v>1</v>
      </c>
      <c r="F2071" s="89" t="s">
        <v>18</v>
      </c>
      <c r="G2071" s="84"/>
      <c r="H2071" s="84"/>
      <c r="I2071" s="1" t="str">
        <f t="shared" si="97"/>
        <v/>
      </c>
      <c r="J2071" s="1" t="str">
        <f t="shared" si="96"/>
        <v/>
      </c>
      <c r="K2071" s="1">
        <f t="shared" si="98"/>
        <v>0</v>
      </c>
    </row>
    <row r="2072" spans="4:11">
      <c r="D2072" s="106" t="s">
        <v>499</v>
      </c>
      <c r="E2072" s="87"/>
      <c r="F2072" s="87"/>
      <c r="G2072" s="84">
        <v>0</v>
      </c>
      <c r="H2072" s="84">
        <v>2</v>
      </c>
      <c r="I2072" s="1">
        <f t="shared" si="97"/>
        <v>-2</v>
      </c>
      <c r="J2072" s="1">
        <f t="shared" si="96"/>
        <v>-0.3775225024140525</v>
      </c>
      <c r="K2072" s="1">
        <f t="shared" si="98"/>
        <v>2.6324332301727584</v>
      </c>
    </row>
    <row r="2073" spans="4:11" ht="15.75" thickBot="1">
      <c r="D2073" s="107"/>
      <c r="E2073" s="88" t="s">
        <v>2</v>
      </c>
      <c r="F2073" s="88" t="s">
        <v>12</v>
      </c>
      <c r="G2073" s="84"/>
      <c r="H2073" s="84"/>
      <c r="I2073" s="1" t="str">
        <f t="shared" si="97"/>
        <v/>
      </c>
      <c r="J2073" s="1" t="str">
        <f t="shared" si="96"/>
        <v/>
      </c>
      <c r="K2073" s="1">
        <f t="shared" si="98"/>
        <v>0</v>
      </c>
    </row>
    <row r="2074" spans="4:11">
      <c r="D2074" s="108" t="s">
        <v>499</v>
      </c>
      <c r="E2074" s="86"/>
      <c r="F2074" s="86"/>
      <c r="G2074" s="84">
        <v>2</v>
      </c>
      <c r="H2074" s="84">
        <v>4</v>
      </c>
      <c r="I2074" s="1">
        <f t="shared" si="97"/>
        <v>-2</v>
      </c>
      <c r="J2074" s="1">
        <f t="shared" si="96"/>
        <v>0.93461096994850834</v>
      </c>
      <c r="K2074" s="1">
        <f t="shared" si="98"/>
        <v>8.611941544942125</v>
      </c>
    </row>
    <row r="2075" spans="4:11" ht="15.75" thickBot="1">
      <c r="D2075" s="109"/>
      <c r="E2075" s="89" t="s">
        <v>19</v>
      </c>
      <c r="F2075" s="89" t="s">
        <v>10</v>
      </c>
      <c r="G2075" s="84"/>
      <c r="H2075" s="84"/>
      <c r="I2075" s="1" t="str">
        <f t="shared" si="97"/>
        <v/>
      </c>
      <c r="J2075" s="1" t="str">
        <f t="shared" si="96"/>
        <v/>
      </c>
      <c r="K2075" s="1">
        <f t="shared" si="98"/>
        <v>0</v>
      </c>
    </row>
    <row r="2076" spans="4:11">
      <c r="D2076" s="106" t="s">
        <v>500</v>
      </c>
      <c r="E2076" s="87"/>
      <c r="F2076" s="87"/>
      <c r="G2076" s="84">
        <v>4</v>
      </c>
      <c r="H2076" s="84">
        <v>3</v>
      </c>
      <c r="I2076" s="1">
        <f t="shared" si="97"/>
        <v>1</v>
      </c>
      <c r="J2076" s="1">
        <f t="shared" si="96"/>
        <v>1.7875352367187105</v>
      </c>
      <c r="K2076" s="1">
        <f t="shared" si="98"/>
        <v>0.62021174907359544</v>
      </c>
    </row>
    <row r="2077" spans="4:11" ht="15.75" thickBot="1">
      <c r="D2077" s="107"/>
      <c r="E2077" s="88" t="s">
        <v>12</v>
      </c>
      <c r="F2077" s="88" t="s">
        <v>8</v>
      </c>
      <c r="G2077" s="84"/>
      <c r="H2077" s="84"/>
      <c r="I2077" s="1" t="str">
        <f t="shared" si="97"/>
        <v/>
      </c>
      <c r="J2077" s="1" t="str">
        <f t="shared" si="96"/>
        <v/>
      </c>
      <c r="K2077" s="1">
        <f t="shared" si="98"/>
        <v>0</v>
      </c>
    </row>
    <row r="2078" spans="4:11">
      <c r="D2078" s="108" t="s">
        <v>500</v>
      </c>
      <c r="E2078" s="86"/>
      <c r="F2078" s="86"/>
      <c r="G2078" s="84">
        <v>2</v>
      </c>
      <c r="H2078" s="84">
        <v>4</v>
      </c>
      <c r="I2078" s="1">
        <f t="shared" si="97"/>
        <v>-2</v>
      </c>
      <c r="J2078" s="1">
        <f t="shared" si="96"/>
        <v>-0.19634364461721532</v>
      </c>
      <c r="K2078" s="1">
        <f t="shared" si="98"/>
        <v>3.2531762483127102</v>
      </c>
    </row>
    <row r="2079" spans="4:11" ht="15.75" thickBot="1">
      <c r="D2079" s="109"/>
      <c r="E2079" s="89" t="s">
        <v>443</v>
      </c>
      <c r="F2079" s="89" t="s">
        <v>15</v>
      </c>
      <c r="G2079" s="84"/>
      <c r="H2079" s="84"/>
      <c r="I2079" s="1" t="str">
        <f t="shared" si="97"/>
        <v/>
      </c>
      <c r="J2079" s="1" t="str">
        <f t="shared" si="96"/>
        <v/>
      </c>
      <c r="K2079" s="1">
        <f t="shared" si="98"/>
        <v>0</v>
      </c>
    </row>
    <row r="2080" spans="4:11">
      <c r="D2080" s="106" t="s">
        <v>500</v>
      </c>
      <c r="E2080" s="87"/>
      <c r="F2080" s="87"/>
      <c r="G2080" s="84">
        <v>1</v>
      </c>
      <c r="H2080" s="84">
        <v>4</v>
      </c>
      <c r="I2080" s="1">
        <f t="shared" si="97"/>
        <v>-3</v>
      </c>
      <c r="J2080" s="1">
        <f t="shared" si="96"/>
        <v>0.33179836753005532</v>
      </c>
      <c r="K2080" s="1">
        <f t="shared" si="98"/>
        <v>11.100880361875941</v>
      </c>
    </row>
    <row r="2081" spans="4:11" ht="15.75" thickBot="1">
      <c r="D2081" s="107"/>
      <c r="E2081" s="88" t="s">
        <v>0</v>
      </c>
      <c r="F2081" s="88" t="s">
        <v>24</v>
      </c>
      <c r="G2081" s="84"/>
      <c r="H2081" s="84"/>
      <c r="I2081" s="1" t="str">
        <f t="shared" si="97"/>
        <v/>
      </c>
      <c r="J2081" s="1" t="str">
        <f t="shared" si="96"/>
        <v/>
      </c>
      <c r="K2081" s="1">
        <f t="shared" si="98"/>
        <v>0</v>
      </c>
    </row>
    <row r="2082" spans="4:11">
      <c r="D2082" s="108" t="s">
        <v>500</v>
      </c>
      <c r="E2082" s="86"/>
      <c r="F2082" s="86"/>
      <c r="G2082" s="84">
        <v>0</v>
      </c>
      <c r="H2082" s="84">
        <v>1</v>
      </c>
      <c r="I2082" s="1">
        <f t="shared" si="97"/>
        <v>-1</v>
      </c>
      <c r="J2082" s="1">
        <f t="shared" si="96"/>
        <v>-0.62259631031723472</v>
      </c>
      <c r="K2082" s="1">
        <f t="shared" si="98"/>
        <v>0.14243354498616498</v>
      </c>
    </row>
    <row r="2083" spans="4:11" ht="15.75" thickBot="1">
      <c r="D2083" s="109"/>
      <c r="E2083" s="89" t="s">
        <v>26</v>
      </c>
      <c r="F2083" s="89" t="s">
        <v>6</v>
      </c>
      <c r="G2083" s="84"/>
      <c r="H2083" s="84"/>
      <c r="I2083" s="1" t="str">
        <f t="shared" si="97"/>
        <v/>
      </c>
      <c r="J2083" s="1" t="str">
        <f t="shared" si="96"/>
        <v/>
      </c>
      <c r="K2083" s="1">
        <f t="shared" si="98"/>
        <v>0</v>
      </c>
    </row>
    <row r="2084" spans="4:11">
      <c r="D2084" s="106" t="s">
        <v>501</v>
      </c>
      <c r="E2084" s="87"/>
      <c r="F2084" s="87"/>
      <c r="G2084" s="84">
        <v>0</v>
      </c>
      <c r="H2084" s="84">
        <v>2</v>
      </c>
      <c r="I2084" s="1">
        <f t="shared" si="97"/>
        <v>-2</v>
      </c>
      <c r="J2084" s="1">
        <f t="shared" si="96"/>
        <v>0.62808430365640788</v>
      </c>
      <c r="K2084" s="1">
        <f t="shared" si="98"/>
        <v>6.9068271071251859</v>
      </c>
    </row>
    <row r="2085" spans="4:11" ht="15.75" thickBot="1">
      <c r="D2085" s="107"/>
      <c r="E2085" s="88" t="s">
        <v>11</v>
      </c>
      <c r="F2085" s="88" t="s">
        <v>9</v>
      </c>
      <c r="G2085" s="84"/>
      <c r="H2085" s="84"/>
      <c r="I2085" s="1" t="str">
        <f t="shared" si="97"/>
        <v/>
      </c>
      <c r="J2085" s="1" t="str">
        <f t="shared" si="96"/>
        <v/>
      </c>
      <c r="K2085" s="1">
        <f t="shared" si="98"/>
        <v>0</v>
      </c>
    </row>
    <row r="2086" spans="4:11">
      <c r="D2086" s="108" t="s">
        <v>501</v>
      </c>
      <c r="E2086" s="86"/>
      <c r="F2086" s="86"/>
      <c r="G2086" s="84">
        <v>2</v>
      </c>
      <c r="H2086" s="84">
        <v>1</v>
      </c>
      <c r="I2086" s="1">
        <f t="shared" si="97"/>
        <v>1</v>
      </c>
      <c r="J2086" s="1">
        <f t="shared" si="96"/>
        <v>0.52487665617657342</v>
      </c>
      <c r="K2086" s="1">
        <f t="shared" si="98"/>
        <v>0.22574219184595404</v>
      </c>
    </row>
    <row r="2087" spans="4:11" ht="15.75" thickBot="1">
      <c r="D2087" s="109"/>
      <c r="E2087" s="89" t="s">
        <v>18</v>
      </c>
      <c r="F2087" s="89" t="s">
        <v>28</v>
      </c>
      <c r="G2087" s="84"/>
      <c r="H2087" s="84"/>
      <c r="I2087" s="1" t="str">
        <f t="shared" si="97"/>
        <v/>
      </c>
      <c r="J2087" s="1" t="str">
        <f t="shared" si="96"/>
        <v/>
      </c>
      <c r="K2087" s="1">
        <f t="shared" si="98"/>
        <v>0</v>
      </c>
    </row>
    <row r="2088" spans="4:11">
      <c r="D2088" s="106" t="s">
        <v>501</v>
      </c>
      <c r="E2088" s="87"/>
      <c r="F2088" s="87"/>
      <c r="G2088" s="84">
        <v>2</v>
      </c>
      <c r="H2088" s="84">
        <v>1</v>
      </c>
      <c r="I2088" s="1">
        <f t="shared" si="97"/>
        <v>1</v>
      </c>
      <c r="J2088" s="1">
        <f t="shared" si="96"/>
        <v>-1.410012734304658</v>
      </c>
      <c r="K2088" s="1">
        <f t="shared" si="98"/>
        <v>5.8081613795106142</v>
      </c>
    </row>
    <row r="2089" spans="4:11" ht="15.75" thickBot="1">
      <c r="D2089" s="107"/>
      <c r="E2089" s="88" t="s">
        <v>8</v>
      </c>
      <c r="F2089" s="88" t="s">
        <v>2</v>
      </c>
      <c r="G2089" s="84"/>
      <c r="H2089" s="84"/>
      <c r="I2089" s="1" t="str">
        <f t="shared" si="97"/>
        <v/>
      </c>
      <c r="J2089" s="1" t="str">
        <f t="shared" si="96"/>
        <v/>
      </c>
      <c r="K2089" s="1">
        <f t="shared" si="98"/>
        <v>0</v>
      </c>
    </row>
    <row r="2090" spans="4:11">
      <c r="D2090" s="108" t="s">
        <v>501</v>
      </c>
      <c r="E2090" s="86"/>
      <c r="F2090" s="86"/>
      <c r="G2090" s="84">
        <v>3</v>
      </c>
      <c r="H2090" s="84">
        <v>2</v>
      </c>
      <c r="I2090" s="1">
        <f t="shared" si="97"/>
        <v>1</v>
      </c>
      <c r="J2090" s="1">
        <f t="shared" si="96"/>
        <v>0.60630671220609145</v>
      </c>
      <c r="K2090" s="1">
        <f t="shared" si="98"/>
        <v>0.15499440485397731</v>
      </c>
    </row>
    <row r="2091" spans="4:11" ht="15.75" thickBot="1">
      <c r="D2091" s="109"/>
      <c r="E2091" s="89" t="s">
        <v>443</v>
      </c>
      <c r="F2091" s="89" t="s">
        <v>14</v>
      </c>
      <c r="G2091" s="84"/>
      <c r="H2091" s="84"/>
      <c r="I2091" s="1" t="str">
        <f t="shared" si="97"/>
        <v/>
      </c>
      <c r="J2091" s="1" t="str">
        <f t="shared" si="96"/>
        <v/>
      </c>
      <c r="K2091" s="1">
        <f t="shared" si="98"/>
        <v>0</v>
      </c>
    </row>
    <row r="2092" spans="4:11">
      <c r="D2092" s="106" t="s">
        <v>501</v>
      </c>
      <c r="E2092" s="87"/>
      <c r="F2092" s="87"/>
      <c r="G2092" s="84">
        <v>3</v>
      </c>
      <c r="H2092" s="84">
        <v>2</v>
      </c>
      <c r="I2092" s="1">
        <f t="shared" si="97"/>
        <v>1</v>
      </c>
      <c r="J2092" s="1">
        <f t="shared" si="96"/>
        <v>9.3578982560558188E-3</v>
      </c>
      <c r="K2092" s="1">
        <f t="shared" si="98"/>
        <v>0.98137177374765905</v>
      </c>
    </row>
    <row r="2093" spans="4:11" ht="15.75" thickBot="1">
      <c r="D2093" s="107"/>
      <c r="E2093" s="88" t="s">
        <v>23</v>
      </c>
      <c r="F2093" s="88" t="s">
        <v>19</v>
      </c>
      <c r="G2093" s="84"/>
      <c r="H2093" s="84"/>
      <c r="I2093" s="1" t="str">
        <f t="shared" si="97"/>
        <v/>
      </c>
      <c r="J2093" s="1" t="str">
        <f t="shared" si="96"/>
        <v/>
      </c>
      <c r="K2093" s="1">
        <f t="shared" si="98"/>
        <v>0</v>
      </c>
    </row>
    <row r="2094" spans="4:11">
      <c r="D2094" s="108" t="s">
        <v>501</v>
      </c>
      <c r="E2094" s="86"/>
      <c r="F2094" s="86"/>
      <c r="G2094" s="84">
        <v>2</v>
      </c>
      <c r="H2094" s="84">
        <v>5</v>
      </c>
      <c r="I2094" s="1">
        <f t="shared" si="97"/>
        <v>-3</v>
      </c>
      <c r="J2094" s="1">
        <f t="shared" si="96"/>
        <v>-0.23849091694800961</v>
      </c>
      <c r="K2094" s="1">
        <f t="shared" si="98"/>
        <v>7.625932415778645</v>
      </c>
    </row>
    <row r="2095" spans="4:11" ht="15.75" thickBot="1">
      <c r="D2095" s="109"/>
      <c r="E2095" s="89" t="s">
        <v>5</v>
      </c>
      <c r="F2095" s="89" t="s">
        <v>25</v>
      </c>
      <c r="G2095" s="84"/>
      <c r="H2095" s="84"/>
      <c r="I2095" s="1" t="str">
        <f t="shared" si="97"/>
        <v/>
      </c>
      <c r="J2095" s="1" t="str">
        <f t="shared" si="96"/>
        <v/>
      </c>
      <c r="K2095" s="1">
        <f t="shared" si="98"/>
        <v>0</v>
      </c>
    </row>
    <row r="2096" spans="4:11">
      <c r="D2096" s="106" t="s">
        <v>501</v>
      </c>
      <c r="E2096" s="87"/>
      <c r="F2096" s="87"/>
      <c r="G2096" s="84">
        <v>1</v>
      </c>
      <c r="H2096" s="84">
        <v>4</v>
      </c>
      <c r="I2096" s="1">
        <f t="shared" si="97"/>
        <v>-3</v>
      </c>
      <c r="J2096" s="1">
        <f t="shared" si="96"/>
        <v>-0.94034032681517488</v>
      </c>
      <c r="K2096" s="1">
        <f t="shared" si="98"/>
        <v>4.2421979693438203</v>
      </c>
    </row>
    <row r="2097" spans="4:11" ht="15.75" thickBot="1">
      <c r="D2097" s="107"/>
      <c r="E2097" s="88" t="s">
        <v>27</v>
      </c>
      <c r="F2097" s="88" t="s">
        <v>20</v>
      </c>
      <c r="G2097" s="84"/>
      <c r="H2097" s="84"/>
      <c r="I2097" s="1" t="str">
        <f t="shared" si="97"/>
        <v/>
      </c>
      <c r="J2097" s="1" t="str">
        <f t="shared" si="96"/>
        <v/>
      </c>
      <c r="K2097" s="1">
        <f t="shared" si="98"/>
        <v>0</v>
      </c>
    </row>
    <row r="2098" spans="4:11">
      <c r="D2098" s="108" t="s">
        <v>501</v>
      </c>
      <c r="E2098" s="86"/>
      <c r="F2098" s="86"/>
      <c r="G2098" s="84">
        <v>4</v>
      </c>
      <c r="H2098" s="84">
        <v>0</v>
      </c>
      <c r="I2098" s="1">
        <f t="shared" si="97"/>
        <v>4</v>
      </c>
      <c r="J2098" s="1">
        <f t="shared" si="96"/>
        <v>0.22591143614251052</v>
      </c>
      <c r="K2098" s="1">
        <f t="shared" si="98"/>
        <v>14.243744487839887</v>
      </c>
    </row>
    <row r="2099" spans="4:11" ht="15.75" thickBot="1">
      <c r="D2099" s="109"/>
      <c r="E2099" s="89" t="s">
        <v>17</v>
      </c>
      <c r="F2099" s="89" t="s">
        <v>4</v>
      </c>
      <c r="G2099" s="84"/>
      <c r="H2099" s="84"/>
      <c r="I2099" s="1" t="str">
        <f t="shared" si="97"/>
        <v/>
      </c>
      <c r="J2099" s="1" t="str">
        <f t="shared" si="96"/>
        <v/>
      </c>
      <c r="K2099" s="1">
        <f t="shared" si="98"/>
        <v>0</v>
      </c>
    </row>
    <row r="2100" spans="4:11">
      <c r="D2100" s="106" t="s">
        <v>501</v>
      </c>
      <c r="E2100" s="87"/>
      <c r="F2100" s="87"/>
      <c r="G2100" s="84">
        <v>1</v>
      </c>
      <c r="H2100" s="84">
        <v>4</v>
      </c>
      <c r="I2100" s="1">
        <f t="shared" si="97"/>
        <v>-3</v>
      </c>
      <c r="J2100" s="1">
        <f t="shared" si="96"/>
        <v>-0.44728123425028343</v>
      </c>
      <c r="K2100" s="1">
        <f t="shared" si="98"/>
        <v>6.5163730970107565</v>
      </c>
    </row>
    <row r="2101" spans="4:11" ht="15.75" thickBot="1">
      <c r="D2101" s="107"/>
      <c r="E2101" s="88" t="s">
        <v>1</v>
      </c>
      <c r="F2101" s="88" t="s">
        <v>3</v>
      </c>
      <c r="G2101" s="84"/>
      <c r="H2101" s="84"/>
      <c r="I2101" s="1" t="str">
        <f t="shared" si="97"/>
        <v/>
      </c>
      <c r="J2101" s="1" t="str">
        <f t="shared" si="96"/>
        <v/>
      </c>
      <c r="K2101" s="1">
        <f t="shared" si="98"/>
        <v>0</v>
      </c>
    </row>
    <row r="2102" spans="4:11">
      <c r="D2102" s="108" t="s">
        <v>502</v>
      </c>
      <c r="E2102" s="86"/>
      <c r="F2102" s="86"/>
      <c r="G2102" s="84">
        <v>1</v>
      </c>
      <c r="H2102" s="84">
        <v>0</v>
      </c>
      <c r="I2102" s="1">
        <f t="shared" si="97"/>
        <v>1</v>
      </c>
      <c r="J2102" s="1">
        <f t="shared" si="96"/>
        <v>6.9742913252497374E-3</v>
      </c>
      <c r="K2102" s="1">
        <f t="shared" si="98"/>
        <v>0.98610005808898993</v>
      </c>
    </row>
    <row r="2103" spans="4:11" ht="15.75" thickBot="1">
      <c r="D2103" s="109"/>
      <c r="E2103" s="89" t="s">
        <v>20</v>
      </c>
      <c r="F2103" s="89" t="s">
        <v>16</v>
      </c>
      <c r="G2103" s="84"/>
      <c r="H2103" s="84"/>
      <c r="I2103" s="1" t="str">
        <f t="shared" si="97"/>
        <v/>
      </c>
      <c r="J2103" s="1" t="str">
        <f t="shared" si="96"/>
        <v/>
      </c>
      <c r="K2103" s="1">
        <f t="shared" si="98"/>
        <v>0</v>
      </c>
    </row>
    <row r="2104" spans="4:11">
      <c r="D2104" s="106" t="s">
        <v>502</v>
      </c>
      <c r="E2104" s="87"/>
      <c r="F2104" s="87"/>
      <c r="G2104" s="84">
        <v>4</v>
      </c>
      <c r="H2104" s="84">
        <v>3</v>
      </c>
      <c r="I2104" s="1">
        <f t="shared" si="97"/>
        <v>1</v>
      </c>
      <c r="J2104" s="1">
        <f t="shared" si="96"/>
        <v>0.58972415229925446</v>
      </c>
      <c r="K2104" s="1">
        <f t="shared" si="98"/>
        <v>0.16832627120656535</v>
      </c>
    </row>
    <row r="2105" spans="4:11" ht="15.75" thickBot="1">
      <c r="D2105" s="107"/>
      <c r="E2105" s="88" t="s">
        <v>7</v>
      </c>
      <c r="F2105" s="88" t="s">
        <v>24</v>
      </c>
      <c r="G2105" s="84"/>
      <c r="H2105" s="84"/>
      <c r="I2105" s="1" t="str">
        <f t="shared" si="97"/>
        <v/>
      </c>
      <c r="J2105" s="1" t="str">
        <f t="shared" si="96"/>
        <v/>
      </c>
      <c r="K2105" s="1">
        <f t="shared" si="98"/>
        <v>0</v>
      </c>
    </row>
    <row r="2106" spans="4:11">
      <c r="D2106" s="108" t="s">
        <v>502</v>
      </c>
      <c r="E2106" s="86"/>
      <c r="F2106" s="86"/>
      <c r="G2106" s="84">
        <v>2</v>
      </c>
      <c r="H2106" s="84">
        <v>3</v>
      </c>
      <c r="I2106" s="1">
        <f t="shared" si="97"/>
        <v>-1</v>
      </c>
      <c r="J2106" s="1">
        <f t="shared" si="96"/>
        <v>0.62259631031723472</v>
      </c>
      <c r="K2106" s="1">
        <f t="shared" si="98"/>
        <v>2.632818786255104</v>
      </c>
    </row>
    <row r="2107" spans="4:11" ht="15.75" thickBot="1">
      <c r="D2107" s="109"/>
      <c r="E2107" s="89" t="s">
        <v>6</v>
      </c>
      <c r="F2107" s="89" t="s">
        <v>10</v>
      </c>
      <c r="G2107" s="84"/>
      <c r="H2107" s="84"/>
      <c r="I2107" s="1" t="str">
        <f t="shared" si="97"/>
        <v/>
      </c>
      <c r="J2107" s="1" t="str">
        <f t="shared" si="96"/>
        <v/>
      </c>
      <c r="K2107" s="1">
        <f t="shared" si="98"/>
        <v>0</v>
      </c>
    </row>
    <row r="2108" spans="4:11">
      <c r="D2108" s="106" t="s">
        <v>503</v>
      </c>
      <c r="E2108" s="87"/>
      <c r="F2108" s="87"/>
      <c r="G2108" s="84">
        <v>4</v>
      </c>
      <c r="H2108" s="84">
        <v>1</v>
      </c>
      <c r="I2108" s="1">
        <f t="shared" si="97"/>
        <v>3</v>
      </c>
      <c r="J2108" s="1">
        <f t="shared" si="96"/>
        <v>0.51449895249071176</v>
      </c>
      <c r="K2108" s="1">
        <f t="shared" si="98"/>
        <v>6.1777154571697688</v>
      </c>
    </row>
    <row r="2109" spans="4:11" ht="15.75" thickBot="1">
      <c r="D2109" s="107"/>
      <c r="E2109" s="88" t="s">
        <v>5</v>
      </c>
      <c r="F2109" s="88" t="s">
        <v>0</v>
      </c>
      <c r="G2109" s="84"/>
      <c r="H2109" s="84"/>
      <c r="I2109" s="1" t="str">
        <f t="shared" si="97"/>
        <v/>
      </c>
      <c r="J2109" s="1" t="str">
        <f t="shared" si="96"/>
        <v/>
      </c>
      <c r="K2109" s="1">
        <f t="shared" si="98"/>
        <v>0</v>
      </c>
    </row>
    <row r="2110" spans="4:11">
      <c r="D2110" s="108" t="s">
        <v>503</v>
      </c>
      <c r="E2110" s="86"/>
      <c r="F2110" s="86"/>
      <c r="G2110" s="84">
        <v>0</v>
      </c>
      <c r="H2110" s="84">
        <v>4</v>
      </c>
      <c r="I2110" s="1">
        <f t="shared" si="97"/>
        <v>-4</v>
      </c>
      <c r="J2110" s="1">
        <f t="shared" si="96"/>
        <v>-0.71234565517146109</v>
      </c>
      <c r="K2110" s="1">
        <f t="shared" si="98"/>
        <v>10.80867109106997</v>
      </c>
    </row>
    <row r="2111" spans="4:11" ht="15.75" thickBot="1">
      <c r="D2111" s="109"/>
      <c r="E2111" s="89" t="s">
        <v>28</v>
      </c>
      <c r="F2111" s="89" t="s">
        <v>443</v>
      </c>
      <c r="G2111" s="84"/>
      <c r="H2111" s="84"/>
      <c r="I2111" s="1" t="str">
        <f t="shared" si="97"/>
        <v/>
      </c>
      <c r="J2111" s="1" t="str">
        <f t="shared" si="96"/>
        <v/>
      </c>
      <c r="K2111" s="1">
        <f t="shared" si="98"/>
        <v>0</v>
      </c>
    </row>
    <row r="2112" spans="4:11">
      <c r="D2112" s="106" t="s">
        <v>503</v>
      </c>
      <c r="E2112" s="87"/>
      <c r="F2112" s="87"/>
      <c r="G2112" s="84">
        <v>4</v>
      </c>
      <c r="H2112" s="84">
        <v>6</v>
      </c>
      <c r="I2112" s="1">
        <f t="shared" si="97"/>
        <v>-2</v>
      </c>
      <c r="J2112" s="1">
        <f t="shared" si="96"/>
        <v>-9.5944586461243375E-2</v>
      </c>
      <c r="K2112" s="1">
        <f t="shared" si="98"/>
        <v>3.6254270178262455</v>
      </c>
    </row>
    <row r="2113" spans="4:11" ht="15.75" thickBot="1">
      <c r="D2113" s="107"/>
      <c r="E2113" s="88" t="s">
        <v>2</v>
      </c>
      <c r="F2113" s="88" t="s">
        <v>18</v>
      </c>
      <c r="G2113" s="84"/>
      <c r="H2113" s="84"/>
      <c r="I2113" s="1" t="str">
        <f t="shared" si="97"/>
        <v/>
      </c>
      <c r="J2113" s="1" t="str">
        <f t="shared" ref="J2113:J2176" si="99">IF(F2114="","",VLOOKUP(F2114,$A$2:$B$31,2)+$B$33-VLOOKUP(E2114,$A$2:$B$31,2))</f>
        <v/>
      </c>
      <c r="K2113" s="1">
        <f t="shared" si="98"/>
        <v>0</v>
      </c>
    </row>
    <row r="2114" spans="4:11">
      <c r="D2114" s="108" t="s">
        <v>503</v>
      </c>
      <c r="E2114" s="86"/>
      <c r="F2114" s="86"/>
      <c r="G2114" s="84">
        <v>1</v>
      </c>
      <c r="H2114" s="84">
        <v>3</v>
      </c>
      <c r="I2114" s="1">
        <f t="shared" ref="I2114:I2177" si="100">IF(G2114="","",G2114-H2114)</f>
        <v>-2</v>
      </c>
      <c r="J2114" s="1">
        <f t="shared" si="99"/>
        <v>0.38687423012571287</v>
      </c>
      <c r="K2114" s="1">
        <f t="shared" si="98"/>
        <v>5.6971685904382143</v>
      </c>
    </row>
    <row r="2115" spans="4:11" ht="15.75" thickBot="1">
      <c r="D2115" s="109"/>
      <c r="E2115" s="89" t="s">
        <v>13</v>
      </c>
      <c r="F2115" s="89" t="s">
        <v>14</v>
      </c>
      <c r="G2115" s="84"/>
      <c r="H2115" s="84"/>
      <c r="I2115" s="1" t="str">
        <f t="shared" si="100"/>
        <v/>
      </c>
      <c r="J2115" s="1" t="str">
        <f t="shared" si="99"/>
        <v/>
      </c>
      <c r="K2115" s="1">
        <f t="shared" si="98"/>
        <v>0</v>
      </c>
    </row>
    <row r="2116" spans="4:11">
      <c r="D2116" s="106" t="s">
        <v>503</v>
      </c>
      <c r="E2116" s="87"/>
      <c r="F2116" s="87"/>
      <c r="G2116" s="84">
        <v>3</v>
      </c>
      <c r="H2116" s="84">
        <v>2</v>
      </c>
      <c r="I2116" s="1">
        <f t="shared" si="100"/>
        <v>1</v>
      </c>
      <c r="J2116" s="1">
        <f t="shared" si="99"/>
        <v>1.782947411869884E-2</v>
      </c>
      <c r="K2116" s="1">
        <f t="shared" ref="K2116:K2179" si="101">IF(J2116="",0,(I2116-J2116)^2)</f>
        <v>0.96465894190995172</v>
      </c>
    </row>
    <row r="2117" spans="4:11" ht="15.75" thickBot="1">
      <c r="D2117" s="107"/>
      <c r="E2117" s="88" t="s">
        <v>12</v>
      </c>
      <c r="F2117" s="88" t="s">
        <v>23</v>
      </c>
      <c r="G2117" s="84"/>
      <c r="H2117" s="84"/>
      <c r="I2117" s="1" t="str">
        <f t="shared" si="100"/>
        <v/>
      </c>
      <c r="J2117" s="1" t="str">
        <f t="shared" si="99"/>
        <v/>
      </c>
      <c r="K2117" s="1">
        <f t="shared" si="101"/>
        <v>0</v>
      </c>
    </row>
    <row r="2118" spans="4:11">
      <c r="D2118" s="108" t="s">
        <v>503</v>
      </c>
      <c r="E2118" s="86"/>
      <c r="F2118" s="86"/>
      <c r="G2118" s="84">
        <v>1</v>
      </c>
      <c r="H2118" s="84">
        <v>2</v>
      </c>
      <c r="I2118" s="1">
        <f t="shared" si="100"/>
        <v>-1</v>
      </c>
      <c r="J2118" s="1">
        <f t="shared" si="99"/>
        <v>0.31035465692914954</v>
      </c>
      <c r="K2118" s="1">
        <f t="shared" si="101"/>
        <v>1.7170293269359092</v>
      </c>
    </row>
    <row r="2119" spans="4:11" ht="15.75" thickBot="1">
      <c r="D2119" s="109"/>
      <c r="E2119" s="89" t="s">
        <v>17</v>
      </c>
      <c r="F2119" s="89" t="s">
        <v>25</v>
      </c>
      <c r="G2119" s="84"/>
      <c r="H2119" s="84"/>
      <c r="I2119" s="1" t="str">
        <f t="shared" si="100"/>
        <v/>
      </c>
      <c r="J2119" s="1" t="str">
        <f t="shared" si="99"/>
        <v/>
      </c>
      <c r="K2119" s="1">
        <f t="shared" si="101"/>
        <v>0</v>
      </c>
    </row>
    <row r="2120" spans="4:11">
      <c r="D2120" s="106" t="s">
        <v>503</v>
      </c>
      <c r="E2120" s="87"/>
      <c r="F2120" s="87"/>
      <c r="G2120" s="84">
        <v>1</v>
      </c>
      <c r="H2120" s="84">
        <v>2</v>
      </c>
      <c r="I2120" s="1">
        <f t="shared" si="100"/>
        <v>-1</v>
      </c>
      <c r="J2120" s="1">
        <f t="shared" si="99"/>
        <v>0.3496734545863518</v>
      </c>
      <c r="K2120" s="1">
        <f t="shared" si="101"/>
        <v>1.821618434015057</v>
      </c>
    </row>
    <row r="2121" spans="4:11" ht="15.75" thickBot="1">
      <c r="D2121" s="107"/>
      <c r="E2121" s="88" t="s">
        <v>11</v>
      </c>
      <c r="F2121" s="88" t="s">
        <v>21</v>
      </c>
      <c r="G2121" s="84"/>
      <c r="H2121" s="84"/>
      <c r="I2121" s="1" t="str">
        <f t="shared" si="100"/>
        <v/>
      </c>
      <c r="J2121" s="1" t="str">
        <f t="shared" si="99"/>
        <v/>
      </c>
      <c r="K2121" s="1">
        <f t="shared" si="101"/>
        <v>0</v>
      </c>
    </row>
    <row r="2122" spans="4:11">
      <c r="D2122" s="108" t="s">
        <v>503</v>
      </c>
      <c r="E2122" s="86"/>
      <c r="F2122" s="86"/>
      <c r="G2122" s="84">
        <v>1</v>
      </c>
      <c r="H2122" s="84">
        <v>4</v>
      </c>
      <c r="I2122" s="1">
        <f t="shared" si="100"/>
        <v>-3</v>
      </c>
      <c r="J2122" s="1">
        <f t="shared" si="99"/>
        <v>-0.55881418218524459</v>
      </c>
      <c r="K2122" s="1">
        <f t="shared" si="101"/>
        <v>5.9593881970998961</v>
      </c>
    </row>
    <row r="2123" spans="4:11" ht="15.75" thickBot="1">
      <c r="D2123" s="109"/>
      <c r="E2123" s="89" t="s">
        <v>1</v>
      </c>
      <c r="F2123" s="89" t="s">
        <v>4</v>
      </c>
      <c r="G2123" s="84"/>
      <c r="H2123" s="84"/>
      <c r="I2123" s="1" t="str">
        <f t="shared" si="100"/>
        <v/>
      </c>
      <c r="J2123" s="1" t="str">
        <f t="shared" si="99"/>
        <v/>
      </c>
      <c r="K2123" s="1">
        <f t="shared" si="101"/>
        <v>0</v>
      </c>
    </row>
    <row r="2124" spans="4:11">
      <c r="D2124" s="106" t="s">
        <v>503</v>
      </c>
      <c r="E2124" s="87"/>
      <c r="F2124" s="87"/>
      <c r="G2124" s="84">
        <v>6</v>
      </c>
      <c r="H2124" s="84">
        <v>2</v>
      </c>
      <c r="I2124" s="1">
        <f t="shared" si="100"/>
        <v>4</v>
      </c>
      <c r="J2124" s="1">
        <f t="shared" si="99"/>
        <v>-0.46797435752120009</v>
      </c>
      <c r="K2124" s="1">
        <f t="shared" si="101"/>
        <v>19.962794859466982</v>
      </c>
    </row>
    <row r="2125" spans="4:11" ht="15.75" thickBot="1">
      <c r="D2125" s="107"/>
      <c r="E2125" s="88" t="s">
        <v>7</v>
      </c>
      <c r="F2125" s="88" t="s">
        <v>3</v>
      </c>
      <c r="G2125" s="84"/>
      <c r="H2125" s="84"/>
      <c r="I2125" s="1" t="str">
        <f t="shared" si="100"/>
        <v/>
      </c>
      <c r="J2125" s="1" t="str">
        <f t="shared" si="99"/>
        <v/>
      </c>
      <c r="K2125" s="1">
        <f t="shared" si="101"/>
        <v>0</v>
      </c>
    </row>
    <row r="2126" spans="4:11">
      <c r="D2126" s="108" t="s">
        <v>503</v>
      </c>
      <c r="E2126" s="86"/>
      <c r="F2126" s="86"/>
      <c r="G2126" s="84">
        <v>5</v>
      </c>
      <c r="H2126" s="84">
        <v>2</v>
      </c>
      <c r="I2126" s="1">
        <f t="shared" si="100"/>
        <v>3</v>
      </c>
      <c r="J2126" s="1">
        <f t="shared" si="99"/>
        <v>0.48865647742420038</v>
      </c>
      <c r="K2126" s="1">
        <f t="shared" si="101"/>
        <v>6.3068462883834258</v>
      </c>
    </row>
    <row r="2127" spans="4:11" ht="15.75" thickBot="1">
      <c r="D2127" s="109"/>
      <c r="E2127" s="89" t="s">
        <v>22</v>
      </c>
      <c r="F2127" s="89" t="s">
        <v>26</v>
      </c>
      <c r="G2127" s="84"/>
      <c r="H2127" s="84"/>
      <c r="I2127" s="1" t="str">
        <f t="shared" si="100"/>
        <v/>
      </c>
      <c r="J2127" s="1" t="str">
        <f t="shared" si="99"/>
        <v/>
      </c>
      <c r="K2127" s="1">
        <f t="shared" si="101"/>
        <v>0</v>
      </c>
    </row>
    <row r="2128" spans="4:11">
      <c r="D2128" s="106" t="s">
        <v>504</v>
      </c>
      <c r="E2128" s="87"/>
      <c r="F2128" s="87"/>
      <c r="G2128" s="84">
        <v>3</v>
      </c>
      <c r="H2128" s="84">
        <v>1</v>
      </c>
      <c r="I2128" s="1">
        <f t="shared" si="100"/>
        <v>2</v>
      </c>
      <c r="J2128" s="1">
        <f t="shared" si="99"/>
        <v>0.99680095406982616</v>
      </c>
      <c r="K2128" s="1">
        <f t="shared" si="101"/>
        <v>1.006408325755211</v>
      </c>
    </row>
    <row r="2129" spans="4:11" ht="15.75" thickBot="1">
      <c r="D2129" s="107"/>
      <c r="E2129" s="88" t="s">
        <v>9</v>
      </c>
      <c r="F2129" s="88" t="s">
        <v>8</v>
      </c>
      <c r="G2129" s="84"/>
      <c r="H2129" s="84"/>
      <c r="I2129" s="1" t="str">
        <f t="shared" si="100"/>
        <v/>
      </c>
      <c r="J2129" s="1" t="str">
        <f t="shared" si="99"/>
        <v/>
      </c>
      <c r="K2129" s="1">
        <f t="shared" si="101"/>
        <v>0</v>
      </c>
    </row>
    <row r="2130" spans="4:11">
      <c r="D2130" s="108" t="s">
        <v>504</v>
      </c>
      <c r="E2130" s="86"/>
      <c r="F2130" s="86"/>
      <c r="G2130" s="84">
        <v>1</v>
      </c>
      <c r="H2130" s="84">
        <v>3</v>
      </c>
      <c r="I2130" s="1">
        <f t="shared" si="100"/>
        <v>-2</v>
      </c>
      <c r="J2130" s="1">
        <f t="shared" si="99"/>
        <v>-0.4157761266975939</v>
      </c>
      <c r="K2130" s="1">
        <f t="shared" si="101"/>
        <v>2.509765280741278</v>
      </c>
    </row>
    <row r="2131" spans="4:11" ht="15.75" thickBot="1">
      <c r="D2131" s="109"/>
      <c r="E2131" s="89" t="s">
        <v>13</v>
      </c>
      <c r="F2131" s="89" t="s">
        <v>15</v>
      </c>
      <c r="G2131" s="84"/>
      <c r="H2131" s="84"/>
      <c r="I2131" s="1" t="str">
        <f t="shared" si="100"/>
        <v/>
      </c>
      <c r="J2131" s="1" t="str">
        <f t="shared" si="99"/>
        <v/>
      </c>
      <c r="K2131" s="1">
        <f t="shared" si="101"/>
        <v>0</v>
      </c>
    </row>
    <row r="2132" spans="4:11">
      <c r="D2132" s="106" t="s">
        <v>504</v>
      </c>
      <c r="E2132" s="87"/>
      <c r="F2132" s="87"/>
      <c r="G2132" s="84">
        <v>2</v>
      </c>
      <c r="H2132" s="84">
        <v>3</v>
      </c>
      <c r="I2132" s="1">
        <f t="shared" si="100"/>
        <v>-1</v>
      </c>
      <c r="J2132" s="1">
        <f t="shared" si="99"/>
        <v>0.48865647742420038</v>
      </c>
      <c r="K2132" s="1">
        <f t="shared" si="101"/>
        <v>2.2160981077770288</v>
      </c>
    </row>
    <row r="2133" spans="4:11" ht="15.75" thickBot="1">
      <c r="D2133" s="107"/>
      <c r="E2133" s="88" t="s">
        <v>22</v>
      </c>
      <c r="F2133" s="88" t="s">
        <v>10</v>
      </c>
      <c r="G2133" s="84"/>
      <c r="H2133" s="84"/>
      <c r="I2133" s="1" t="str">
        <f t="shared" si="100"/>
        <v/>
      </c>
      <c r="J2133" s="1" t="str">
        <f t="shared" si="99"/>
        <v/>
      </c>
      <c r="K2133" s="1">
        <f t="shared" si="101"/>
        <v>0</v>
      </c>
    </row>
    <row r="2134" spans="4:11">
      <c r="D2134" s="108" t="s">
        <v>505</v>
      </c>
      <c r="E2134" s="86"/>
      <c r="F2134" s="86"/>
      <c r="G2134" s="84">
        <v>3</v>
      </c>
      <c r="H2134" s="84">
        <v>6</v>
      </c>
      <c r="I2134" s="1">
        <f t="shared" si="100"/>
        <v>-3</v>
      </c>
      <c r="J2134" s="1">
        <f t="shared" si="99"/>
        <v>9.1771481426917489E-2</v>
      </c>
      <c r="K2134" s="1">
        <f t="shared" si="101"/>
        <v>9.5590508933647964</v>
      </c>
    </row>
    <row r="2135" spans="4:11" ht="15.75" thickBot="1">
      <c r="D2135" s="109"/>
      <c r="E2135" s="89" t="s">
        <v>17</v>
      </c>
      <c r="F2135" s="89" t="s">
        <v>23</v>
      </c>
      <c r="G2135" s="84"/>
      <c r="H2135" s="84"/>
      <c r="I2135" s="1" t="str">
        <f t="shared" si="100"/>
        <v/>
      </c>
      <c r="J2135" s="1" t="str">
        <f t="shared" si="99"/>
        <v/>
      </c>
      <c r="K2135" s="1">
        <f t="shared" si="101"/>
        <v>0</v>
      </c>
    </row>
    <row r="2136" spans="4:11">
      <c r="D2136" s="106" t="s">
        <v>505</v>
      </c>
      <c r="E2136" s="87"/>
      <c r="F2136" s="87"/>
      <c r="G2136" s="84">
        <v>3</v>
      </c>
      <c r="H2136" s="84">
        <v>2</v>
      </c>
      <c r="I2136" s="1">
        <f t="shared" si="100"/>
        <v>1</v>
      </c>
      <c r="J2136" s="1">
        <f t="shared" si="99"/>
        <v>-0.57950730545616125</v>
      </c>
      <c r="K2136" s="1">
        <f t="shared" si="101"/>
        <v>2.4948433279893831</v>
      </c>
    </row>
    <row r="2137" spans="4:11" ht="15.75" thickBot="1">
      <c r="D2137" s="107"/>
      <c r="E2137" s="88" t="s">
        <v>7</v>
      </c>
      <c r="F2137" s="88" t="s">
        <v>4</v>
      </c>
      <c r="G2137" s="84"/>
      <c r="H2137" s="84"/>
      <c r="I2137" s="1" t="str">
        <f t="shared" si="100"/>
        <v/>
      </c>
      <c r="J2137" s="1" t="str">
        <f t="shared" si="99"/>
        <v/>
      </c>
      <c r="K2137" s="1">
        <f t="shared" si="101"/>
        <v>0</v>
      </c>
    </row>
    <row r="2138" spans="4:11">
      <c r="D2138" s="108" t="s">
        <v>505</v>
      </c>
      <c r="E2138" s="86"/>
      <c r="F2138" s="86"/>
      <c r="G2138" s="84">
        <v>4</v>
      </c>
      <c r="H2138" s="84">
        <v>1</v>
      </c>
      <c r="I2138" s="1">
        <f t="shared" si="100"/>
        <v>3</v>
      </c>
      <c r="J2138" s="1">
        <f t="shared" si="99"/>
        <v>7.5699655236775243E-2</v>
      </c>
      <c r="K2138" s="1">
        <f t="shared" si="101"/>
        <v>8.5515325063823155</v>
      </c>
    </row>
    <row r="2139" spans="4:11" ht="15.75" thickBot="1">
      <c r="D2139" s="109"/>
      <c r="E2139" s="89" t="s">
        <v>3</v>
      </c>
      <c r="F2139" s="89" t="s">
        <v>6</v>
      </c>
      <c r="G2139" s="84"/>
      <c r="H2139" s="84"/>
      <c r="I2139" s="1" t="str">
        <f t="shared" si="100"/>
        <v/>
      </c>
      <c r="J2139" s="1" t="str">
        <f t="shared" si="99"/>
        <v/>
      </c>
      <c r="K2139" s="1">
        <f t="shared" si="101"/>
        <v>0</v>
      </c>
    </row>
    <row r="2140" spans="4:11">
      <c r="D2140" s="106" t="s">
        <v>505</v>
      </c>
      <c r="E2140" s="87"/>
      <c r="F2140" s="87"/>
      <c r="G2140" s="84">
        <v>0</v>
      </c>
      <c r="H2140" s="84">
        <v>2</v>
      </c>
      <c r="I2140" s="1">
        <f t="shared" si="100"/>
        <v>-2</v>
      </c>
      <c r="J2140" s="1">
        <f t="shared" si="99"/>
        <v>-0.38079464961101905</v>
      </c>
      <c r="K2140" s="1">
        <f t="shared" si="101"/>
        <v>2.6218259667283026</v>
      </c>
    </row>
    <row r="2141" spans="4:11" ht="15.75" thickBot="1">
      <c r="D2141" s="107"/>
      <c r="E2141" s="88" t="s">
        <v>5</v>
      </c>
      <c r="F2141" s="88" t="s">
        <v>443</v>
      </c>
      <c r="G2141" s="84"/>
      <c r="H2141" s="84"/>
      <c r="I2141" s="1" t="str">
        <f t="shared" si="100"/>
        <v/>
      </c>
      <c r="J2141" s="1" t="str">
        <f t="shared" si="99"/>
        <v/>
      </c>
      <c r="K2141" s="1">
        <f t="shared" si="101"/>
        <v>0</v>
      </c>
    </row>
    <row r="2142" spans="4:11">
      <c r="D2142" s="108" t="s">
        <v>505</v>
      </c>
      <c r="E2142" s="86"/>
      <c r="F2142" s="86"/>
      <c r="G2142" s="84">
        <v>3</v>
      </c>
      <c r="H2142" s="84">
        <v>5</v>
      </c>
      <c r="I2142" s="1">
        <f t="shared" si="100"/>
        <v>-2</v>
      </c>
      <c r="J2142" s="1">
        <f t="shared" si="99"/>
        <v>-0.70782460310684314</v>
      </c>
      <c r="K2142" s="1">
        <f t="shared" si="101"/>
        <v>1.6697172563359874</v>
      </c>
    </row>
    <row r="2143" spans="4:11" ht="15.75" thickBot="1">
      <c r="D2143" s="109"/>
      <c r="E2143" s="89" t="s">
        <v>0</v>
      </c>
      <c r="F2143" s="89" t="s">
        <v>18</v>
      </c>
      <c r="G2143" s="84"/>
      <c r="H2143" s="84"/>
      <c r="I2143" s="1" t="str">
        <f t="shared" si="100"/>
        <v/>
      </c>
      <c r="J2143" s="1" t="str">
        <f t="shared" si="99"/>
        <v/>
      </c>
      <c r="K2143" s="1">
        <f t="shared" si="101"/>
        <v>0</v>
      </c>
    </row>
    <row r="2144" spans="4:11">
      <c r="D2144" s="106" t="s">
        <v>505</v>
      </c>
      <c r="E2144" s="87"/>
      <c r="F2144" s="87"/>
      <c r="G2144" s="84">
        <v>1</v>
      </c>
      <c r="H2144" s="84">
        <v>2</v>
      </c>
      <c r="I2144" s="1">
        <f t="shared" si="100"/>
        <v>-1</v>
      </c>
      <c r="J2144" s="1">
        <f t="shared" si="99"/>
        <v>0.3228931267499604</v>
      </c>
      <c r="K2144" s="1">
        <f t="shared" si="101"/>
        <v>1.7500462248022868</v>
      </c>
    </row>
    <row r="2145" spans="4:11" ht="15.75" thickBot="1">
      <c r="D2145" s="107"/>
      <c r="E2145" s="88" t="s">
        <v>2</v>
      </c>
      <c r="F2145" s="88" t="s">
        <v>14</v>
      </c>
      <c r="G2145" s="84"/>
      <c r="H2145" s="84"/>
      <c r="I2145" s="1" t="str">
        <f t="shared" si="100"/>
        <v/>
      </c>
      <c r="J2145" s="1" t="str">
        <f t="shared" si="99"/>
        <v/>
      </c>
      <c r="K2145" s="1">
        <f t="shared" si="101"/>
        <v>0</v>
      </c>
    </row>
    <row r="2146" spans="4:11">
      <c r="D2146" s="108" t="s">
        <v>505</v>
      </c>
      <c r="E2146" s="86"/>
      <c r="F2146" s="86"/>
      <c r="G2146" s="84">
        <v>3</v>
      </c>
      <c r="H2146" s="84">
        <v>0</v>
      </c>
      <c r="I2146" s="1">
        <f t="shared" si="100"/>
        <v>3</v>
      </c>
      <c r="J2146" s="1">
        <f t="shared" si="99"/>
        <v>-4.1493510499662989E-2</v>
      </c>
      <c r="K2146" s="1">
        <f t="shared" si="101"/>
        <v>9.2506827744115636</v>
      </c>
    </row>
    <row r="2147" spans="4:11" ht="15.75" thickBot="1">
      <c r="D2147" s="109"/>
      <c r="E2147" s="89" t="s">
        <v>27</v>
      </c>
      <c r="F2147" s="89" t="s">
        <v>9</v>
      </c>
      <c r="G2147" s="84"/>
      <c r="H2147" s="84"/>
      <c r="I2147" s="1" t="str">
        <f t="shared" si="100"/>
        <v/>
      </c>
      <c r="J2147" s="1" t="str">
        <f t="shared" si="99"/>
        <v/>
      </c>
      <c r="K2147" s="1">
        <f t="shared" si="101"/>
        <v>0</v>
      </c>
    </row>
    <row r="2148" spans="4:11">
      <c r="D2148" s="106" t="s">
        <v>505</v>
      </c>
      <c r="E2148" s="87"/>
      <c r="F2148" s="87"/>
      <c r="G2148" s="84">
        <v>3</v>
      </c>
      <c r="H2148" s="84">
        <v>2</v>
      </c>
      <c r="I2148" s="1">
        <f t="shared" si="100"/>
        <v>1</v>
      </c>
      <c r="J2148" s="1">
        <f t="shared" si="99"/>
        <v>0.90759281447076035</v>
      </c>
      <c r="K2148" s="1">
        <f t="shared" si="101"/>
        <v>8.5390879374353194E-3</v>
      </c>
    </row>
    <row r="2149" spans="4:11" ht="15.75" thickBot="1">
      <c r="D2149" s="107"/>
      <c r="E2149" s="88" t="s">
        <v>16</v>
      </c>
      <c r="F2149" s="88" t="s">
        <v>28</v>
      </c>
      <c r="G2149" s="84"/>
      <c r="H2149" s="84"/>
      <c r="I2149" s="1" t="str">
        <f t="shared" si="100"/>
        <v/>
      </c>
      <c r="J2149" s="1" t="str">
        <f t="shared" si="99"/>
        <v/>
      </c>
      <c r="K2149" s="1">
        <f t="shared" si="101"/>
        <v>0</v>
      </c>
    </row>
    <row r="2150" spans="4:11">
      <c r="D2150" s="108" t="s">
        <v>505</v>
      </c>
      <c r="E2150" s="86"/>
      <c r="F2150" s="86"/>
      <c r="G2150" s="84">
        <v>0</v>
      </c>
      <c r="H2150" s="84">
        <v>3</v>
      </c>
      <c r="I2150" s="1">
        <f t="shared" si="100"/>
        <v>-3</v>
      </c>
      <c r="J2150" s="1">
        <f t="shared" si="99"/>
        <v>0.23641264962093089</v>
      </c>
      <c r="K2150" s="1">
        <f t="shared" si="101"/>
        <v>10.474366838626374</v>
      </c>
    </row>
    <row r="2151" spans="4:11" ht="15.75" thickBot="1">
      <c r="D2151" s="109"/>
      <c r="E2151" s="89" t="s">
        <v>12</v>
      </c>
      <c r="F2151" s="89" t="s">
        <v>25</v>
      </c>
      <c r="G2151" s="84"/>
      <c r="H2151" s="84"/>
      <c r="I2151" s="1" t="str">
        <f t="shared" si="100"/>
        <v/>
      </c>
      <c r="J2151" s="1" t="str">
        <f t="shared" si="99"/>
        <v/>
      </c>
      <c r="K2151" s="1">
        <f t="shared" si="101"/>
        <v>0</v>
      </c>
    </row>
    <row r="2152" spans="4:11">
      <c r="D2152" s="106" t="s">
        <v>505</v>
      </c>
      <c r="E2152" s="87"/>
      <c r="F2152" s="87"/>
      <c r="G2152" s="84">
        <v>0</v>
      </c>
      <c r="H2152" s="84">
        <v>3</v>
      </c>
      <c r="I2152" s="1">
        <f t="shared" si="100"/>
        <v>-3</v>
      </c>
      <c r="J2152" s="1">
        <f t="shared" si="99"/>
        <v>-1.7603478643439558</v>
      </c>
      <c r="K2152" s="1">
        <f t="shared" si="101"/>
        <v>1.5367374174365913</v>
      </c>
    </row>
    <row r="2153" spans="4:11" ht="15.75" thickBot="1">
      <c r="D2153" s="107"/>
      <c r="E2153" s="88" t="s">
        <v>8</v>
      </c>
      <c r="F2153" s="88" t="s">
        <v>19</v>
      </c>
      <c r="G2153" s="84"/>
      <c r="H2153" s="84"/>
      <c r="I2153" s="1" t="str">
        <f t="shared" si="100"/>
        <v/>
      </c>
      <c r="J2153" s="1" t="str">
        <f t="shared" si="99"/>
        <v/>
      </c>
      <c r="K2153" s="1">
        <f t="shared" si="101"/>
        <v>0</v>
      </c>
    </row>
    <row r="2154" spans="4:11">
      <c r="D2154" s="108" t="s">
        <v>505</v>
      </c>
      <c r="E2154" s="86"/>
      <c r="F2154" s="86"/>
      <c r="G2154" s="84">
        <v>0</v>
      </c>
      <c r="H2154" s="84">
        <v>4</v>
      </c>
      <c r="I2154" s="1">
        <f t="shared" si="100"/>
        <v>-4</v>
      </c>
      <c r="J2154" s="1">
        <f t="shared" si="99"/>
        <v>0.6204359672454558</v>
      </c>
      <c r="K2154" s="1">
        <f t="shared" si="101"/>
        <v>21.34842852741545</v>
      </c>
    </row>
    <row r="2155" spans="4:11" ht="15.75" thickBot="1">
      <c r="D2155" s="109"/>
      <c r="E2155" s="89" t="s">
        <v>20</v>
      </c>
      <c r="F2155" s="89" t="s">
        <v>21</v>
      </c>
      <c r="G2155" s="84"/>
      <c r="H2155" s="84"/>
      <c r="I2155" s="1" t="str">
        <f t="shared" si="100"/>
        <v/>
      </c>
      <c r="J2155" s="1" t="str">
        <f t="shared" si="99"/>
        <v/>
      </c>
      <c r="K2155" s="1">
        <f t="shared" si="101"/>
        <v>0</v>
      </c>
    </row>
    <row r="2156" spans="4:11">
      <c r="D2156" s="106" t="s">
        <v>505</v>
      </c>
      <c r="E2156" s="87"/>
      <c r="F2156" s="87"/>
      <c r="G2156" s="84">
        <v>3</v>
      </c>
      <c r="H2156" s="84">
        <v>1</v>
      </c>
      <c r="I2156" s="1">
        <f t="shared" si="100"/>
        <v>2</v>
      </c>
      <c r="J2156" s="1">
        <f t="shared" si="99"/>
        <v>0.79914836333078654</v>
      </c>
      <c r="K2156" s="1">
        <f t="shared" si="101"/>
        <v>1.4420446532911286</v>
      </c>
    </row>
    <row r="2157" spans="4:11" ht="15.75" thickBot="1">
      <c r="D2157" s="107"/>
      <c r="E2157" s="88" t="s">
        <v>11</v>
      </c>
      <c r="F2157" s="88" t="s">
        <v>26</v>
      </c>
      <c r="G2157" s="84"/>
      <c r="H2157" s="84"/>
      <c r="I2157" s="1" t="str">
        <f t="shared" si="100"/>
        <v/>
      </c>
      <c r="J2157" s="1" t="str">
        <f t="shared" si="99"/>
        <v/>
      </c>
      <c r="K2157" s="1">
        <f t="shared" si="101"/>
        <v>0</v>
      </c>
    </row>
    <row r="2158" spans="4:11">
      <c r="D2158" s="108" t="s">
        <v>505</v>
      </c>
      <c r="E2158" s="86"/>
      <c r="F2158" s="86"/>
      <c r="G2158" s="84">
        <v>4</v>
      </c>
      <c r="H2158" s="84">
        <v>5</v>
      </c>
      <c r="I2158" s="1">
        <f t="shared" si="100"/>
        <v>-1</v>
      </c>
      <c r="J2158" s="1">
        <f t="shared" si="99"/>
        <v>0.61041727557017111</v>
      </c>
      <c r="K2158" s="1">
        <f t="shared" si="101"/>
        <v>2.5934438014548524</v>
      </c>
    </row>
    <row r="2159" spans="4:11" ht="15.75" thickBot="1">
      <c r="D2159" s="109"/>
      <c r="E2159" s="89" t="s">
        <v>1</v>
      </c>
      <c r="F2159" s="89" t="s">
        <v>24</v>
      </c>
      <c r="G2159" s="84"/>
      <c r="H2159" s="84"/>
      <c r="I2159" s="1" t="str">
        <f t="shared" si="100"/>
        <v/>
      </c>
      <c r="J2159" s="1" t="str">
        <f t="shared" si="99"/>
        <v/>
      </c>
      <c r="K2159" s="1">
        <f t="shared" si="101"/>
        <v>0</v>
      </c>
    </row>
    <row r="2160" spans="4:11">
      <c r="D2160" s="106" t="s">
        <v>506</v>
      </c>
      <c r="E2160" s="87"/>
      <c r="F2160" s="87"/>
      <c r="G2160" s="84">
        <v>1</v>
      </c>
      <c r="H2160" s="84">
        <v>2</v>
      </c>
      <c r="I2160" s="1">
        <f t="shared" si="100"/>
        <v>-1</v>
      </c>
      <c r="J2160" s="1">
        <f t="shared" si="99"/>
        <v>0.38748340634651868</v>
      </c>
      <c r="K2160" s="1">
        <f t="shared" si="101"/>
        <v>1.9251102028869387</v>
      </c>
    </row>
    <row r="2161" spans="4:11" ht="15.75" thickBot="1">
      <c r="D2161" s="107"/>
      <c r="E2161" s="88" t="s">
        <v>17</v>
      </c>
      <c r="F2161" s="88" t="s">
        <v>13</v>
      </c>
      <c r="G2161" s="84"/>
      <c r="H2161" s="84"/>
      <c r="I2161" s="1" t="str">
        <f t="shared" si="100"/>
        <v/>
      </c>
      <c r="J2161" s="1" t="str">
        <f t="shared" si="99"/>
        <v/>
      </c>
      <c r="K2161" s="1">
        <f t="shared" si="101"/>
        <v>0</v>
      </c>
    </row>
    <row r="2162" spans="4:11">
      <c r="D2162" s="108" t="s">
        <v>506</v>
      </c>
      <c r="E2162" s="86"/>
      <c r="F2162" s="86"/>
      <c r="G2162" s="84">
        <v>3</v>
      </c>
      <c r="H2162" s="84">
        <v>5</v>
      </c>
      <c r="I2162" s="1">
        <f t="shared" si="100"/>
        <v>-2</v>
      </c>
      <c r="J2162" s="1">
        <f t="shared" si="99"/>
        <v>-0.47975723007334636</v>
      </c>
      <c r="K2162" s="1">
        <f t="shared" si="101"/>
        <v>2.3111380795142642</v>
      </c>
    </row>
    <row r="2163" spans="4:11" ht="15.75" thickBot="1">
      <c r="D2163" s="109"/>
      <c r="E2163" s="89" t="s">
        <v>2</v>
      </c>
      <c r="F2163" s="89" t="s">
        <v>15</v>
      </c>
      <c r="G2163" s="84"/>
      <c r="H2163" s="84"/>
      <c r="I2163" s="1" t="str">
        <f t="shared" si="100"/>
        <v/>
      </c>
      <c r="J2163" s="1" t="str">
        <f t="shared" si="99"/>
        <v/>
      </c>
      <c r="K2163" s="1">
        <f t="shared" si="101"/>
        <v>0</v>
      </c>
    </row>
    <row r="2164" spans="4:11">
      <c r="D2164" s="106" t="s">
        <v>506</v>
      </c>
      <c r="E2164" s="87"/>
      <c r="F2164" s="87"/>
      <c r="G2164" s="84">
        <v>2</v>
      </c>
      <c r="H2164" s="84">
        <v>7</v>
      </c>
      <c r="I2164" s="1">
        <f t="shared" si="100"/>
        <v>-5</v>
      </c>
      <c r="J2164" s="1">
        <f t="shared" si="99"/>
        <v>-1.0629365846646408</v>
      </c>
      <c r="K2164" s="1">
        <f t="shared" si="101"/>
        <v>15.500468336372123</v>
      </c>
    </row>
    <row r="2165" spans="4:11" ht="15.75" thickBot="1">
      <c r="D2165" s="107"/>
      <c r="E2165" s="88" t="s">
        <v>10</v>
      </c>
      <c r="F2165" s="88" t="s">
        <v>16</v>
      </c>
      <c r="G2165" s="84"/>
      <c r="H2165" s="84"/>
      <c r="I2165" s="1" t="str">
        <f t="shared" si="100"/>
        <v/>
      </c>
      <c r="J2165" s="1" t="str">
        <f t="shared" si="99"/>
        <v/>
      </c>
      <c r="K2165" s="1">
        <f t="shared" si="101"/>
        <v>0</v>
      </c>
    </row>
    <row r="2166" spans="4:11">
      <c r="D2166" s="108" t="s">
        <v>506</v>
      </c>
      <c r="E2166" s="86"/>
      <c r="F2166" s="86"/>
      <c r="G2166" s="84">
        <v>3</v>
      </c>
      <c r="H2166" s="84">
        <v>1</v>
      </c>
      <c r="I2166" s="1">
        <f t="shared" si="100"/>
        <v>2</v>
      </c>
      <c r="J2166" s="1">
        <f t="shared" si="99"/>
        <v>0.69829596555400997</v>
      </c>
      <c r="K2166" s="1">
        <f t="shared" si="101"/>
        <v>1.6944333932929672</v>
      </c>
    </row>
    <row r="2167" spans="4:11" ht="15.75" thickBot="1">
      <c r="D2167" s="109"/>
      <c r="E2167" s="89" t="s">
        <v>3</v>
      </c>
      <c r="F2167" s="89" t="s">
        <v>26</v>
      </c>
      <c r="G2167" s="84"/>
      <c r="H2167" s="84"/>
      <c r="I2167" s="1" t="str">
        <f t="shared" si="100"/>
        <v/>
      </c>
      <c r="J2167" s="1" t="str">
        <f t="shared" si="99"/>
        <v/>
      </c>
      <c r="K2167" s="1">
        <f t="shared" si="101"/>
        <v>0</v>
      </c>
    </row>
    <row r="2168" spans="4:11">
      <c r="D2168" s="106" t="s">
        <v>507</v>
      </c>
      <c r="E2168" s="87"/>
      <c r="F2168" s="87"/>
      <c r="G2168" s="84">
        <v>3</v>
      </c>
      <c r="H2168" s="84">
        <v>1</v>
      </c>
      <c r="I2168" s="1">
        <f t="shared" si="100"/>
        <v>2</v>
      </c>
      <c r="J2168" s="1">
        <f t="shared" si="99"/>
        <v>0.45153225064285607</v>
      </c>
      <c r="K2168" s="1">
        <f t="shared" si="101"/>
        <v>2.3977523707991786</v>
      </c>
    </row>
    <row r="2169" spans="4:11" ht="15.75" thickBot="1">
      <c r="D2169" s="107"/>
      <c r="E2169" s="88" t="s">
        <v>6</v>
      </c>
      <c r="F2169" s="88" t="s">
        <v>9</v>
      </c>
      <c r="G2169" s="84"/>
      <c r="H2169" s="84"/>
      <c r="I2169" s="1" t="str">
        <f t="shared" si="100"/>
        <v/>
      </c>
      <c r="J2169" s="1" t="str">
        <f t="shared" si="99"/>
        <v/>
      </c>
      <c r="K2169" s="1">
        <f t="shared" si="101"/>
        <v>0</v>
      </c>
    </row>
    <row r="2170" spans="4:11">
      <c r="D2170" s="108" t="s">
        <v>507</v>
      </c>
      <c r="E2170" s="86"/>
      <c r="F2170" s="86"/>
      <c r="G2170" s="84">
        <v>3</v>
      </c>
      <c r="H2170" s="84">
        <v>1</v>
      </c>
      <c r="I2170" s="1">
        <f t="shared" si="100"/>
        <v>2</v>
      </c>
      <c r="J2170" s="1">
        <f t="shared" si="99"/>
        <v>0.91456710579601008</v>
      </c>
      <c r="K2170" s="1">
        <f t="shared" si="101"/>
        <v>1.1781645678200501</v>
      </c>
    </row>
    <row r="2171" spans="4:11" ht="15.75" thickBot="1">
      <c r="D2171" s="109"/>
      <c r="E2171" s="89" t="s">
        <v>20</v>
      </c>
      <c r="F2171" s="89" t="s">
        <v>28</v>
      </c>
      <c r="G2171" s="84"/>
      <c r="H2171" s="84"/>
      <c r="I2171" s="1" t="str">
        <f t="shared" si="100"/>
        <v/>
      </c>
      <c r="J2171" s="1" t="str">
        <f t="shared" si="99"/>
        <v/>
      </c>
      <c r="K2171" s="1">
        <f t="shared" si="101"/>
        <v>0</v>
      </c>
    </row>
    <row r="2172" spans="4:11">
      <c r="D2172" s="106" t="s">
        <v>507</v>
      </c>
      <c r="E2172" s="87"/>
      <c r="F2172" s="87"/>
      <c r="G2172" s="84">
        <v>2</v>
      </c>
      <c r="H2172" s="84">
        <v>1</v>
      </c>
      <c r="I2172" s="1">
        <f t="shared" si="100"/>
        <v>1</v>
      </c>
      <c r="J2172" s="1">
        <f t="shared" si="99"/>
        <v>0.97157304494095342</v>
      </c>
      <c r="K2172" s="1">
        <f t="shared" si="101"/>
        <v>8.080917739290538E-4</v>
      </c>
    </row>
    <row r="2173" spans="4:11" ht="15.75" thickBot="1">
      <c r="D2173" s="107"/>
      <c r="E2173" s="88" t="s">
        <v>23</v>
      </c>
      <c r="F2173" s="88" t="s">
        <v>0</v>
      </c>
      <c r="G2173" s="84"/>
      <c r="H2173" s="84"/>
      <c r="I2173" s="1" t="str">
        <f t="shared" si="100"/>
        <v/>
      </c>
      <c r="J2173" s="1" t="str">
        <f t="shared" si="99"/>
        <v/>
      </c>
      <c r="K2173" s="1">
        <f t="shared" si="101"/>
        <v>0</v>
      </c>
    </row>
    <row r="2174" spans="4:11">
      <c r="D2174" s="108" t="s">
        <v>507</v>
      </c>
      <c r="E2174" s="86"/>
      <c r="F2174" s="86"/>
      <c r="G2174" s="84">
        <v>2</v>
      </c>
      <c r="H2174" s="84">
        <v>5</v>
      </c>
      <c r="I2174" s="1">
        <f t="shared" si="100"/>
        <v>-3</v>
      </c>
      <c r="J2174" s="1">
        <f t="shared" si="99"/>
        <v>-0.19332565061613138</v>
      </c>
      <c r="K2174" s="1">
        <f t="shared" si="101"/>
        <v>7.8774209034893623</v>
      </c>
    </row>
    <row r="2175" spans="4:11" ht="15.75" thickBot="1">
      <c r="D2175" s="109"/>
      <c r="E2175" s="89" t="s">
        <v>5</v>
      </c>
      <c r="F2175" s="89" t="s">
        <v>18</v>
      </c>
      <c r="G2175" s="84"/>
      <c r="H2175" s="84"/>
      <c r="I2175" s="1" t="str">
        <f t="shared" si="100"/>
        <v/>
      </c>
      <c r="J2175" s="1" t="str">
        <f t="shared" si="99"/>
        <v/>
      </c>
      <c r="K2175" s="1">
        <f t="shared" si="101"/>
        <v>0</v>
      </c>
    </row>
    <row r="2176" spans="4:11">
      <c r="D2176" s="106" t="s">
        <v>507</v>
      </c>
      <c r="E2176" s="87"/>
      <c r="F2176" s="87"/>
      <c r="G2176" s="84">
        <v>3</v>
      </c>
      <c r="H2176" s="84">
        <v>4</v>
      </c>
      <c r="I2176" s="1">
        <f t="shared" si="100"/>
        <v>-1</v>
      </c>
      <c r="J2176" s="1">
        <f t="shared" si="99"/>
        <v>-1.2752118031398822</v>
      </c>
      <c r="K2176" s="1">
        <f t="shared" si="101"/>
        <v>7.5741536587505306E-2</v>
      </c>
    </row>
    <row r="2177" spans="4:11" ht="15.75" thickBot="1">
      <c r="D2177" s="107"/>
      <c r="E2177" s="88" t="s">
        <v>8</v>
      </c>
      <c r="F2177" s="88" t="s">
        <v>21</v>
      </c>
      <c r="G2177" s="84"/>
      <c r="H2177" s="84"/>
      <c r="I2177" s="1" t="str">
        <f t="shared" si="100"/>
        <v/>
      </c>
      <c r="J2177" s="1" t="str">
        <f t="shared" ref="J2177:J2240" si="102">IF(F2178="","",VLOOKUP(F2178,$A$2:$B$31,2)+$B$33-VLOOKUP(E2178,$A$2:$B$31,2))</f>
        <v/>
      </c>
      <c r="K2177" s="1">
        <f t="shared" si="101"/>
        <v>0</v>
      </c>
    </row>
    <row r="2178" spans="4:11">
      <c r="D2178" s="108" t="s">
        <v>507</v>
      </c>
      <c r="E2178" s="86"/>
      <c r="F2178" s="86"/>
      <c r="G2178" s="84">
        <v>2</v>
      </c>
      <c r="H2178" s="84">
        <v>3</v>
      </c>
      <c r="I2178" s="1">
        <f t="shared" ref="I2178:I2241" si="103">IF(G2178="","",G2178-H2178)</f>
        <v>-1</v>
      </c>
      <c r="J2178" s="1">
        <f t="shared" si="102"/>
        <v>-0.32117243606477075</v>
      </c>
      <c r="K2178" s="1">
        <f t="shared" si="101"/>
        <v>0.46080686155823775</v>
      </c>
    </row>
    <row r="2179" spans="4:11" ht="15.75" thickBot="1">
      <c r="D2179" s="109"/>
      <c r="E2179" s="89" t="s">
        <v>22</v>
      </c>
      <c r="F2179" s="89" t="s">
        <v>4</v>
      </c>
      <c r="G2179" s="84"/>
      <c r="H2179" s="84"/>
      <c r="I2179" s="1" t="str">
        <f t="shared" si="103"/>
        <v/>
      </c>
      <c r="J2179" s="1" t="str">
        <f t="shared" si="102"/>
        <v/>
      </c>
      <c r="K2179" s="1">
        <f t="shared" si="101"/>
        <v>0</v>
      </c>
    </row>
    <row r="2180" spans="4:11">
      <c r="D2180" s="106" t="s">
        <v>507</v>
      </c>
      <c r="E2180" s="87"/>
      <c r="F2180" s="87"/>
      <c r="G2180" s="84">
        <v>4</v>
      </c>
      <c r="H2180" s="84">
        <v>1</v>
      </c>
      <c r="I2180" s="1">
        <f t="shared" si="103"/>
        <v>3</v>
      </c>
      <c r="J2180" s="1">
        <f t="shared" si="102"/>
        <v>1.0847882369687767</v>
      </c>
      <c r="K2180" s="1">
        <f t="shared" ref="K2180:K2243" si="104">IF(J2180="",0,(I2180-J2180)^2)</f>
        <v>3.6680360972531667</v>
      </c>
    </row>
    <row r="2181" spans="4:11" ht="15.75" thickBot="1">
      <c r="D2181" s="107"/>
      <c r="E2181" s="88" t="s">
        <v>25</v>
      </c>
      <c r="F2181" s="88" t="s">
        <v>24</v>
      </c>
      <c r="G2181" s="84"/>
      <c r="H2181" s="84"/>
      <c r="I2181" s="1" t="str">
        <f t="shared" si="103"/>
        <v/>
      </c>
      <c r="J2181" s="1" t="str">
        <f t="shared" si="102"/>
        <v/>
      </c>
      <c r="K2181" s="1">
        <f t="shared" si="104"/>
        <v>0</v>
      </c>
    </row>
    <row r="2182" spans="4:11">
      <c r="D2182" s="108" t="s">
        <v>508</v>
      </c>
      <c r="E2182" s="86"/>
      <c r="F2182" s="86"/>
      <c r="G2182" s="84">
        <v>2</v>
      </c>
      <c r="H2182" s="84">
        <v>1</v>
      </c>
      <c r="I2182" s="1">
        <f t="shared" si="103"/>
        <v>1</v>
      </c>
      <c r="J2182" s="1">
        <f t="shared" si="102"/>
        <v>0.81439831902984849</v>
      </c>
      <c r="K2182" s="1">
        <f t="shared" si="104"/>
        <v>3.4447983978945898E-2</v>
      </c>
    </row>
    <row r="2183" spans="4:11" ht="15.75" thickBot="1">
      <c r="D2183" s="109"/>
      <c r="E2183" s="89" t="s">
        <v>23</v>
      </c>
      <c r="F2183" s="89" t="s">
        <v>27</v>
      </c>
      <c r="G2183" s="84"/>
      <c r="H2183" s="84"/>
      <c r="I2183" s="1" t="str">
        <f t="shared" si="103"/>
        <v/>
      </c>
      <c r="J2183" s="1" t="str">
        <f t="shared" si="102"/>
        <v/>
      </c>
      <c r="K2183" s="1">
        <f t="shared" si="104"/>
        <v>0</v>
      </c>
    </row>
    <row r="2184" spans="4:11">
      <c r="D2184" s="106" t="s">
        <v>508</v>
      </c>
      <c r="E2184" s="87"/>
      <c r="F2184" s="87"/>
      <c r="G2184" s="84">
        <v>4</v>
      </c>
      <c r="H2184" s="84">
        <v>2</v>
      </c>
      <c r="I2184" s="1">
        <f t="shared" si="103"/>
        <v>2</v>
      </c>
      <c r="J2184" s="1">
        <f t="shared" si="102"/>
        <v>-0.44034027434740608</v>
      </c>
      <c r="K2184" s="1">
        <f t="shared" si="104"/>
        <v>5.9552606546019735</v>
      </c>
    </row>
    <row r="2185" spans="4:11" ht="15.75" thickBot="1">
      <c r="D2185" s="107"/>
      <c r="E2185" s="88" t="s">
        <v>6</v>
      </c>
      <c r="F2185" s="88" t="s">
        <v>16</v>
      </c>
      <c r="G2185" s="84"/>
      <c r="H2185" s="84"/>
      <c r="I2185" s="1" t="str">
        <f t="shared" si="103"/>
        <v/>
      </c>
      <c r="J2185" s="1" t="str">
        <f t="shared" si="102"/>
        <v/>
      </c>
      <c r="K2185" s="1">
        <f t="shared" si="104"/>
        <v>0</v>
      </c>
    </row>
    <row r="2186" spans="4:11">
      <c r="D2186" s="108" t="s">
        <v>508</v>
      </c>
      <c r="E2186" s="86"/>
      <c r="F2186" s="86"/>
      <c r="G2186" s="84">
        <v>3</v>
      </c>
      <c r="H2186" s="84">
        <v>2</v>
      </c>
      <c r="I2186" s="1">
        <f t="shared" si="103"/>
        <v>1</v>
      </c>
      <c r="J2186" s="1">
        <f t="shared" si="102"/>
        <v>0.23659198630069511</v>
      </c>
      <c r="K2186" s="1">
        <f t="shared" si="104"/>
        <v>0.58279179538031811</v>
      </c>
    </row>
    <row r="2187" spans="4:11" ht="15.75" thickBot="1">
      <c r="D2187" s="109"/>
      <c r="E2187" s="89" t="s">
        <v>17</v>
      </c>
      <c r="F2187" s="89" t="s">
        <v>11</v>
      </c>
      <c r="G2187" s="84"/>
      <c r="H2187" s="84"/>
      <c r="I2187" s="1" t="str">
        <f t="shared" si="103"/>
        <v/>
      </c>
      <c r="J2187" s="1" t="str">
        <f t="shared" si="102"/>
        <v/>
      </c>
      <c r="K2187" s="1">
        <f t="shared" si="104"/>
        <v>0</v>
      </c>
    </row>
    <row r="2188" spans="4:11">
      <c r="D2188" s="106" t="s">
        <v>508</v>
      </c>
      <c r="E2188" s="87"/>
      <c r="F2188" s="87"/>
      <c r="G2188" s="84">
        <v>3</v>
      </c>
      <c r="H2188" s="84">
        <v>5</v>
      </c>
      <c r="I2188" s="1">
        <f t="shared" si="103"/>
        <v>-2</v>
      </c>
      <c r="J2188" s="1">
        <f t="shared" si="102"/>
        <v>-0.23032160803280988</v>
      </c>
      <c r="K2188" s="1">
        <f t="shared" si="104"/>
        <v>3.1317616109955799</v>
      </c>
    </row>
    <row r="2189" spans="4:11" ht="15.75" thickBot="1">
      <c r="D2189" s="107"/>
      <c r="E2189" s="88" t="s">
        <v>10</v>
      </c>
      <c r="F2189" s="88" t="s">
        <v>7</v>
      </c>
      <c r="G2189" s="84"/>
      <c r="H2189" s="84"/>
      <c r="I2189" s="1" t="str">
        <f t="shared" si="103"/>
        <v/>
      </c>
      <c r="J2189" s="1" t="str">
        <f t="shared" si="102"/>
        <v/>
      </c>
      <c r="K2189" s="1">
        <f t="shared" si="104"/>
        <v>0</v>
      </c>
    </row>
    <row r="2190" spans="4:11">
      <c r="D2190" s="108" t="s">
        <v>508</v>
      </c>
      <c r="E2190" s="86"/>
      <c r="F2190" s="86"/>
      <c r="G2190" s="84">
        <v>5</v>
      </c>
      <c r="H2190" s="84">
        <v>4</v>
      </c>
      <c r="I2190" s="1">
        <f t="shared" si="103"/>
        <v>1</v>
      </c>
      <c r="J2190" s="1">
        <f t="shared" si="102"/>
        <v>-0.64825694328496297</v>
      </c>
      <c r="K2190" s="1">
        <f t="shared" si="104"/>
        <v>2.7167509510870897</v>
      </c>
    </row>
    <row r="2191" spans="4:11" ht="15.75" thickBot="1">
      <c r="D2191" s="109"/>
      <c r="E2191" s="89" t="s">
        <v>26</v>
      </c>
      <c r="F2191" s="89" t="s">
        <v>13</v>
      </c>
      <c r="G2191" s="84"/>
      <c r="H2191" s="84"/>
      <c r="I2191" s="1" t="str">
        <f t="shared" si="103"/>
        <v/>
      </c>
      <c r="J2191" s="1" t="str">
        <f t="shared" si="102"/>
        <v/>
      </c>
      <c r="K2191" s="1">
        <f t="shared" si="104"/>
        <v>0</v>
      </c>
    </row>
    <row r="2192" spans="4:11">
      <c r="D2192" s="106" t="s">
        <v>508</v>
      </c>
      <c r="E2192" s="87"/>
      <c r="F2192" s="87"/>
      <c r="G2192" s="84">
        <v>3</v>
      </c>
      <c r="H2192" s="84">
        <v>4</v>
      </c>
      <c r="I2192" s="1">
        <f t="shared" si="103"/>
        <v>-1</v>
      </c>
      <c r="J2192" s="1">
        <f t="shared" si="102"/>
        <v>-0.80265035682330677</v>
      </c>
      <c r="K2192" s="1">
        <f t="shared" si="104"/>
        <v>3.8946881661968143E-2</v>
      </c>
    </row>
    <row r="2193" spans="4:11" ht="15.75" thickBot="1">
      <c r="D2193" s="107"/>
      <c r="E2193" s="88" t="s">
        <v>14</v>
      </c>
      <c r="F2193" s="88" t="s">
        <v>15</v>
      </c>
      <c r="G2193" s="84"/>
      <c r="H2193" s="84"/>
      <c r="I2193" s="1" t="str">
        <f t="shared" si="103"/>
        <v/>
      </c>
      <c r="J2193" s="1" t="str">
        <f t="shared" si="102"/>
        <v/>
      </c>
      <c r="K2193" s="1">
        <f t="shared" si="104"/>
        <v>0</v>
      </c>
    </row>
    <row r="2194" spans="4:11">
      <c r="D2194" s="108" t="s">
        <v>508</v>
      </c>
      <c r="E2194" s="86"/>
      <c r="F2194" s="86"/>
      <c r="G2194" s="84">
        <v>2</v>
      </c>
      <c r="H2194" s="84">
        <v>3</v>
      </c>
      <c r="I2194" s="1">
        <f t="shared" si="103"/>
        <v>-1</v>
      </c>
      <c r="J2194" s="1">
        <f t="shared" si="102"/>
        <v>-6.6921544583166792E-2</v>
      </c>
      <c r="K2194" s="1">
        <f t="shared" si="104"/>
        <v>0.87063540396306316</v>
      </c>
    </row>
    <row r="2195" spans="4:11" ht="15.75" thickBot="1">
      <c r="D2195" s="109"/>
      <c r="E2195" s="89" t="s">
        <v>443</v>
      </c>
      <c r="F2195" s="89" t="s">
        <v>19</v>
      </c>
      <c r="G2195" s="84"/>
      <c r="H2195" s="84"/>
      <c r="I2195" s="1" t="str">
        <f t="shared" si="103"/>
        <v/>
      </c>
      <c r="J2195" s="1" t="str">
        <f t="shared" si="102"/>
        <v/>
      </c>
      <c r="K2195" s="1">
        <f t="shared" si="104"/>
        <v>0</v>
      </c>
    </row>
    <row r="2196" spans="4:11">
      <c r="D2196" s="106" t="s">
        <v>508</v>
      </c>
      <c r="E2196" s="87"/>
      <c r="F2196" s="87"/>
      <c r="G2196" s="84">
        <v>2</v>
      </c>
      <c r="H2196" s="84">
        <v>5</v>
      </c>
      <c r="I2196" s="1">
        <f t="shared" si="103"/>
        <v>-3</v>
      </c>
      <c r="J2196" s="1">
        <f t="shared" si="102"/>
        <v>2.708972714832214E-2</v>
      </c>
      <c r="K2196" s="1">
        <f t="shared" si="104"/>
        <v>9.163272216206904</v>
      </c>
    </row>
    <row r="2197" spans="4:11" ht="15.75" thickBot="1">
      <c r="D2197" s="107"/>
      <c r="E2197" s="88" t="s">
        <v>25</v>
      </c>
      <c r="F2197" s="88" t="s">
        <v>3</v>
      </c>
      <c r="G2197" s="84"/>
      <c r="H2197" s="84"/>
      <c r="I2197" s="1" t="str">
        <f t="shared" si="103"/>
        <v/>
      </c>
      <c r="J2197" s="1" t="str">
        <f t="shared" si="102"/>
        <v/>
      </c>
      <c r="K2197" s="1">
        <f t="shared" si="104"/>
        <v>0</v>
      </c>
    </row>
    <row r="2198" spans="4:11">
      <c r="D2198" s="108" t="s">
        <v>509</v>
      </c>
      <c r="E2198" s="86"/>
      <c r="F2198" s="86"/>
      <c r="G2198" s="84">
        <v>1</v>
      </c>
      <c r="H2198" s="84">
        <v>4</v>
      </c>
      <c r="I2198" s="1">
        <f t="shared" si="103"/>
        <v>-3</v>
      </c>
      <c r="J2198" s="1">
        <f t="shared" si="102"/>
        <v>0.81889614468616401</v>
      </c>
      <c r="K2198" s="1">
        <f t="shared" si="104"/>
        <v>14.583967763898848</v>
      </c>
    </row>
    <row r="2199" spans="4:11" ht="15.75" thickBot="1">
      <c r="D2199" s="109"/>
      <c r="E2199" s="89" t="s">
        <v>20</v>
      </c>
      <c r="F2199" s="89" t="s">
        <v>1</v>
      </c>
      <c r="G2199" s="84"/>
      <c r="H2199" s="84"/>
      <c r="I2199" s="1" t="str">
        <f t="shared" si="103"/>
        <v/>
      </c>
      <c r="J2199" s="1" t="str">
        <f t="shared" si="102"/>
        <v/>
      </c>
      <c r="K2199" s="1">
        <f t="shared" si="104"/>
        <v>0</v>
      </c>
    </row>
    <row r="2200" spans="4:11">
      <c r="D2200" s="106" t="s">
        <v>509</v>
      </c>
      <c r="E2200" s="87"/>
      <c r="F2200" s="87"/>
      <c r="G2200" s="84">
        <v>3</v>
      </c>
      <c r="H2200" s="84">
        <v>4</v>
      </c>
      <c r="I2200" s="1">
        <f t="shared" si="103"/>
        <v>-1</v>
      </c>
      <c r="J2200" s="1">
        <f t="shared" si="102"/>
        <v>0.84805902169064495</v>
      </c>
      <c r="K2200" s="1">
        <f t="shared" si="104"/>
        <v>3.4153221476521836</v>
      </c>
    </row>
    <row r="2201" spans="4:11" ht="15.75" thickBot="1">
      <c r="D2201" s="107"/>
      <c r="E2201" s="88" t="s">
        <v>22</v>
      </c>
      <c r="F2201" s="88" t="s">
        <v>24</v>
      </c>
      <c r="G2201" s="84"/>
      <c r="H2201" s="84"/>
      <c r="I2201" s="1" t="str">
        <f t="shared" si="103"/>
        <v/>
      </c>
      <c r="J2201" s="1" t="str">
        <f t="shared" si="102"/>
        <v/>
      </c>
      <c r="K2201" s="1">
        <f t="shared" si="104"/>
        <v>0</v>
      </c>
    </row>
    <row r="2202" spans="4:11">
      <c r="D2202" s="108" t="s">
        <v>509</v>
      </c>
      <c r="E2202" s="86"/>
      <c r="F2202" s="86"/>
      <c r="G2202" s="84">
        <v>4</v>
      </c>
      <c r="H2202" s="84">
        <v>3</v>
      </c>
      <c r="I2202" s="1">
        <f t="shared" si="103"/>
        <v>1</v>
      </c>
      <c r="J2202" s="1">
        <f t="shared" si="102"/>
        <v>-0.36035400474453638</v>
      </c>
      <c r="K2202" s="1">
        <f t="shared" si="104"/>
        <v>1.8505630182244981</v>
      </c>
    </row>
    <row r="2203" spans="4:11" ht="15.75" thickBot="1">
      <c r="D2203" s="109"/>
      <c r="E2203" s="89" t="s">
        <v>21</v>
      </c>
      <c r="F2203" s="89" t="s">
        <v>4</v>
      </c>
      <c r="G2203" s="84"/>
      <c r="H2203" s="84"/>
      <c r="I2203" s="1" t="str">
        <f t="shared" si="103"/>
        <v/>
      </c>
      <c r="J2203" s="1" t="str">
        <f t="shared" si="102"/>
        <v/>
      </c>
      <c r="K2203" s="1">
        <f t="shared" si="104"/>
        <v>0</v>
      </c>
    </row>
    <row r="2204" spans="4:11">
      <c r="D2204" s="106" t="s">
        <v>510</v>
      </c>
      <c r="E2204" s="87"/>
      <c r="F2204" s="87"/>
      <c r="G2204" s="84">
        <v>3</v>
      </c>
      <c r="H2204" s="84">
        <v>2</v>
      </c>
      <c r="I2204" s="1">
        <f t="shared" si="103"/>
        <v>1</v>
      </c>
      <c r="J2204" s="1">
        <f t="shared" si="102"/>
        <v>-0.5842758399092105</v>
      </c>
      <c r="K2204" s="1">
        <f t="shared" si="104"/>
        <v>2.5099299369200345</v>
      </c>
    </row>
    <row r="2205" spans="4:11" ht="15.75" thickBot="1">
      <c r="D2205" s="107"/>
      <c r="E2205" s="88" t="s">
        <v>10</v>
      </c>
      <c r="F2205" s="88" t="s">
        <v>2</v>
      </c>
      <c r="G2205" s="84"/>
      <c r="H2205" s="84"/>
      <c r="I2205" s="1" t="str">
        <f t="shared" si="103"/>
        <v/>
      </c>
      <c r="J2205" s="1" t="str">
        <f t="shared" si="102"/>
        <v/>
      </c>
      <c r="K2205" s="1">
        <f t="shared" si="104"/>
        <v>0</v>
      </c>
    </row>
    <row r="2206" spans="4:11">
      <c r="D2206" s="108" t="s">
        <v>510</v>
      </c>
      <c r="E2206" s="86"/>
      <c r="F2206" s="86"/>
      <c r="G2206" s="84">
        <v>4</v>
      </c>
      <c r="H2206" s="84">
        <v>3</v>
      </c>
      <c r="I2206" s="1">
        <f t="shared" si="103"/>
        <v>1</v>
      </c>
      <c r="J2206" s="1">
        <f t="shared" si="102"/>
        <v>0.82573689439544751</v>
      </c>
      <c r="K2206" s="1">
        <f t="shared" si="104"/>
        <v>3.0367629974943414E-2</v>
      </c>
    </row>
    <row r="2207" spans="4:11" ht="15.75" thickBot="1">
      <c r="D2207" s="109"/>
      <c r="E2207" s="89" t="s">
        <v>26</v>
      </c>
      <c r="F2207" s="89" t="s">
        <v>8</v>
      </c>
      <c r="G2207" s="84"/>
      <c r="H2207" s="84"/>
      <c r="I2207" s="1" t="str">
        <f t="shared" si="103"/>
        <v/>
      </c>
      <c r="J2207" s="1" t="str">
        <f t="shared" si="102"/>
        <v/>
      </c>
      <c r="K2207" s="1">
        <f t="shared" si="104"/>
        <v>0</v>
      </c>
    </row>
    <row r="2208" spans="4:11">
      <c r="D2208" s="106" t="s">
        <v>510</v>
      </c>
      <c r="E2208" s="87"/>
      <c r="F2208" s="87"/>
      <c r="G2208" s="84">
        <v>3</v>
      </c>
      <c r="H2208" s="84">
        <v>2</v>
      </c>
      <c r="I2208" s="1">
        <f t="shared" si="103"/>
        <v>1</v>
      </c>
      <c r="J2208" s="1">
        <f t="shared" si="102"/>
        <v>0.49302576114251906</v>
      </c>
      <c r="K2208" s="1">
        <f t="shared" si="104"/>
        <v>0.25702287886512215</v>
      </c>
    </row>
    <row r="2209" spans="4:11" ht="15.75" thickBot="1">
      <c r="D2209" s="107"/>
      <c r="E2209" s="88" t="s">
        <v>6</v>
      </c>
      <c r="F2209" s="88" t="s">
        <v>27</v>
      </c>
      <c r="G2209" s="84"/>
      <c r="H2209" s="84"/>
      <c r="I2209" s="1" t="str">
        <f t="shared" si="103"/>
        <v/>
      </c>
      <c r="J2209" s="1" t="str">
        <f t="shared" si="102"/>
        <v/>
      </c>
      <c r="K2209" s="1">
        <f t="shared" si="104"/>
        <v>0</v>
      </c>
    </row>
    <row r="2210" spans="4:11">
      <c r="D2210" s="108" t="s">
        <v>510</v>
      </c>
      <c r="E2210" s="86"/>
      <c r="F2210" s="86"/>
      <c r="G2210" s="84">
        <v>2</v>
      </c>
      <c r="H2210" s="84">
        <v>3</v>
      </c>
      <c r="I2210" s="1">
        <f t="shared" si="103"/>
        <v>-1</v>
      </c>
      <c r="J2210" s="1">
        <f t="shared" si="102"/>
        <v>-0.79073428264888435</v>
      </c>
      <c r="K2210" s="1">
        <f t="shared" si="104"/>
        <v>4.3792140458477027E-2</v>
      </c>
    </row>
    <row r="2211" spans="4:11" ht="15.75" thickBot="1">
      <c r="D2211" s="109"/>
      <c r="E2211" s="89" t="s">
        <v>9</v>
      </c>
      <c r="F2211" s="89" t="s">
        <v>12</v>
      </c>
      <c r="G2211" s="84"/>
      <c r="H2211" s="84"/>
      <c r="I2211" s="1" t="str">
        <f t="shared" si="103"/>
        <v/>
      </c>
      <c r="J2211" s="1" t="str">
        <f t="shared" si="102"/>
        <v/>
      </c>
      <c r="K2211" s="1">
        <f t="shared" si="104"/>
        <v>0</v>
      </c>
    </row>
    <row r="2212" spans="4:11">
      <c r="D2212" s="106" t="s">
        <v>510</v>
      </c>
      <c r="E2212" s="87"/>
      <c r="F2212" s="87"/>
      <c r="G2212" s="84">
        <v>2</v>
      </c>
      <c r="H2212" s="84">
        <v>5</v>
      </c>
      <c r="I2212" s="1">
        <f t="shared" si="103"/>
        <v>-3</v>
      </c>
      <c r="J2212" s="1">
        <f t="shared" si="102"/>
        <v>0.64380459313690608</v>
      </c>
      <c r="K2212" s="1">
        <f t="shared" si="104"/>
        <v>13.277311912965613</v>
      </c>
    </row>
    <row r="2213" spans="4:11" ht="15.75" thickBot="1">
      <c r="D2213" s="107"/>
      <c r="E2213" s="88" t="s">
        <v>11</v>
      </c>
      <c r="F2213" s="88" t="s">
        <v>28</v>
      </c>
      <c r="G2213" s="84"/>
      <c r="H2213" s="84"/>
      <c r="I2213" s="1" t="str">
        <f t="shared" si="103"/>
        <v/>
      </c>
      <c r="J2213" s="1" t="str">
        <f t="shared" si="102"/>
        <v/>
      </c>
      <c r="K2213" s="1">
        <f t="shared" si="104"/>
        <v>0</v>
      </c>
    </row>
    <row r="2214" spans="4:11">
      <c r="D2214" s="108" t="s">
        <v>510</v>
      </c>
      <c r="E2214" s="86"/>
      <c r="F2214" s="86"/>
      <c r="G2214" s="84">
        <v>4</v>
      </c>
      <c r="H2214" s="84">
        <v>1</v>
      </c>
      <c r="I2214" s="1">
        <f t="shared" si="103"/>
        <v>3</v>
      </c>
      <c r="J2214" s="1">
        <f t="shared" si="102"/>
        <v>0.28898688989563937</v>
      </c>
      <c r="K2214" s="1">
        <f t="shared" si="104"/>
        <v>7.3495920831577184</v>
      </c>
    </row>
    <row r="2215" spans="4:11" ht="15.75" thickBot="1">
      <c r="D2215" s="109"/>
      <c r="E2215" s="89" t="s">
        <v>14</v>
      </c>
      <c r="F2215" s="89" t="s">
        <v>0</v>
      </c>
      <c r="G2215" s="84"/>
      <c r="H2215" s="84"/>
      <c r="I2215" s="1" t="str">
        <f t="shared" si="103"/>
        <v/>
      </c>
      <c r="J2215" s="1" t="str">
        <f t="shared" si="102"/>
        <v/>
      </c>
      <c r="K2215" s="1">
        <f t="shared" si="104"/>
        <v>0</v>
      </c>
    </row>
    <row r="2216" spans="4:11">
      <c r="D2216" s="106" t="s">
        <v>510</v>
      </c>
      <c r="E2216" s="87"/>
      <c r="F2216" s="87"/>
      <c r="G2216" s="84">
        <v>5</v>
      </c>
      <c r="H2216" s="84">
        <v>1</v>
      </c>
      <c r="I2216" s="1">
        <f t="shared" si="103"/>
        <v>4</v>
      </c>
      <c r="J2216" s="1">
        <f t="shared" si="102"/>
        <v>0.38271615829418693</v>
      </c>
      <c r="K2216" s="1">
        <f t="shared" si="104"/>
        <v>13.084742391465966</v>
      </c>
    </row>
    <row r="2217" spans="4:11" ht="15.75" thickBot="1">
      <c r="D2217" s="107"/>
      <c r="E2217" s="88" t="s">
        <v>16</v>
      </c>
      <c r="F2217" s="88" t="s">
        <v>18</v>
      </c>
      <c r="G2217" s="84"/>
      <c r="H2217" s="84"/>
      <c r="I2217" s="1" t="str">
        <f t="shared" si="103"/>
        <v/>
      </c>
      <c r="J2217" s="1" t="str">
        <f t="shared" si="102"/>
        <v/>
      </c>
      <c r="K2217" s="1">
        <f t="shared" si="104"/>
        <v>0</v>
      </c>
    </row>
    <row r="2218" spans="4:11">
      <c r="D2218" s="108" t="s">
        <v>510</v>
      </c>
      <c r="E2218" s="86"/>
      <c r="F2218" s="86"/>
      <c r="G2218" s="84">
        <v>6</v>
      </c>
      <c r="H2218" s="84">
        <v>4</v>
      </c>
      <c r="I2218" s="1">
        <f t="shared" si="103"/>
        <v>2</v>
      </c>
      <c r="J2218" s="1">
        <f t="shared" si="102"/>
        <v>-0.16136216753064048</v>
      </c>
      <c r="K2218" s="1">
        <f t="shared" si="104"/>
        <v>4.6714864192327488</v>
      </c>
    </row>
    <row r="2219" spans="4:11" ht="15.75" thickBot="1">
      <c r="D2219" s="109"/>
      <c r="E2219" s="89" t="s">
        <v>5</v>
      </c>
      <c r="F2219" s="89" t="s">
        <v>13</v>
      </c>
      <c r="G2219" s="84"/>
      <c r="H2219" s="84"/>
      <c r="I2219" s="1" t="str">
        <f t="shared" si="103"/>
        <v/>
      </c>
      <c r="J2219" s="1" t="str">
        <f t="shared" si="102"/>
        <v/>
      </c>
      <c r="K2219" s="1">
        <f t="shared" si="104"/>
        <v>0</v>
      </c>
    </row>
    <row r="2220" spans="4:11">
      <c r="D2220" s="106" t="s">
        <v>510</v>
      </c>
      <c r="E2220" s="87"/>
      <c r="F2220" s="87"/>
      <c r="G2220" s="84">
        <v>3</v>
      </c>
      <c r="H2220" s="84">
        <v>2</v>
      </c>
      <c r="I2220" s="1">
        <f t="shared" si="103"/>
        <v>1</v>
      </c>
      <c r="J2220" s="1">
        <f t="shared" si="102"/>
        <v>-0.12942210003404853</v>
      </c>
      <c r="K2220" s="1">
        <f t="shared" si="104"/>
        <v>1.2755942800453204</v>
      </c>
    </row>
    <row r="2221" spans="4:11" ht="15.75" thickBot="1">
      <c r="D2221" s="107"/>
      <c r="E2221" s="88" t="s">
        <v>19</v>
      </c>
      <c r="F2221" s="88" t="s">
        <v>15</v>
      </c>
      <c r="G2221" s="84"/>
      <c r="H2221" s="84"/>
      <c r="I2221" s="1" t="str">
        <f t="shared" si="103"/>
        <v/>
      </c>
      <c r="J2221" s="1" t="str">
        <f t="shared" si="102"/>
        <v/>
      </c>
      <c r="K2221" s="1">
        <f t="shared" si="104"/>
        <v>0</v>
      </c>
    </row>
    <row r="2222" spans="4:11">
      <c r="D2222" s="108" t="s">
        <v>510</v>
      </c>
      <c r="E2222" s="86"/>
      <c r="F2222" s="86"/>
      <c r="G2222" s="84">
        <v>2</v>
      </c>
      <c r="H2222" s="84">
        <v>5</v>
      </c>
      <c r="I2222" s="1">
        <f t="shared" si="103"/>
        <v>-3</v>
      </c>
      <c r="J2222" s="1">
        <f t="shared" si="102"/>
        <v>0.14230373266300944</v>
      </c>
      <c r="K2222" s="1">
        <f t="shared" si="104"/>
        <v>9.8740727483078814</v>
      </c>
    </row>
    <row r="2223" spans="4:11" ht="15.75" thickBot="1">
      <c r="D2223" s="109"/>
      <c r="E2223" s="89" t="s">
        <v>443</v>
      </c>
      <c r="F2223" s="89" t="s">
        <v>25</v>
      </c>
      <c r="G2223" s="84"/>
      <c r="H2223" s="84"/>
      <c r="I2223" s="1" t="str">
        <f t="shared" si="103"/>
        <v/>
      </c>
      <c r="J2223" s="1" t="str">
        <f t="shared" si="102"/>
        <v/>
      </c>
      <c r="K2223" s="1">
        <f t="shared" si="104"/>
        <v>0</v>
      </c>
    </row>
    <row r="2224" spans="4:11">
      <c r="D2224" s="106" t="s">
        <v>510</v>
      </c>
      <c r="E2224" s="87"/>
      <c r="F2224" s="87"/>
      <c r="G2224" s="84">
        <v>4</v>
      </c>
      <c r="H2224" s="84">
        <v>1</v>
      </c>
      <c r="I2224" s="1">
        <f t="shared" si="103"/>
        <v>3</v>
      </c>
      <c r="J2224" s="1">
        <f t="shared" si="102"/>
        <v>-0.20963948812980959</v>
      </c>
      <c r="K2224" s="1">
        <f t="shared" si="104"/>
        <v>10.301785643762186</v>
      </c>
    </row>
    <row r="2225" spans="4:11" ht="15.75" thickBot="1">
      <c r="D2225" s="107"/>
      <c r="E2225" s="88" t="s">
        <v>22</v>
      </c>
      <c r="F2225" s="88" t="s">
        <v>3</v>
      </c>
      <c r="G2225" s="84"/>
      <c r="H2225" s="84"/>
      <c r="I2225" s="1" t="str">
        <f t="shared" si="103"/>
        <v/>
      </c>
      <c r="J2225" s="1" t="str">
        <f t="shared" si="102"/>
        <v/>
      </c>
      <c r="K2225" s="1">
        <f t="shared" si="104"/>
        <v>0</v>
      </c>
    </row>
    <row r="2226" spans="4:11">
      <c r="D2226" s="108" t="s">
        <v>511</v>
      </c>
      <c r="E2226" s="86"/>
      <c r="F2226" s="86"/>
      <c r="G2226" s="84">
        <v>2</v>
      </c>
      <c r="H2226" s="84">
        <v>4</v>
      </c>
      <c r="I2226" s="1">
        <f t="shared" si="103"/>
        <v>-2</v>
      </c>
      <c r="J2226" s="1">
        <f t="shared" si="102"/>
        <v>-0.13413995471559303</v>
      </c>
      <c r="K2226" s="1">
        <f t="shared" si="104"/>
        <v>3.481433708588729</v>
      </c>
    </row>
    <row r="2227" spans="4:11" ht="15.75" thickBot="1">
      <c r="D2227" s="109"/>
      <c r="E2227" s="89" t="s">
        <v>4</v>
      </c>
      <c r="F2227" s="89" t="s">
        <v>23</v>
      </c>
      <c r="G2227" s="84"/>
      <c r="H2227" s="84"/>
      <c r="I2227" s="1" t="str">
        <f t="shared" si="103"/>
        <v/>
      </c>
      <c r="J2227" s="1" t="str">
        <f t="shared" si="102"/>
        <v/>
      </c>
      <c r="K2227" s="1">
        <f t="shared" si="104"/>
        <v>0</v>
      </c>
    </row>
    <row r="2228" spans="4:11">
      <c r="D2228" s="106" t="s">
        <v>511</v>
      </c>
      <c r="E2228" s="87"/>
      <c r="F2228" s="87"/>
      <c r="G2228" s="84">
        <v>5</v>
      </c>
      <c r="H2228" s="84">
        <v>2</v>
      </c>
      <c r="I2228" s="1">
        <f t="shared" si="103"/>
        <v>3</v>
      </c>
      <c r="J2228" s="1">
        <f t="shared" si="102"/>
        <v>-0.83958926795708066</v>
      </c>
      <c r="K2228" s="1">
        <f t="shared" si="104"/>
        <v>14.742445746611191</v>
      </c>
    </row>
    <row r="2229" spans="4:11" ht="15.75" thickBot="1">
      <c r="D2229" s="107"/>
      <c r="E2229" s="88" t="s">
        <v>7</v>
      </c>
      <c r="F2229" s="88" t="s">
        <v>20</v>
      </c>
      <c r="G2229" s="84"/>
      <c r="H2229" s="84"/>
      <c r="I2229" s="1" t="str">
        <f t="shared" si="103"/>
        <v/>
      </c>
      <c r="J2229" s="1" t="str">
        <f t="shared" si="102"/>
        <v/>
      </c>
      <c r="K2229" s="1">
        <f t="shared" si="104"/>
        <v>0</v>
      </c>
    </row>
    <row r="2230" spans="4:11">
      <c r="D2230" s="108" t="s">
        <v>511</v>
      </c>
      <c r="E2230" s="86"/>
      <c r="F2230" s="86"/>
      <c r="G2230" s="84">
        <v>0</v>
      </c>
      <c r="H2230" s="84">
        <v>4</v>
      </c>
      <c r="I2230" s="1">
        <f t="shared" si="103"/>
        <v>-4</v>
      </c>
      <c r="J2230" s="1">
        <f t="shared" si="102"/>
        <v>0.80887745301087932</v>
      </c>
      <c r="K2230" s="1">
        <f t="shared" si="104"/>
        <v>23.1253023580764</v>
      </c>
    </row>
    <row r="2231" spans="4:11" ht="15.75" thickBot="1">
      <c r="D2231" s="109"/>
      <c r="E2231" s="89" t="s">
        <v>21</v>
      </c>
      <c r="F2231" s="89" t="s">
        <v>24</v>
      </c>
      <c r="G2231" s="84"/>
      <c r="H2231" s="84"/>
      <c r="I2231" s="1" t="str">
        <f t="shared" si="103"/>
        <v/>
      </c>
      <c r="J2231" s="1" t="str">
        <f t="shared" si="102"/>
        <v/>
      </c>
      <c r="K2231" s="1">
        <f t="shared" si="104"/>
        <v>0</v>
      </c>
    </row>
    <row r="2232" spans="4:11">
      <c r="D2232" s="106" t="s">
        <v>512</v>
      </c>
      <c r="E2232" s="87"/>
      <c r="F2232" s="87"/>
      <c r="G2232" s="84">
        <v>4</v>
      </c>
      <c r="H2232" s="84">
        <v>3</v>
      </c>
      <c r="I2232" s="1">
        <f t="shared" si="103"/>
        <v>1</v>
      </c>
      <c r="J2232" s="1">
        <f t="shared" si="102"/>
        <v>-2.7187372374754659E-2</v>
      </c>
      <c r="K2232" s="1">
        <f t="shared" si="104"/>
        <v>1.055113897966153</v>
      </c>
    </row>
    <row r="2233" spans="4:11" ht="15.75" thickBot="1">
      <c r="D2233" s="107"/>
      <c r="E2233" s="88" t="s">
        <v>19</v>
      </c>
      <c r="F2233" s="88" t="s">
        <v>12</v>
      </c>
      <c r="G2233" s="84"/>
      <c r="H2233" s="84"/>
      <c r="I2233" s="1" t="str">
        <f t="shared" si="103"/>
        <v/>
      </c>
      <c r="J2233" s="1" t="str">
        <f t="shared" si="102"/>
        <v/>
      </c>
      <c r="K2233" s="1">
        <f t="shared" si="104"/>
        <v>0</v>
      </c>
    </row>
    <row r="2234" spans="4:11">
      <c r="D2234" s="108" t="s">
        <v>512</v>
      </c>
      <c r="E2234" s="86"/>
      <c r="F2234" s="86"/>
      <c r="G2234" s="84">
        <v>2</v>
      </c>
      <c r="H2234" s="84">
        <v>4</v>
      </c>
      <c r="I2234" s="1">
        <f t="shared" si="103"/>
        <v>-2</v>
      </c>
      <c r="J2234" s="1">
        <f t="shared" si="102"/>
        <v>0.4786607447554303</v>
      </c>
      <c r="K2234" s="1">
        <f t="shared" si="104"/>
        <v>6.143759087591544</v>
      </c>
    </row>
    <row r="2235" spans="4:11" ht="15.75" thickBot="1">
      <c r="D2235" s="109"/>
      <c r="E2235" s="89" t="s">
        <v>16</v>
      </c>
      <c r="F2235" s="89" t="s">
        <v>2</v>
      </c>
      <c r="G2235" s="84"/>
      <c r="H2235" s="84"/>
      <c r="I2235" s="1" t="str">
        <f t="shared" si="103"/>
        <v/>
      </c>
      <c r="J2235" s="1" t="str">
        <f t="shared" si="102"/>
        <v/>
      </c>
      <c r="K2235" s="1">
        <f t="shared" si="104"/>
        <v>0</v>
      </c>
    </row>
    <row r="2236" spans="4:11">
      <c r="D2236" s="106" t="s">
        <v>512</v>
      </c>
      <c r="E2236" s="87"/>
      <c r="F2236" s="87"/>
      <c r="G2236" s="84">
        <v>3</v>
      </c>
      <c r="H2236" s="84">
        <v>2</v>
      </c>
      <c r="I2236" s="1">
        <f t="shared" si="103"/>
        <v>1</v>
      </c>
      <c r="J2236" s="1">
        <f t="shared" si="102"/>
        <v>-0.12957054917471567</v>
      </c>
      <c r="K2236" s="1">
        <f t="shared" si="104"/>
        <v>1.2759296255628687</v>
      </c>
    </row>
    <row r="2237" spans="4:11" ht="15.75" thickBot="1">
      <c r="D2237" s="107"/>
      <c r="E2237" s="88" t="s">
        <v>10</v>
      </c>
      <c r="F2237" s="88" t="s">
        <v>27</v>
      </c>
      <c r="G2237" s="84"/>
      <c r="H2237" s="84"/>
      <c r="I2237" s="1" t="str">
        <f t="shared" si="103"/>
        <v/>
      </c>
      <c r="J2237" s="1" t="str">
        <f t="shared" si="102"/>
        <v/>
      </c>
      <c r="K2237" s="1">
        <f t="shared" si="104"/>
        <v>0</v>
      </c>
    </row>
    <row r="2238" spans="4:11">
      <c r="D2238" s="108" t="s">
        <v>512</v>
      </c>
      <c r="E2238" s="86"/>
      <c r="F2238" s="86"/>
      <c r="G2238" s="84">
        <v>3</v>
      </c>
      <c r="H2238" s="84">
        <v>2</v>
      </c>
      <c r="I2238" s="1">
        <f t="shared" si="103"/>
        <v>1</v>
      </c>
      <c r="J2238" s="1">
        <f t="shared" si="102"/>
        <v>0.23588004445059596</v>
      </c>
      <c r="K2238" s="1">
        <f t="shared" si="104"/>
        <v>0.58387930646882324</v>
      </c>
    </row>
    <row r="2239" spans="4:11" ht="15.75" thickBot="1">
      <c r="D2239" s="109"/>
      <c r="E2239" s="89" t="s">
        <v>5</v>
      </c>
      <c r="F2239" s="89" t="s">
        <v>1</v>
      </c>
      <c r="G2239" s="84"/>
      <c r="H2239" s="84"/>
      <c r="I2239" s="1" t="str">
        <f t="shared" si="103"/>
        <v/>
      </c>
      <c r="J2239" s="1" t="str">
        <f t="shared" si="102"/>
        <v/>
      </c>
      <c r="K2239" s="1">
        <f t="shared" si="104"/>
        <v>0</v>
      </c>
    </row>
    <row r="2240" spans="4:11">
      <c r="D2240" s="106" t="s">
        <v>512</v>
      </c>
      <c r="E2240" s="87"/>
      <c r="F2240" s="87"/>
      <c r="G2240" s="84">
        <v>2</v>
      </c>
      <c r="H2240" s="84">
        <v>3</v>
      </c>
      <c r="I2240" s="1">
        <f t="shared" si="103"/>
        <v>-1</v>
      </c>
      <c r="J2240" s="1">
        <f t="shared" si="102"/>
        <v>-0.79914836333078654</v>
      </c>
      <c r="K2240" s="1">
        <f t="shared" si="104"/>
        <v>4.0341379952701734E-2</v>
      </c>
    </row>
    <row r="2241" spans="4:11" ht="15.75" thickBot="1">
      <c r="D2241" s="107"/>
      <c r="E2241" s="88" t="s">
        <v>26</v>
      </c>
      <c r="F2241" s="88" t="s">
        <v>11</v>
      </c>
      <c r="G2241" s="84"/>
      <c r="H2241" s="84"/>
      <c r="I2241" s="1" t="str">
        <f t="shared" si="103"/>
        <v/>
      </c>
      <c r="J2241" s="1" t="str">
        <f t="shared" ref="J2241:J2299" si="105">IF(F2242="","",VLOOKUP(F2242,$A$2:$B$31,2)+$B$33-VLOOKUP(E2242,$A$2:$B$31,2))</f>
        <v/>
      </c>
      <c r="K2241" s="1">
        <f t="shared" si="104"/>
        <v>0</v>
      </c>
    </row>
    <row r="2242" spans="4:11">
      <c r="D2242" s="108" t="s">
        <v>512</v>
      </c>
      <c r="E2242" s="86"/>
      <c r="F2242" s="86"/>
      <c r="G2242" s="84">
        <v>0</v>
      </c>
      <c r="H2242" s="84">
        <v>4</v>
      </c>
      <c r="I2242" s="1">
        <f t="shared" ref="I2242:I2299" si="106">IF(G2242="","",G2242-H2242)</f>
        <v>-4</v>
      </c>
      <c r="J2242" s="1">
        <f t="shared" si="105"/>
        <v>0.4157761266975939</v>
      </c>
      <c r="K2242" s="1">
        <f t="shared" si="104"/>
        <v>19.499078801112404</v>
      </c>
    </row>
    <row r="2243" spans="4:11" ht="15.75" thickBot="1">
      <c r="D2243" s="109"/>
      <c r="E2243" s="89" t="s">
        <v>15</v>
      </c>
      <c r="F2243" s="89" t="s">
        <v>13</v>
      </c>
      <c r="G2243" s="84"/>
      <c r="H2243" s="84"/>
      <c r="I2243" s="1" t="str">
        <f t="shared" si="106"/>
        <v/>
      </c>
      <c r="J2243" s="1" t="str">
        <f t="shared" si="105"/>
        <v/>
      </c>
      <c r="K2243" s="1">
        <f t="shared" si="104"/>
        <v>0</v>
      </c>
    </row>
    <row r="2244" spans="4:11">
      <c r="D2244" s="106" t="s">
        <v>512</v>
      </c>
      <c r="E2244" s="87"/>
      <c r="F2244" s="87"/>
      <c r="G2244" s="84">
        <v>3</v>
      </c>
      <c r="H2244" s="84">
        <v>4</v>
      </c>
      <c r="I2244" s="1">
        <f t="shared" si="106"/>
        <v>-1</v>
      </c>
      <c r="J2244" s="1">
        <f t="shared" si="105"/>
        <v>0.70782460310684314</v>
      </c>
      <c r="K2244" s="1">
        <f t="shared" ref="K2244:K2299" si="107">IF(J2244="",0,(I2244-J2244)^2)</f>
        <v>2.9166648749770463</v>
      </c>
    </row>
    <row r="2245" spans="4:11" ht="15.75" thickBot="1">
      <c r="D2245" s="107"/>
      <c r="E2245" s="88" t="s">
        <v>18</v>
      </c>
      <c r="F2245" s="88" t="s">
        <v>0</v>
      </c>
      <c r="G2245" s="84"/>
      <c r="H2245" s="84"/>
      <c r="I2245" s="1" t="str">
        <f t="shared" si="106"/>
        <v/>
      </c>
      <c r="J2245" s="1" t="str">
        <f t="shared" si="105"/>
        <v/>
      </c>
      <c r="K2245" s="1">
        <f t="shared" si="107"/>
        <v>0</v>
      </c>
    </row>
    <row r="2246" spans="4:11">
      <c r="D2246" s="108" t="s">
        <v>512</v>
      </c>
      <c r="E2246" s="86"/>
      <c r="F2246" s="86"/>
      <c r="G2246" s="84">
        <v>2</v>
      </c>
      <c r="H2246" s="84">
        <v>3</v>
      </c>
      <c r="I2246" s="1">
        <f t="shared" si="106"/>
        <v>-1</v>
      </c>
      <c r="J2246" s="1">
        <f t="shared" si="105"/>
        <v>-0.60630671220609145</v>
      </c>
      <c r="K2246" s="1">
        <f t="shared" si="107"/>
        <v>0.15499440485397731</v>
      </c>
    </row>
    <row r="2247" spans="4:11" ht="15.75" thickBot="1">
      <c r="D2247" s="109"/>
      <c r="E2247" s="89" t="s">
        <v>14</v>
      </c>
      <c r="F2247" s="89" t="s">
        <v>443</v>
      </c>
      <c r="G2247" s="84"/>
      <c r="H2247" s="84"/>
      <c r="I2247" s="1" t="str">
        <f t="shared" si="106"/>
        <v/>
      </c>
      <c r="J2247" s="1" t="str">
        <f t="shared" si="105"/>
        <v/>
      </c>
      <c r="K2247" s="1">
        <f t="shared" si="107"/>
        <v>0</v>
      </c>
    </row>
    <row r="2248" spans="4:11">
      <c r="D2248" s="106" t="s">
        <v>512</v>
      </c>
      <c r="E2248" s="87"/>
      <c r="F2248" s="87"/>
      <c r="G2248" s="84">
        <v>1</v>
      </c>
      <c r="H2248" s="84">
        <v>3</v>
      </c>
      <c r="I2248" s="1">
        <f t="shared" si="106"/>
        <v>-2</v>
      </c>
      <c r="J2248" s="1">
        <f t="shared" si="105"/>
        <v>1.5720289480498195E-2</v>
      </c>
      <c r="K2248" s="1">
        <f t="shared" si="107"/>
        <v>4.0631282854233435</v>
      </c>
    </row>
    <row r="2249" spans="4:11" ht="15.75" thickBot="1">
      <c r="D2249" s="107"/>
      <c r="E2249" s="88" t="s">
        <v>9</v>
      </c>
      <c r="F2249" s="88" t="s">
        <v>28</v>
      </c>
      <c r="G2249" s="84"/>
      <c r="H2249" s="84"/>
      <c r="I2249" s="1" t="str">
        <f t="shared" si="106"/>
        <v/>
      </c>
      <c r="J2249" s="1" t="str">
        <f t="shared" si="105"/>
        <v/>
      </c>
      <c r="K2249" s="1">
        <f t="shared" si="107"/>
        <v>0</v>
      </c>
    </row>
    <row r="2250" spans="4:11">
      <c r="D2250" s="108" t="s">
        <v>512</v>
      </c>
      <c r="E2250" s="86"/>
      <c r="F2250" s="86"/>
      <c r="G2250" s="84">
        <v>4</v>
      </c>
      <c r="H2250" s="84">
        <v>2</v>
      </c>
      <c r="I2250" s="1">
        <f t="shared" si="106"/>
        <v>2</v>
      </c>
      <c r="J2250" s="1">
        <f t="shared" si="105"/>
        <v>-0.80541874159867177</v>
      </c>
      <c r="K2250" s="1">
        <f t="shared" si="107"/>
        <v>7.8703743157130752</v>
      </c>
    </row>
    <row r="2251" spans="4:11" ht="15.75" thickBot="1">
      <c r="D2251" s="109"/>
      <c r="E2251" s="89" t="s">
        <v>7</v>
      </c>
      <c r="F2251" s="89" t="s">
        <v>17</v>
      </c>
      <c r="G2251" s="84"/>
      <c r="H2251" s="84"/>
      <c r="I2251" s="1" t="str">
        <f t="shared" si="106"/>
        <v/>
      </c>
      <c r="J2251" s="1" t="str">
        <f t="shared" si="105"/>
        <v/>
      </c>
      <c r="K2251" s="1">
        <f t="shared" si="107"/>
        <v>0</v>
      </c>
    </row>
    <row r="2252" spans="4:11">
      <c r="D2252" s="106" t="s">
        <v>512</v>
      </c>
      <c r="E2252" s="87"/>
      <c r="F2252" s="87"/>
      <c r="G2252" s="84">
        <v>1</v>
      </c>
      <c r="H2252" s="84">
        <v>4</v>
      </c>
      <c r="I2252" s="1">
        <f t="shared" si="106"/>
        <v>-3</v>
      </c>
      <c r="J2252" s="1">
        <f t="shared" si="105"/>
        <v>-0.32137255788732944</v>
      </c>
      <c r="K2252" s="1">
        <f t="shared" si="107"/>
        <v>7.1750449736390687</v>
      </c>
    </row>
    <row r="2253" spans="4:11" ht="15.75" thickBot="1">
      <c r="D2253" s="107"/>
      <c r="E2253" s="88" t="s">
        <v>6</v>
      </c>
      <c r="F2253" s="88" t="s">
        <v>23</v>
      </c>
      <c r="G2253" s="84"/>
      <c r="H2253" s="84"/>
      <c r="I2253" s="1" t="str">
        <f t="shared" si="106"/>
        <v/>
      </c>
      <c r="J2253" s="1" t="str">
        <f t="shared" si="105"/>
        <v/>
      </c>
      <c r="K2253" s="1">
        <f t="shared" si="107"/>
        <v>0</v>
      </c>
    </row>
    <row r="2254" spans="4:11">
      <c r="D2254" s="108" t="s">
        <v>512</v>
      </c>
      <c r="E2254" s="86"/>
      <c r="F2254" s="86"/>
      <c r="G2254" s="84">
        <v>3</v>
      </c>
      <c r="H2254" s="84">
        <v>5</v>
      </c>
      <c r="I2254" s="1">
        <f t="shared" si="106"/>
        <v>-2</v>
      </c>
      <c r="J2254" s="1">
        <f t="shared" si="105"/>
        <v>-1.3143933718196479</v>
      </c>
      <c r="K2254" s="1">
        <f t="shared" si="107"/>
        <v>0.47005644860483159</v>
      </c>
    </row>
    <row r="2255" spans="4:11" ht="15.75" thickBot="1">
      <c r="D2255" s="109"/>
      <c r="E2255" s="89" t="s">
        <v>8</v>
      </c>
      <c r="F2255" s="89" t="s">
        <v>22</v>
      </c>
      <c r="G2255" s="84"/>
      <c r="H2255" s="84"/>
      <c r="I2255" s="1" t="str">
        <f t="shared" si="106"/>
        <v/>
      </c>
      <c r="J2255" s="1" t="str">
        <f t="shared" si="105"/>
        <v/>
      </c>
      <c r="K2255" s="1">
        <f t="shared" si="107"/>
        <v>0</v>
      </c>
    </row>
    <row r="2256" spans="4:11">
      <c r="D2256" s="106" t="s">
        <v>512</v>
      </c>
      <c r="E2256" s="87"/>
      <c r="F2256" s="87"/>
      <c r="G2256" s="84">
        <v>4</v>
      </c>
      <c r="H2256" s="84">
        <v>3</v>
      </c>
      <c r="I2256" s="1">
        <f t="shared" si="106"/>
        <v>1</v>
      </c>
      <c r="J2256" s="1">
        <f t="shared" si="105"/>
        <v>-0.24882105680957523</v>
      </c>
      <c r="K2256" s="1">
        <f t="shared" si="107"/>
        <v>1.5595540319309844</v>
      </c>
    </row>
    <row r="2257" spans="4:11" ht="15.75" thickBot="1">
      <c r="D2257" s="107"/>
      <c r="E2257" s="88" t="s">
        <v>21</v>
      </c>
      <c r="F2257" s="88" t="s">
        <v>3</v>
      </c>
      <c r="G2257" s="84"/>
      <c r="H2257" s="84"/>
      <c r="I2257" s="1" t="str">
        <f t="shared" si="106"/>
        <v/>
      </c>
      <c r="J2257" s="1" t="str">
        <f t="shared" si="105"/>
        <v/>
      </c>
      <c r="K2257" s="1">
        <f t="shared" si="107"/>
        <v>0</v>
      </c>
    </row>
    <row r="2258" spans="4:11">
      <c r="D2258" s="108" t="s">
        <v>513</v>
      </c>
      <c r="E2258" s="86"/>
      <c r="F2258" s="86"/>
      <c r="G2258" s="84">
        <v>5</v>
      </c>
      <c r="H2258" s="84">
        <v>2</v>
      </c>
      <c r="I2258" s="1">
        <f t="shared" si="106"/>
        <v>3</v>
      </c>
      <c r="J2258" s="1">
        <f t="shared" si="105"/>
        <v>-0.1011382423413778</v>
      </c>
      <c r="K2258" s="1">
        <f t="shared" si="107"/>
        <v>9.6170583981121709</v>
      </c>
    </row>
    <row r="2259" spans="4:11" ht="15.75" thickBot="1">
      <c r="D2259" s="109"/>
      <c r="E2259" s="89" t="s">
        <v>12</v>
      </c>
      <c r="F2259" s="89" t="s">
        <v>16</v>
      </c>
      <c r="G2259" s="84"/>
      <c r="H2259" s="84"/>
      <c r="I2259" s="1" t="str">
        <f t="shared" si="106"/>
        <v/>
      </c>
      <c r="J2259" s="1" t="str">
        <f t="shared" si="105"/>
        <v/>
      </c>
      <c r="K2259" s="1">
        <f t="shared" si="107"/>
        <v>0</v>
      </c>
    </row>
    <row r="2260" spans="4:11">
      <c r="D2260" s="106" t="s">
        <v>513</v>
      </c>
      <c r="E2260" s="87"/>
      <c r="F2260" s="87"/>
      <c r="G2260" s="84">
        <v>4</v>
      </c>
      <c r="H2260" s="84">
        <v>2</v>
      </c>
      <c r="I2260" s="1">
        <f t="shared" si="106"/>
        <v>2</v>
      </c>
      <c r="J2260" s="1">
        <f t="shared" si="105"/>
        <v>-0.41883771321120378</v>
      </c>
      <c r="K2260" s="1">
        <f t="shared" si="107"/>
        <v>5.8507758828528056</v>
      </c>
    </row>
    <row r="2261" spans="4:11" ht="15.75" thickBot="1">
      <c r="D2261" s="107"/>
      <c r="E2261" s="88" t="s">
        <v>14</v>
      </c>
      <c r="F2261" s="88" t="s">
        <v>18</v>
      </c>
      <c r="G2261" s="84"/>
      <c r="H2261" s="84"/>
      <c r="I2261" s="1" t="str">
        <f t="shared" si="106"/>
        <v/>
      </c>
      <c r="J2261" s="1" t="str">
        <f t="shared" si="105"/>
        <v/>
      </c>
      <c r="K2261" s="1">
        <f t="shared" si="107"/>
        <v>0</v>
      </c>
    </row>
    <row r="2262" spans="4:11">
      <c r="D2262" s="108" t="s">
        <v>513</v>
      </c>
      <c r="E2262" s="86"/>
      <c r="F2262" s="86"/>
      <c r="G2262" s="84">
        <v>4</v>
      </c>
      <c r="H2262" s="84">
        <v>5</v>
      </c>
      <c r="I2262" s="1">
        <f t="shared" si="106"/>
        <v>-1</v>
      </c>
      <c r="J2262" s="1">
        <f t="shared" si="105"/>
        <v>0.51868639411024731</v>
      </c>
      <c r="K2262" s="1">
        <f t="shared" si="107"/>
        <v>2.3064083636555854</v>
      </c>
    </row>
    <row r="2263" spans="4:11" ht="15.75" thickBot="1">
      <c r="D2263" s="109"/>
      <c r="E2263" s="89" t="s">
        <v>13</v>
      </c>
      <c r="F2263" s="89" t="s">
        <v>27</v>
      </c>
      <c r="G2263" s="84"/>
      <c r="H2263" s="84"/>
      <c r="I2263" s="1" t="str">
        <f t="shared" si="106"/>
        <v/>
      </c>
      <c r="J2263" s="1" t="str">
        <f t="shared" si="105"/>
        <v/>
      </c>
      <c r="K2263" s="1">
        <f t="shared" si="107"/>
        <v>0</v>
      </c>
    </row>
    <row r="2264" spans="4:11">
      <c r="D2264" s="106" t="s">
        <v>513</v>
      </c>
      <c r="E2264" s="87"/>
      <c r="F2264" s="87"/>
      <c r="G2264" s="84">
        <v>2</v>
      </c>
      <c r="H2264" s="84">
        <v>1</v>
      </c>
      <c r="I2264" s="1">
        <f t="shared" si="106"/>
        <v>1</v>
      </c>
      <c r="J2264" s="1">
        <f t="shared" si="105"/>
        <v>0.42893206971533004</v>
      </c>
      <c r="K2264" s="1">
        <f t="shared" si="107"/>
        <v>0.32611858099961666</v>
      </c>
    </row>
    <row r="2265" spans="4:11" ht="15.75" thickBot="1">
      <c r="D2265" s="107"/>
      <c r="E2265" s="88" t="s">
        <v>2</v>
      </c>
      <c r="F2265" s="88" t="s">
        <v>28</v>
      </c>
      <c r="G2265" s="84"/>
      <c r="H2265" s="84"/>
      <c r="I2265" s="1" t="str">
        <f t="shared" si="106"/>
        <v/>
      </c>
      <c r="J2265" s="1" t="str">
        <f t="shared" si="105"/>
        <v/>
      </c>
      <c r="K2265" s="1">
        <f t="shared" si="107"/>
        <v>0</v>
      </c>
    </row>
    <row r="2266" spans="4:11">
      <c r="D2266" s="108" t="s">
        <v>513</v>
      </c>
      <c r="E2266" s="86"/>
      <c r="F2266" s="86"/>
      <c r="G2266" s="84">
        <v>5</v>
      </c>
      <c r="H2266" s="84">
        <v>2</v>
      </c>
      <c r="I2266" s="1">
        <f t="shared" si="106"/>
        <v>3</v>
      </c>
      <c r="J2266" s="1">
        <f t="shared" si="105"/>
        <v>-0.12478205645953722</v>
      </c>
      <c r="K2266" s="1">
        <f t="shared" si="107"/>
        <v>9.7642629003714951</v>
      </c>
    </row>
    <row r="2267" spans="4:11" ht="15.75" thickBot="1">
      <c r="D2267" s="109"/>
      <c r="E2267" s="89" t="s">
        <v>4</v>
      </c>
      <c r="F2267" s="89" t="s">
        <v>19</v>
      </c>
      <c r="G2267" s="84"/>
      <c r="H2267" s="84"/>
      <c r="I2267" s="1" t="str">
        <f t="shared" si="106"/>
        <v/>
      </c>
      <c r="J2267" s="1" t="str">
        <f t="shared" si="105"/>
        <v/>
      </c>
      <c r="K2267" s="1">
        <f t="shared" si="107"/>
        <v>0</v>
      </c>
    </row>
    <row r="2268" spans="4:11">
      <c r="D2268" s="106" t="s">
        <v>513</v>
      </c>
      <c r="E2268" s="87"/>
      <c r="F2268" s="87"/>
      <c r="G2268" s="84">
        <v>2</v>
      </c>
      <c r="H2268" s="84">
        <v>1</v>
      </c>
      <c r="I2268" s="1">
        <f t="shared" si="106"/>
        <v>1</v>
      </c>
      <c r="J2268" s="1">
        <f t="shared" si="105"/>
        <v>-0.17106405967437865</v>
      </c>
      <c r="K2268" s="1">
        <f t="shared" si="107"/>
        <v>1.3713910318610367</v>
      </c>
    </row>
    <row r="2269" spans="4:11" ht="15.75" thickBot="1">
      <c r="D2269" s="107"/>
      <c r="E2269" s="88" t="s">
        <v>10</v>
      </c>
      <c r="F2269" s="88" t="s">
        <v>9</v>
      </c>
      <c r="G2269" s="84"/>
      <c r="H2269" s="84"/>
      <c r="I2269" s="1" t="str">
        <f t="shared" si="106"/>
        <v/>
      </c>
      <c r="J2269" s="1" t="str">
        <f t="shared" si="105"/>
        <v/>
      </c>
      <c r="K2269" s="1">
        <f t="shared" si="107"/>
        <v>0</v>
      </c>
    </row>
    <row r="2270" spans="4:11">
      <c r="D2270" s="108" t="s">
        <v>513</v>
      </c>
      <c r="E2270" s="86"/>
      <c r="F2270" s="86"/>
      <c r="G2270" s="84">
        <v>2</v>
      </c>
      <c r="H2270" s="84">
        <v>3</v>
      </c>
      <c r="I2270" s="1">
        <f t="shared" si="106"/>
        <v>-1</v>
      </c>
      <c r="J2270" s="1">
        <f t="shared" si="105"/>
        <v>-0.31225358757646404</v>
      </c>
      <c r="K2270" s="1">
        <f t="shared" si="107"/>
        <v>0.47299512780144443</v>
      </c>
    </row>
    <row r="2271" spans="4:11" ht="15.75" thickBot="1">
      <c r="D2271" s="109"/>
      <c r="E2271" s="89" t="s">
        <v>5</v>
      </c>
      <c r="F2271" s="89" t="s">
        <v>11</v>
      </c>
      <c r="G2271" s="84"/>
      <c r="H2271" s="84"/>
      <c r="I2271" s="1" t="str">
        <f t="shared" si="106"/>
        <v/>
      </c>
      <c r="J2271" s="1" t="str">
        <f t="shared" si="105"/>
        <v/>
      </c>
      <c r="K2271" s="1">
        <f t="shared" si="107"/>
        <v>0</v>
      </c>
    </row>
    <row r="2272" spans="4:11">
      <c r="D2272" s="106" t="s">
        <v>513</v>
      </c>
      <c r="E2272" s="87"/>
      <c r="F2272" s="87"/>
      <c r="G2272" s="84">
        <v>4</v>
      </c>
      <c r="H2272" s="84">
        <v>3</v>
      </c>
      <c r="I2272" s="1">
        <f t="shared" si="106"/>
        <v>1</v>
      </c>
      <c r="J2272" s="1">
        <f t="shared" si="105"/>
        <v>0.34452518328755843</v>
      </c>
      <c r="K2272" s="1">
        <f t="shared" si="107"/>
        <v>0.42964723534420884</v>
      </c>
    </row>
    <row r="2273" spans="4:11" ht="15.75" thickBot="1">
      <c r="D2273" s="107"/>
      <c r="E2273" s="88" t="s">
        <v>20</v>
      </c>
      <c r="F2273" s="88" t="s">
        <v>25</v>
      </c>
      <c r="G2273" s="84"/>
      <c r="H2273" s="84"/>
      <c r="I2273" s="1" t="str">
        <f t="shared" si="106"/>
        <v/>
      </c>
      <c r="J2273" s="1" t="str">
        <f t="shared" si="105"/>
        <v/>
      </c>
      <c r="K2273" s="1">
        <f t="shared" si="107"/>
        <v>0</v>
      </c>
    </row>
    <row r="2274" spans="4:11">
      <c r="D2274" s="108" t="s">
        <v>514</v>
      </c>
      <c r="E2274" s="86"/>
      <c r="F2274" s="86"/>
      <c r="G2274" s="84">
        <v>5</v>
      </c>
      <c r="H2274" s="84">
        <v>3</v>
      </c>
      <c r="I2274" s="1">
        <f t="shared" si="106"/>
        <v>2</v>
      </c>
      <c r="J2274" s="1">
        <f t="shared" si="105"/>
        <v>0.19634364461721532</v>
      </c>
      <c r="K2274" s="1">
        <f t="shared" si="107"/>
        <v>3.2531762483127102</v>
      </c>
    </row>
    <row r="2275" spans="4:11" ht="15.75" thickBot="1">
      <c r="D2275" s="109"/>
      <c r="E2275" s="89" t="s">
        <v>15</v>
      </c>
      <c r="F2275" s="89" t="s">
        <v>443</v>
      </c>
      <c r="G2275" s="84"/>
      <c r="H2275" s="84"/>
      <c r="I2275" s="1" t="str">
        <f t="shared" si="106"/>
        <v/>
      </c>
      <c r="J2275" s="1" t="str">
        <f t="shared" si="105"/>
        <v/>
      </c>
      <c r="K2275" s="1">
        <f t="shared" si="107"/>
        <v>0</v>
      </c>
    </row>
    <row r="2276" spans="4:11">
      <c r="D2276" s="106" t="s">
        <v>514</v>
      </c>
      <c r="E2276" s="87"/>
      <c r="F2276" s="87"/>
      <c r="G2276" s="84">
        <v>4</v>
      </c>
      <c r="H2276" s="84">
        <v>1</v>
      </c>
      <c r="I2276" s="1">
        <f t="shared" si="106"/>
        <v>3</v>
      </c>
      <c r="J2276" s="1">
        <f t="shared" si="105"/>
        <v>-0.33744438407747168</v>
      </c>
      <c r="K2276" s="1">
        <f t="shared" si="107"/>
        <v>11.138535016810254</v>
      </c>
    </row>
    <row r="2277" spans="4:11" ht="15.75" thickBot="1">
      <c r="D2277" s="107"/>
      <c r="E2277" s="88" t="s">
        <v>3</v>
      </c>
      <c r="F2277" s="88" t="s">
        <v>17</v>
      </c>
      <c r="G2277" s="84"/>
      <c r="H2277" s="84"/>
      <c r="I2277" s="1" t="str">
        <f t="shared" si="106"/>
        <v/>
      </c>
      <c r="J2277" s="1" t="str">
        <f t="shared" si="105"/>
        <v/>
      </c>
      <c r="K2277" s="1">
        <f t="shared" si="107"/>
        <v>0</v>
      </c>
    </row>
    <row r="2278" spans="4:11">
      <c r="D2278" s="108" t="s">
        <v>514</v>
      </c>
      <c r="E2278" s="86"/>
      <c r="F2278" s="86"/>
      <c r="G2278" s="84">
        <v>1</v>
      </c>
      <c r="H2278" s="84">
        <v>4</v>
      </c>
      <c r="I2278" s="1">
        <f t="shared" si="106"/>
        <v>-3</v>
      </c>
      <c r="J2278" s="1">
        <f t="shared" si="105"/>
        <v>-0.44731456567265582</v>
      </c>
      <c r="K2278" s="1">
        <f t="shared" si="107"/>
        <v>6.5162029266269821</v>
      </c>
    </row>
    <row r="2279" spans="4:11" ht="15.75" thickBot="1">
      <c r="D2279" s="109"/>
      <c r="E2279" s="89" t="s">
        <v>6</v>
      </c>
      <c r="F2279" s="89" t="s">
        <v>20</v>
      </c>
      <c r="G2279" s="84"/>
      <c r="H2279" s="84"/>
      <c r="I2279" s="1" t="str">
        <f t="shared" si="106"/>
        <v/>
      </c>
      <c r="J2279" s="1" t="str">
        <f t="shared" si="105"/>
        <v/>
      </c>
      <c r="K2279" s="1">
        <f t="shared" si="107"/>
        <v>0</v>
      </c>
    </row>
    <row r="2280" spans="4:11">
      <c r="D2280" s="106" t="s">
        <v>514</v>
      </c>
      <c r="E2280" s="87"/>
      <c r="F2280" s="87"/>
      <c r="G2280" s="84">
        <v>5</v>
      </c>
      <c r="H2280" s="84">
        <v>3</v>
      </c>
      <c r="I2280" s="1">
        <f t="shared" si="106"/>
        <v>2</v>
      </c>
      <c r="J2280" s="1">
        <f t="shared" si="105"/>
        <v>0.36035400474453638</v>
      </c>
      <c r="K2280" s="1">
        <f t="shared" si="107"/>
        <v>2.6884389897572798</v>
      </c>
    </row>
    <row r="2281" spans="4:11" ht="15.75" thickBot="1">
      <c r="D2281" s="107"/>
      <c r="E2281" s="88" t="s">
        <v>4</v>
      </c>
      <c r="F2281" s="88" t="s">
        <v>21</v>
      </c>
      <c r="G2281" s="84"/>
      <c r="H2281" s="84"/>
      <c r="I2281" s="1" t="str">
        <f t="shared" si="106"/>
        <v/>
      </c>
      <c r="J2281" s="1" t="str">
        <f t="shared" si="105"/>
        <v/>
      </c>
      <c r="K2281" s="1">
        <f t="shared" si="107"/>
        <v>0</v>
      </c>
    </row>
    <row r="2282" spans="4:11">
      <c r="D2282" s="108" t="s">
        <v>514</v>
      </c>
      <c r="E2282" s="86"/>
      <c r="F2282" s="86"/>
      <c r="G2282" s="84">
        <v>4</v>
      </c>
      <c r="H2282" s="84">
        <v>1</v>
      </c>
      <c r="I2282" s="1">
        <f t="shared" si="106"/>
        <v>3</v>
      </c>
      <c r="J2282" s="1">
        <f t="shared" si="105"/>
        <v>-0.84805902169064495</v>
      </c>
      <c r="K2282" s="1">
        <f t="shared" si="107"/>
        <v>14.807558234414763</v>
      </c>
    </row>
    <row r="2283" spans="4:11" ht="15.75" thickBot="1">
      <c r="D2283" s="109"/>
      <c r="E2283" s="89" t="s">
        <v>24</v>
      </c>
      <c r="F2283" s="89" t="s">
        <v>22</v>
      </c>
      <c r="G2283" s="84"/>
      <c r="H2283" s="84"/>
      <c r="I2283" s="1" t="str">
        <f t="shared" si="106"/>
        <v/>
      </c>
      <c r="J2283" s="1" t="str">
        <f t="shared" si="105"/>
        <v/>
      </c>
      <c r="K2283" s="1">
        <f t="shared" si="107"/>
        <v>0</v>
      </c>
    </row>
    <row r="2284" spans="4:11">
      <c r="D2284" s="106" t="s">
        <v>514</v>
      </c>
      <c r="E2284" s="87"/>
      <c r="F2284" s="87"/>
      <c r="G2284" s="84">
        <v>4</v>
      </c>
      <c r="H2284" s="84">
        <v>1</v>
      </c>
      <c r="I2284" s="1">
        <f t="shared" si="106"/>
        <v>3</v>
      </c>
      <c r="J2284" s="1">
        <f t="shared" si="105"/>
        <v>-0.82573689439544751</v>
      </c>
      <c r="K2284" s="1">
        <f t="shared" si="107"/>
        <v>14.636262785138523</v>
      </c>
    </row>
    <row r="2285" spans="4:11" ht="15.75" thickBot="1">
      <c r="D2285" s="107"/>
      <c r="E2285" s="88" t="s">
        <v>8</v>
      </c>
      <c r="F2285" s="88" t="s">
        <v>26</v>
      </c>
      <c r="G2285" s="84"/>
      <c r="H2285" s="84"/>
      <c r="I2285" s="1" t="str">
        <f t="shared" si="106"/>
        <v/>
      </c>
      <c r="J2285" s="1" t="str">
        <f t="shared" si="105"/>
        <v/>
      </c>
      <c r="K2285" s="1">
        <f t="shared" si="107"/>
        <v>0</v>
      </c>
    </row>
    <row r="2286" spans="4:11">
      <c r="D2286" s="108" t="s">
        <v>515</v>
      </c>
      <c r="E2286" s="86"/>
      <c r="F2286" s="86"/>
      <c r="G2286" s="84">
        <v>2</v>
      </c>
      <c r="H2286" s="84">
        <v>3</v>
      </c>
      <c r="I2286" s="1">
        <f t="shared" si="106"/>
        <v>-1</v>
      </c>
      <c r="J2286" s="1">
        <f t="shared" si="105"/>
        <v>-0.3228931267499604</v>
      </c>
      <c r="K2286" s="1">
        <f t="shared" si="107"/>
        <v>0.45847371780244517</v>
      </c>
    </row>
    <row r="2287" spans="4:11" ht="15.75" thickBot="1">
      <c r="D2287" s="109"/>
      <c r="E2287" s="89" t="s">
        <v>14</v>
      </c>
      <c r="F2287" s="89" t="s">
        <v>2</v>
      </c>
      <c r="G2287" s="84"/>
      <c r="H2287" s="84"/>
      <c r="I2287" s="1" t="str">
        <f t="shared" si="106"/>
        <v/>
      </c>
      <c r="J2287" s="1" t="str">
        <f t="shared" si="105"/>
        <v/>
      </c>
      <c r="K2287" s="1">
        <f t="shared" si="107"/>
        <v>0</v>
      </c>
    </row>
    <row r="2288" spans="4:11">
      <c r="D2288" s="106" t="s">
        <v>515</v>
      </c>
      <c r="E2288" s="87"/>
      <c r="F2288" s="87"/>
      <c r="G2288" s="84">
        <v>2</v>
      </c>
      <c r="H2288" s="84">
        <v>4</v>
      </c>
      <c r="I2288" s="1">
        <f t="shared" si="106"/>
        <v>-2</v>
      </c>
      <c r="J2288" s="1">
        <f t="shared" si="105"/>
        <v>-0.80645457212938254</v>
      </c>
      <c r="K2288" s="1">
        <f t="shared" si="107"/>
        <v>1.4245506883908554</v>
      </c>
    </row>
    <row r="2289" spans="4:11" ht="15.75" thickBot="1">
      <c r="D2289" s="107"/>
      <c r="E2289" s="88" t="s">
        <v>28</v>
      </c>
      <c r="F2289" s="88" t="s">
        <v>12</v>
      </c>
      <c r="G2289" s="84"/>
      <c r="H2289" s="84"/>
      <c r="I2289" s="1" t="str">
        <f t="shared" si="106"/>
        <v/>
      </c>
      <c r="J2289" s="1" t="str">
        <f t="shared" si="105"/>
        <v/>
      </c>
      <c r="K2289" s="1">
        <f t="shared" si="107"/>
        <v>0</v>
      </c>
    </row>
    <row r="2290" spans="4:11">
      <c r="D2290" s="108" t="s">
        <v>515</v>
      </c>
      <c r="E2290" s="86"/>
      <c r="F2290" s="86"/>
      <c r="G2290" s="84">
        <v>2</v>
      </c>
      <c r="H2290" s="84">
        <v>3</v>
      </c>
      <c r="I2290" s="1">
        <f t="shared" si="106"/>
        <v>-1</v>
      </c>
      <c r="J2290" s="1">
        <f t="shared" si="105"/>
        <v>-5.9257548358431222E-2</v>
      </c>
      <c r="K2290" s="1">
        <f t="shared" si="107"/>
        <v>0.88499636032058937</v>
      </c>
    </row>
    <row r="2291" spans="4:11" ht="15.75" thickBot="1">
      <c r="D2291" s="109"/>
      <c r="E2291" s="89" t="s">
        <v>9</v>
      </c>
      <c r="F2291" s="89" t="s">
        <v>7</v>
      </c>
      <c r="G2291" s="84"/>
      <c r="H2291" s="84"/>
      <c r="I2291" s="1" t="str">
        <f t="shared" si="106"/>
        <v/>
      </c>
      <c r="J2291" s="1" t="str">
        <f t="shared" si="105"/>
        <v/>
      </c>
      <c r="K2291" s="1">
        <f t="shared" si="107"/>
        <v>0</v>
      </c>
    </row>
    <row r="2292" spans="4:11">
      <c r="D2292" s="106" t="s">
        <v>515</v>
      </c>
      <c r="E2292" s="87"/>
      <c r="F2292" s="87"/>
      <c r="G2292" s="84">
        <v>1</v>
      </c>
      <c r="H2292" s="84">
        <v>3</v>
      </c>
      <c r="I2292" s="1">
        <f t="shared" si="106"/>
        <v>-2</v>
      </c>
      <c r="J2292" s="1">
        <f t="shared" si="105"/>
        <v>1.0916372467189461</v>
      </c>
      <c r="K2292" s="1">
        <f t="shared" si="107"/>
        <v>9.558220865299905</v>
      </c>
    </row>
    <row r="2293" spans="4:11" ht="15.75" thickBot="1">
      <c r="D2293" s="107"/>
      <c r="E2293" s="88" t="s">
        <v>15</v>
      </c>
      <c r="F2293" s="88" t="s">
        <v>0</v>
      </c>
      <c r="G2293" s="84"/>
      <c r="H2293" s="84"/>
      <c r="I2293" s="1" t="str">
        <f t="shared" si="106"/>
        <v/>
      </c>
      <c r="J2293" s="1" t="str">
        <f t="shared" si="105"/>
        <v/>
      </c>
      <c r="K2293" s="1">
        <f t="shared" si="107"/>
        <v>0</v>
      </c>
    </row>
    <row r="2294" spans="4:11">
      <c r="D2294" s="108" t="s">
        <v>515</v>
      </c>
      <c r="E2294" s="86"/>
      <c r="F2294" s="86"/>
      <c r="G2294" s="84">
        <v>2</v>
      </c>
      <c r="H2294" s="84">
        <v>1</v>
      </c>
      <c r="I2294" s="1">
        <f t="shared" si="106"/>
        <v>1</v>
      </c>
      <c r="J2294" s="1">
        <f t="shared" si="105"/>
        <v>3.1963483085490907E-2</v>
      </c>
      <c r="K2294" s="1">
        <f t="shared" si="107"/>
        <v>0.9370946980799747</v>
      </c>
    </row>
    <row r="2295" spans="4:11" ht="15.75" thickBot="1">
      <c r="D2295" s="109"/>
      <c r="E2295" s="89" t="s">
        <v>18</v>
      </c>
      <c r="F2295" s="89" t="s">
        <v>13</v>
      </c>
      <c r="G2295" s="84"/>
      <c r="H2295" s="84"/>
      <c r="I2295" s="1" t="str">
        <f t="shared" si="106"/>
        <v/>
      </c>
      <c r="J2295" s="1" t="str">
        <f t="shared" si="105"/>
        <v/>
      </c>
      <c r="K2295" s="1">
        <f t="shared" si="107"/>
        <v>0</v>
      </c>
    </row>
    <row r="2296" spans="4:11">
      <c r="D2296" s="106" t="s">
        <v>515</v>
      </c>
      <c r="E2296" s="87"/>
      <c r="F2296" s="87"/>
      <c r="G2296" s="84">
        <v>5</v>
      </c>
      <c r="H2296" s="84">
        <v>4</v>
      </c>
      <c r="I2296" s="1">
        <f t="shared" si="106"/>
        <v>1</v>
      </c>
      <c r="J2296" s="1">
        <f t="shared" si="105"/>
        <v>-0.23631500439449837</v>
      </c>
      <c r="K2296" s="1">
        <f t="shared" si="107"/>
        <v>1.5284747900909685</v>
      </c>
    </row>
    <row r="2297" spans="4:11" ht="15.75" thickBot="1">
      <c r="D2297" s="107"/>
      <c r="E2297" s="88" t="s">
        <v>3</v>
      </c>
      <c r="F2297" s="88" t="s">
        <v>19</v>
      </c>
      <c r="G2297" s="84"/>
      <c r="H2297" s="84"/>
      <c r="I2297" s="1" t="str">
        <f t="shared" si="106"/>
        <v/>
      </c>
      <c r="J2297" s="1" t="str">
        <f t="shared" si="105"/>
        <v/>
      </c>
      <c r="K2297" s="1">
        <f t="shared" si="107"/>
        <v>0</v>
      </c>
    </row>
    <row r="2298" spans="4:11">
      <c r="D2298" s="108" t="s">
        <v>515</v>
      </c>
      <c r="E2298" s="86"/>
      <c r="F2298" s="86"/>
      <c r="G2298" s="84">
        <v>3</v>
      </c>
      <c r="H2298" s="84">
        <v>2</v>
      </c>
      <c r="I2298" s="1">
        <f t="shared" si="106"/>
        <v>1</v>
      </c>
      <c r="J2298" s="1">
        <f t="shared" si="105"/>
        <v>0.3375508919623087</v>
      </c>
      <c r="K2298" s="1">
        <f t="shared" si="107"/>
        <v>0.4388388207399328</v>
      </c>
    </row>
    <row r="2299" spans="4:11">
      <c r="D2299" s="110"/>
      <c r="E2299" s="90" t="s">
        <v>16</v>
      </c>
      <c r="F2299" s="90" t="s">
        <v>25</v>
      </c>
      <c r="G2299" s="84"/>
      <c r="H2299" s="84"/>
      <c r="I2299" s="1" t="str">
        <f t="shared" si="106"/>
        <v/>
      </c>
      <c r="J2299" s="1" t="str">
        <f t="shared" si="105"/>
        <v/>
      </c>
      <c r="K2299" s="1">
        <f t="shared" si="107"/>
        <v>0</v>
      </c>
    </row>
  </sheetData>
  <sortState ref="A2:B31">
    <sortCondition ref="A2"/>
  </sortState>
  <mergeCells count="216">
    <mergeCell ref="D1880:D1881"/>
    <mergeCell ref="D1882:D1883"/>
    <mergeCell ref="D1884:D1885"/>
    <mergeCell ref="D1886:D1887"/>
    <mergeCell ref="D1888:D1889"/>
    <mergeCell ref="D1890:D1891"/>
    <mergeCell ref="D1868:D1869"/>
    <mergeCell ref="D1870:D1871"/>
    <mergeCell ref="D1872:D1873"/>
    <mergeCell ref="D1874:D1875"/>
    <mergeCell ref="D1876:D1877"/>
    <mergeCell ref="D1878:D1879"/>
    <mergeCell ref="D1904:D1905"/>
    <mergeCell ref="D1906:D1907"/>
    <mergeCell ref="D1908:D1909"/>
    <mergeCell ref="D1910:D1911"/>
    <mergeCell ref="D1912:D1913"/>
    <mergeCell ref="D1914:D1915"/>
    <mergeCell ref="D1892:D1893"/>
    <mergeCell ref="D1894:D1895"/>
    <mergeCell ref="D1896:D1897"/>
    <mergeCell ref="D1898:D1899"/>
    <mergeCell ref="D1900:D1901"/>
    <mergeCell ref="D1902:D1903"/>
    <mergeCell ref="D1928:D1929"/>
    <mergeCell ref="D1930:D1931"/>
    <mergeCell ref="D1932:D1933"/>
    <mergeCell ref="D1934:D1935"/>
    <mergeCell ref="D1936:D1937"/>
    <mergeCell ref="D1938:D1939"/>
    <mergeCell ref="D1916:D1917"/>
    <mergeCell ref="D1918:D1919"/>
    <mergeCell ref="D1920:D1921"/>
    <mergeCell ref="D1922:D1923"/>
    <mergeCell ref="D1924:D1925"/>
    <mergeCell ref="D1926:D1927"/>
    <mergeCell ref="D1952:D1953"/>
    <mergeCell ref="D1954:D1955"/>
    <mergeCell ref="D1956:D1957"/>
    <mergeCell ref="D1958:D1959"/>
    <mergeCell ref="D1960:D1961"/>
    <mergeCell ref="D1962:D1963"/>
    <mergeCell ref="D1940:D1941"/>
    <mergeCell ref="D1942:D1943"/>
    <mergeCell ref="D1944:D1945"/>
    <mergeCell ref="D1946:D1947"/>
    <mergeCell ref="D1948:D1949"/>
    <mergeCell ref="D1950:D1951"/>
    <mergeCell ref="D1976:D1977"/>
    <mergeCell ref="D1978:D1979"/>
    <mergeCell ref="D1980:D1981"/>
    <mergeCell ref="D1982:D1983"/>
    <mergeCell ref="D1984:D1985"/>
    <mergeCell ref="D1986:D1987"/>
    <mergeCell ref="D1964:D1965"/>
    <mergeCell ref="D1966:D1967"/>
    <mergeCell ref="D1968:D1969"/>
    <mergeCell ref="D1970:D1971"/>
    <mergeCell ref="D1972:D1973"/>
    <mergeCell ref="D1974:D1975"/>
    <mergeCell ref="D2000:D2001"/>
    <mergeCell ref="D2002:D2003"/>
    <mergeCell ref="D2004:D2005"/>
    <mergeCell ref="D2006:D2007"/>
    <mergeCell ref="D2008:D2009"/>
    <mergeCell ref="D2010:D2011"/>
    <mergeCell ref="D1988:D1989"/>
    <mergeCell ref="D1990:D1991"/>
    <mergeCell ref="D1992:D1993"/>
    <mergeCell ref="D1994:D1995"/>
    <mergeCell ref="D1996:D1997"/>
    <mergeCell ref="D1998:D1999"/>
    <mergeCell ref="D2024:D2025"/>
    <mergeCell ref="D2026:D2027"/>
    <mergeCell ref="D2028:D2029"/>
    <mergeCell ref="D2030:D2031"/>
    <mergeCell ref="D2032:D2033"/>
    <mergeCell ref="D2034:D2035"/>
    <mergeCell ref="D2012:D2013"/>
    <mergeCell ref="D2014:D2015"/>
    <mergeCell ref="D2016:D2017"/>
    <mergeCell ref="D2018:D2019"/>
    <mergeCell ref="D2020:D2021"/>
    <mergeCell ref="D2022:D2023"/>
    <mergeCell ref="D2048:D2049"/>
    <mergeCell ref="D2050:D2051"/>
    <mergeCell ref="D2052:D2053"/>
    <mergeCell ref="D2054:D2055"/>
    <mergeCell ref="D2056:D2057"/>
    <mergeCell ref="D2058:D2059"/>
    <mergeCell ref="D2036:D2037"/>
    <mergeCell ref="D2038:D2039"/>
    <mergeCell ref="D2040:D2041"/>
    <mergeCell ref="D2042:D2043"/>
    <mergeCell ref="D2044:D2045"/>
    <mergeCell ref="D2046:D2047"/>
    <mergeCell ref="D2072:D2073"/>
    <mergeCell ref="D2074:D2075"/>
    <mergeCell ref="D2076:D2077"/>
    <mergeCell ref="D2078:D2079"/>
    <mergeCell ref="D2080:D2081"/>
    <mergeCell ref="D2082:D2083"/>
    <mergeCell ref="D2060:D2061"/>
    <mergeCell ref="D2062:D2063"/>
    <mergeCell ref="D2064:D2065"/>
    <mergeCell ref="D2066:D2067"/>
    <mergeCell ref="D2068:D2069"/>
    <mergeCell ref="D2070:D2071"/>
    <mergeCell ref="D2096:D2097"/>
    <mergeCell ref="D2098:D2099"/>
    <mergeCell ref="D2100:D2101"/>
    <mergeCell ref="D2102:D2103"/>
    <mergeCell ref="D2104:D2105"/>
    <mergeCell ref="D2106:D2107"/>
    <mergeCell ref="D2084:D2085"/>
    <mergeCell ref="D2086:D2087"/>
    <mergeCell ref="D2088:D2089"/>
    <mergeCell ref="D2090:D2091"/>
    <mergeCell ref="D2092:D2093"/>
    <mergeCell ref="D2094:D2095"/>
    <mergeCell ref="D2120:D2121"/>
    <mergeCell ref="D2122:D2123"/>
    <mergeCell ref="D2124:D2125"/>
    <mergeCell ref="D2126:D2127"/>
    <mergeCell ref="D2128:D2129"/>
    <mergeCell ref="D2130:D2131"/>
    <mergeCell ref="D2108:D2109"/>
    <mergeCell ref="D2110:D2111"/>
    <mergeCell ref="D2112:D2113"/>
    <mergeCell ref="D2114:D2115"/>
    <mergeCell ref="D2116:D2117"/>
    <mergeCell ref="D2118:D2119"/>
    <mergeCell ref="D2144:D2145"/>
    <mergeCell ref="D2146:D2147"/>
    <mergeCell ref="D2148:D2149"/>
    <mergeCell ref="D2150:D2151"/>
    <mergeCell ref="D2152:D2153"/>
    <mergeCell ref="D2154:D2155"/>
    <mergeCell ref="D2132:D2133"/>
    <mergeCell ref="D2134:D2135"/>
    <mergeCell ref="D2136:D2137"/>
    <mergeCell ref="D2138:D2139"/>
    <mergeCell ref="D2140:D2141"/>
    <mergeCell ref="D2142:D2143"/>
    <mergeCell ref="D2168:D2169"/>
    <mergeCell ref="D2170:D2171"/>
    <mergeCell ref="D2172:D2173"/>
    <mergeCell ref="D2174:D2175"/>
    <mergeCell ref="D2176:D2177"/>
    <mergeCell ref="D2178:D2179"/>
    <mergeCell ref="D2156:D2157"/>
    <mergeCell ref="D2158:D2159"/>
    <mergeCell ref="D2160:D2161"/>
    <mergeCell ref="D2162:D2163"/>
    <mergeCell ref="D2164:D2165"/>
    <mergeCell ref="D2166:D2167"/>
    <mergeCell ref="D2192:D2193"/>
    <mergeCell ref="D2194:D2195"/>
    <mergeCell ref="D2196:D2197"/>
    <mergeCell ref="D2198:D2199"/>
    <mergeCell ref="D2200:D2201"/>
    <mergeCell ref="D2202:D2203"/>
    <mergeCell ref="D2180:D2181"/>
    <mergeCell ref="D2182:D2183"/>
    <mergeCell ref="D2184:D2185"/>
    <mergeCell ref="D2186:D2187"/>
    <mergeCell ref="D2188:D2189"/>
    <mergeCell ref="D2190:D2191"/>
    <mergeCell ref="D2216:D2217"/>
    <mergeCell ref="D2218:D2219"/>
    <mergeCell ref="D2220:D2221"/>
    <mergeCell ref="D2222:D2223"/>
    <mergeCell ref="D2224:D2225"/>
    <mergeCell ref="D2226:D2227"/>
    <mergeCell ref="D2204:D2205"/>
    <mergeCell ref="D2206:D2207"/>
    <mergeCell ref="D2208:D2209"/>
    <mergeCell ref="D2210:D2211"/>
    <mergeCell ref="D2212:D2213"/>
    <mergeCell ref="D2214:D2215"/>
    <mergeCell ref="D2240:D2241"/>
    <mergeCell ref="D2242:D2243"/>
    <mergeCell ref="D2244:D2245"/>
    <mergeCell ref="D2246:D2247"/>
    <mergeCell ref="D2248:D2249"/>
    <mergeCell ref="D2250:D2251"/>
    <mergeCell ref="D2228:D2229"/>
    <mergeCell ref="D2230:D2231"/>
    <mergeCell ref="D2232:D2233"/>
    <mergeCell ref="D2234:D2235"/>
    <mergeCell ref="D2236:D2237"/>
    <mergeCell ref="D2238:D2239"/>
    <mergeCell ref="D2264:D2265"/>
    <mergeCell ref="D2266:D2267"/>
    <mergeCell ref="D2268:D2269"/>
    <mergeCell ref="D2270:D2271"/>
    <mergeCell ref="D2272:D2273"/>
    <mergeCell ref="D2274:D2275"/>
    <mergeCell ref="D2252:D2253"/>
    <mergeCell ref="D2254:D2255"/>
    <mergeCell ref="D2256:D2257"/>
    <mergeCell ref="D2258:D2259"/>
    <mergeCell ref="D2260:D2261"/>
    <mergeCell ref="D2262:D2263"/>
    <mergeCell ref="D2288:D2289"/>
    <mergeCell ref="D2290:D2291"/>
    <mergeCell ref="D2292:D2293"/>
    <mergeCell ref="D2294:D2295"/>
    <mergeCell ref="D2296:D2297"/>
    <mergeCell ref="D2298:D2299"/>
    <mergeCell ref="D2276:D2277"/>
    <mergeCell ref="D2278:D2279"/>
    <mergeCell ref="D2280:D2281"/>
    <mergeCell ref="D2282:D2283"/>
    <mergeCell ref="D2284:D2285"/>
    <mergeCell ref="D2286:D2287"/>
  </mergeCells>
  <hyperlinks>
    <hyperlink ref="E3" r:id="rId1" display="javascript:void(0);"/>
    <hyperlink ref="F3" r:id="rId2" display="javascript:void(0);"/>
    <hyperlink ref="E5" r:id="rId3" display="javascript:void(0);"/>
    <hyperlink ref="F5" r:id="rId4" display="javascript:void(0);"/>
    <hyperlink ref="E7" r:id="rId5" display="javascript:void(0);"/>
    <hyperlink ref="F7" r:id="rId6" display="javascript:void(0);"/>
    <hyperlink ref="E9" r:id="rId7" display="javascript:void(0);"/>
    <hyperlink ref="F9" r:id="rId8" display="javascript:void(0);"/>
    <hyperlink ref="E11" r:id="rId9" display="javascript:void(0);"/>
    <hyperlink ref="F11" r:id="rId10" display="javascript:void(0);"/>
    <hyperlink ref="E13" r:id="rId11" display="javascript:void(0);"/>
    <hyperlink ref="F13" r:id="rId12" display="javascript:void(0);"/>
    <hyperlink ref="E15" r:id="rId13" display="javascript:void(0);"/>
    <hyperlink ref="F15" r:id="rId14" display="javascript:void(0);"/>
    <hyperlink ref="E17" r:id="rId15" display="javascript:void(0);"/>
    <hyperlink ref="F17" r:id="rId16" display="javascript:void(0);"/>
    <hyperlink ref="E19" r:id="rId17" display="javascript:void(0);"/>
    <hyperlink ref="F19" r:id="rId18" display="javascript:void(0);"/>
    <hyperlink ref="E21" r:id="rId19" display="javascript:void(0);"/>
    <hyperlink ref="F21" r:id="rId20" display="javascript:void(0);"/>
    <hyperlink ref="E23" r:id="rId21" display="javascript:void(0);"/>
    <hyperlink ref="F23" r:id="rId22" display="javascript:void(0);"/>
    <hyperlink ref="E25" r:id="rId23" display="javascript:void(0);"/>
    <hyperlink ref="F25" r:id="rId24" display="javascript:void(0);"/>
    <hyperlink ref="E27" r:id="rId25" display="javascript:void(0);"/>
    <hyperlink ref="F27" r:id="rId26" display="javascript:void(0);"/>
    <hyperlink ref="E29" r:id="rId27" display="javascript:void(0);"/>
    <hyperlink ref="F29" r:id="rId28" display="javascript:void(0);"/>
    <hyperlink ref="E31" r:id="rId29" display="javascript:void(0);"/>
    <hyperlink ref="F31" r:id="rId30" display="javascript:void(0);"/>
    <hyperlink ref="E33" r:id="rId31" display="javascript:void(0);"/>
    <hyperlink ref="F33" r:id="rId32" display="javascript:void(0);"/>
    <hyperlink ref="E35" r:id="rId33" display="javascript:void(0);"/>
    <hyperlink ref="F35" r:id="rId34" display="javascript:void(0);"/>
    <hyperlink ref="E37" r:id="rId35" display="javascript:void(0);"/>
    <hyperlink ref="F37" r:id="rId36" display="javascript:void(0);"/>
    <hyperlink ref="E39" r:id="rId37" display="javascript:void(0);"/>
    <hyperlink ref="F39" r:id="rId38" display="javascript:void(0);"/>
    <hyperlink ref="E41" r:id="rId39" display="javascript:void(0);"/>
    <hyperlink ref="F41" r:id="rId40" display="javascript:void(0);"/>
    <hyperlink ref="E43" r:id="rId41" display="javascript:void(0);"/>
    <hyperlink ref="F43" r:id="rId42" display="javascript:void(0);"/>
    <hyperlink ref="E45" r:id="rId43" display="javascript:void(0);"/>
    <hyperlink ref="F45" r:id="rId44" display="javascript:void(0);"/>
    <hyperlink ref="E47" r:id="rId45" display="javascript:void(0);"/>
    <hyperlink ref="F47" r:id="rId46" display="javascript:void(0);"/>
    <hyperlink ref="E49" r:id="rId47" display="javascript:void(0);"/>
    <hyperlink ref="F49" r:id="rId48" display="javascript:void(0);"/>
    <hyperlink ref="E51" r:id="rId49" display="javascript:void(0);"/>
    <hyperlink ref="F51" r:id="rId50" display="javascript:void(0);"/>
    <hyperlink ref="E53" r:id="rId51" display="javascript:void(0);"/>
    <hyperlink ref="F53" r:id="rId52" display="javascript:void(0);"/>
    <hyperlink ref="E55" r:id="rId53" display="javascript:void(0);"/>
    <hyperlink ref="F55" r:id="rId54" display="javascript:void(0);"/>
    <hyperlink ref="E57" r:id="rId55" display="javascript:void(0);"/>
    <hyperlink ref="F57" r:id="rId56" display="javascript:void(0);"/>
    <hyperlink ref="E59" r:id="rId57" display="javascript:void(0);"/>
    <hyperlink ref="F59" r:id="rId58" display="javascript:void(0);"/>
    <hyperlink ref="E61" r:id="rId59" display="javascript:void(0);"/>
    <hyperlink ref="F61" r:id="rId60" display="javascript:void(0);"/>
    <hyperlink ref="E63" r:id="rId61" display="javascript:void(0);"/>
    <hyperlink ref="F63" r:id="rId62" display="javascript:void(0);"/>
    <hyperlink ref="E65" r:id="rId63" display="javascript:void(0);"/>
    <hyperlink ref="F65" r:id="rId64" display="javascript:void(0);"/>
    <hyperlink ref="E67" r:id="rId65" display="javascript:void(0);"/>
    <hyperlink ref="F67" r:id="rId66" display="javascript:void(0);"/>
    <hyperlink ref="E69" r:id="rId67" display="javascript:void(0);"/>
    <hyperlink ref="F69" r:id="rId68" display="javascript:void(0);"/>
    <hyperlink ref="E71" r:id="rId69" display="javascript:void(0);"/>
    <hyperlink ref="F71" r:id="rId70" display="javascript:void(0);"/>
    <hyperlink ref="E73" r:id="rId71" display="javascript:void(0);"/>
    <hyperlink ref="F73" r:id="rId72" display="javascript:void(0);"/>
    <hyperlink ref="E75" r:id="rId73" display="javascript:void(0);"/>
    <hyperlink ref="F75" r:id="rId74" display="javascript:void(0);"/>
    <hyperlink ref="E77" r:id="rId75" display="javascript:void(0);"/>
    <hyperlink ref="F77" r:id="rId76" display="javascript:void(0);"/>
    <hyperlink ref="E79" r:id="rId77" display="javascript:void(0);"/>
    <hyperlink ref="F79" r:id="rId78" display="javascript:void(0);"/>
    <hyperlink ref="E81" r:id="rId79" display="javascript:void(0);"/>
    <hyperlink ref="F81" r:id="rId80" display="javascript:void(0);"/>
    <hyperlink ref="E83" r:id="rId81" display="javascript:void(0);"/>
    <hyperlink ref="F83" r:id="rId82" display="javascript:void(0);"/>
    <hyperlink ref="E85" r:id="rId83" display="javascript:void(0);"/>
    <hyperlink ref="F85" r:id="rId84" display="javascript:void(0);"/>
    <hyperlink ref="E87" r:id="rId85" display="javascript:void(0);"/>
    <hyperlink ref="F87" r:id="rId86" display="javascript:void(0);"/>
    <hyperlink ref="E89" r:id="rId87" display="javascript:void(0);"/>
    <hyperlink ref="F89" r:id="rId88" display="javascript:void(0);"/>
    <hyperlink ref="E91" r:id="rId89" display="javascript:void(0);"/>
    <hyperlink ref="F91" r:id="rId90" display="javascript:void(0);"/>
    <hyperlink ref="E93" r:id="rId91" display="javascript:void(0);"/>
    <hyperlink ref="F93" r:id="rId92" display="javascript:void(0);"/>
    <hyperlink ref="E95" r:id="rId93" display="javascript:void(0);"/>
    <hyperlink ref="F95" r:id="rId94" display="javascript:void(0);"/>
    <hyperlink ref="E97" r:id="rId95" display="javascript:void(0);"/>
    <hyperlink ref="F97" r:id="rId96" display="javascript:void(0);"/>
    <hyperlink ref="E99" r:id="rId97" display="javascript:void(0);"/>
    <hyperlink ref="F99" r:id="rId98" display="javascript:void(0);"/>
    <hyperlink ref="E101" r:id="rId99" display="javascript:void(0);"/>
    <hyperlink ref="F101" r:id="rId100" display="javascript:void(0);"/>
    <hyperlink ref="E103" r:id="rId101" display="javascript:void(0);"/>
    <hyperlink ref="F103" r:id="rId102" display="javascript:void(0);"/>
    <hyperlink ref="E105" r:id="rId103" display="javascript:void(0);"/>
    <hyperlink ref="F105" r:id="rId104" display="javascript:void(0);"/>
    <hyperlink ref="E107" r:id="rId105" display="javascript:void(0);"/>
    <hyperlink ref="F107" r:id="rId106" display="javascript:void(0);"/>
    <hyperlink ref="E109" r:id="rId107" display="javascript:void(0);"/>
    <hyperlink ref="F109" r:id="rId108" display="javascript:void(0);"/>
    <hyperlink ref="E111" r:id="rId109" display="javascript:void(0);"/>
    <hyperlink ref="F111" r:id="rId110" display="javascript:void(0);"/>
    <hyperlink ref="E113" r:id="rId111" display="javascript:void(0);"/>
    <hyperlink ref="F113" r:id="rId112" display="javascript:void(0);"/>
    <hyperlink ref="E115" r:id="rId113" display="javascript:void(0);"/>
    <hyperlink ref="F115" r:id="rId114" display="javascript:void(0);"/>
    <hyperlink ref="E117" r:id="rId115" display="javascript:void(0);"/>
    <hyperlink ref="F117" r:id="rId116" display="javascript:void(0);"/>
    <hyperlink ref="E119" r:id="rId117" display="javascript:void(0);"/>
    <hyperlink ref="F119" r:id="rId118" display="javascript:void(0);"/>
    <hyperlink ref="E121" r:id="rId119" display="javascript:void(0);"/>
    <hyperlink ref="F121" r:id="rId120" display="javascript:void(0);"/>
    <hyperlink ref="E123" r:id="rId121" display="javascript:void(0);"/>
    <hyperlink ref="F123" r:id="rId122" display="javascript:void(0);"/>
    <hyperlink ref="E125" r:id="rId123" display="javascript:void(0);"/>
    <hyperlink ref="F125" r:id="rId124" display="javascript:void(0);"/>
    <hyperlink ref="E127" r:id="rId125" display="javascript:void(0);"/>
    <hyperlink ref="F127" r:id="rId126" display="javascript:void(0);"/>
    <hyperlink ref="E129" r:id="rId127" display="javascript:void(0);"/>
    <hyperlink ref="F129" r:id="rId128" display="javascript:void(0);"/>
    <hyperlink ref="E131" r:id="rId129" display="javascript:void(0);"/>
    <hyperlink ref="F131" r:id="rId130" display="javascript:void(0);"/>
    <hyperlink ref="E133" r:id="rId131" display="javascript:void(0);"/>
    <hyperlink ref="F133" r:id="rId132" display="javascript:void(0);"/>
    <hyperlink ref="E135" r:id="rId133" display="javascript:void(0);"/>
    <hyperlink ref="F135" r:id="rId134" display="javascript:void(0);"/>
    <hyperlink ref="E137" r:id="rId135" display="javascript:void(0);"/>
    <hyperlink ref="F137" r:id="rId136" display="javascript:void(0);"/>
    <hyperlink ref="E139" r:id="rId137" display="javascript:void(0);"/>
    <hyperlink ref="F139" r:id="rId138" display="javascript:void(0);"/>
    <hyperlink ref="E141" r:id="rId139" display="javascript:void(0);"/>
    <hyperlink ref="F141" r:id="rId140" display="javascript:void(0);"/>
    <hyperlink ref="E143" r:id="rId141" display="javascript:void(0);"/>
    <hyperlink ref="F143" r:id="rId142" display="javascript:void(0);"/>
    <hyperlink ref="E145" r:id="rId143" display="javascript:void(0);"/>
    <hyperlink ref="F145" r:id="rId144" display="javascript:void(0);"/>
    <hyperlink ref="E147" r:id="rId145" display="javascript:void(0);"/>
    <hyperlink ref="F147" r:id="rId146" display="javascript:void(0);"/>
    <hyperlink ref="E149" r:id="rId147" display="javascript:void(0);"/>
    <hyperlink ref="F149" r:id="rId148" display="javascript:void(0);"/>
    <hyperlink ref="E151" r:id="rId149" display="javascript:void(0);"/>
    <hyperlink ref="F151" r:id="rId150" display="javascript:void(0);"/>
    <hyperlink ref="E153" r:id="rId151" display="javascript:void(0);"/>
    <hyperlink ref="F153" r:id="rId152" display="javascript:void(0);"/>
    <hyperlink ref="E155" r:id="rId153" display="javascript:void(0);"/>
    <hyperlink ref="F155" r:id="rId154" display="javascript:void(0);"/>
    <hyperlink ref="E157" r:id="rId155" display="javascript:void(0);"/>
    <hyperlink ref="F157" r:id="rId156" display="javascript:void(0);"/>
    <hyperlink ref="E159" r:id="rId157" display="javascript:void(0);"/>
    <hyperlink ref="F159" r:id="rId158" display="javascript:void(0);"/>
    <hyperlink ref="E161" r:id="rId159" display="javascript:void(0);"/>
    <hyperlink ref="F161" r:id="rId160" display="javascript:void(0);"/>
    <hyperlink ref="E163" r:id="rId161" display="javascript:void(0);"/>
    <hyperlink ref="F163" r:id="rId162" display="javascript:void(0);"/>
    <hyperlink ref="E165" r:id="rId163" display="javascript:void(0);"/>
    <hyperlink ref="F165" r:id="rId164" display="javascript:void(0);"/>
    <hyperlink ref="E167" r:id="rId165" display="javascript:void(0);"/>
    <hyperlink ref="F167" r:id="rId166" display="javascript:void(0);"/>
    <hyperlink ref="E169" r:id="rId167" display="javascript:void(0);"/>
    <hyperlink ref="F169" r:id="rId168" display="javascript:void(0);"/>
    <hyperlink ref="E171" r:id="rId169" display="javascript:void(0);"/>
    <hyperlink ref="F171" r:id="rId170" display="javascript:void(0);"/>
    <hyperlink ref="E173" r:id="rId171" display="javascript:void(0);"/>
    <hyperlink ref="F173" r:id="rId172" display="javascript:void(0);"/>
    <hyperlink ref="E175" r:id="rId173" display="javascript:void(0);"/>
    <hyperlink ref="F175" r:id="rId174" display="javascript:void(0);"/>
    <hyperlink ref="E177" r:id="rId175" display="javascript:void(0);"/>
    <hyperlink ref="F177" r:id="rId176" display="javascript:void(0);"/>
    <hyperlink ref="E179" r:id="rId177" display="javascript:void(0);"/>
    <hyperlink ref="F179" r:id="rId178" display="javascript:void(0);"/>
    <hyperlink ref="E181" r:id="rId179" display="javascript:void(0);"/>
    <hyperlink ref="F181" r:id="rId180" display="javascript:void(0);"/>
    <hyperlink ref="E183" r:id="rId181" display="javascript:void(0);"/>
    <hyperlink ref="F183" r:id="rId182" display="javascript:void(0);"/>
    <hyperlink ref="E185" r:id="rId183" display="javascript:void(0);"/>
    <hyperlink ref="F185" r:id="rId184" display="javascript:void(0);"/>
    <hyperlink ref="E187" r:id="rId185" display="javascript:void(0);"/>
    <hyperlink ref="F187" r:id="rId186" display="javascript:void(0);"/>
    <hyperlink ref="E189" r:id="rId187" display="javascript:void(0);"/>
    <hyperlink ref="F189" r:id="rId188" display="javascript:void(0);"/>
    <hyperlink ref="E191" r:id="rId189" display="javascript:void(0);"/>
    <hyperlink ref="F191" r:id="rId190" display="javascript:void(0);"/>
    <hyperlink ref="E193" r:id="rId191" display="javascript:void(0);"/>
    <hyperlink ref="F193" r:id="rId192" display="javascript:void(0);"/>
    <hyperlink ref="E195" r:id="rId193" display="javascript:void(0);"/>
    <hyperlink ref="F195" r:id="rId194" display="javascript:void(0);"/>
    <hyperlink ref="E197" r:id="rId195" display="javascript:void(0);"/>
    <hyperlink ref="F197" r:id="rId196" display="javascript:void(0);"/>
    <hyperlink ref="E199" r:id="rId197" display="javascript:void(0);"/>
    <hyperlink ref="F199" r:id="rId198" display="javascript:void(0);"/>
    <hyperlink ref="E201" r:id="rId199" display="javascript:void(0);"/>
    <hyperlink ref="F201" r:id="rId200" display="javascript:void(0);"/>
    <hyperlink ref="E203" r:id="rId201" display="javascript:void(0);"/>
    <hyperlink ref="F203" r:id="rId202" display="javascript:void(0);"/>
    <hyperlink ref="E205" r:id="rId203" display="javascript:void(0);"/>
    <hyperlink ref="F205" r:id="rId204" display="javascript:void(0);"/>
    <hyperlink ref="E207" r:id="rId205" display="javascript:void(0);"/>
    <hyperlink ref="F207" r:id="rId206" display="javascript:void(0);"/>
    <hyperlink ref="E209" r:id="rId207" display="javascript:void(0);"/>
    <hyperlink ref="F209" r:id="rId208" display="javascript:void(0);"/>
    <hyperlink ref="E211" r:id="rId209" display="javascript:void(0);"/>
    <hyperlink ref="F211" r:id="rId210" display="javascript:void(0);"/>
    <hyperlink ref="E213" r:id="rId211" display="javascript:void(0);"/>
    <hyperlink ref="F213" r:id="rId212" display="javascript:void(0);"/>
    <hyperlink ref="E215" r:id="rId213" display="javascript:void(0);"/>
    <hyperlink ref="F215" r:id="rId214" display="javascript:void(0);"/>
    <hyperlink ref="E217" r:id="rId215" display="javascript:void(0);"/>
    <hyperlink ref="F217" r:id="rId216" display="javascript:void(0);"/>
    <hyperlink ref="E219" r:id="rId217" display="javascript:void(0);"/>
    <hyperlink ref="F219" r:id="rId218" display="javascript:void(0);"/>
    <hyperlink ref="E221" r:id="rId219" display="javascript:void(0);"/>
    <hyperlink ref="F221" r:id="rId220" display="javascript:void(0);"/>
    <hyperlink ref="E223" r:id="rId221" display="javascript:void(0);"/>
    <hyperlink ref="F223" r:id="rId222" display="javascript:void(0);"/>
    <hyperlink ref="E225" r:id="rId223" display="javascript:void(0);"/>
    <hyperlink ref="F225" r:id="rId224" display="javascript:void(0);"/>
    <hyperlink ref="E227" r:id="rId225" display="javascript:void(0);"/>
    <hyperlink ref="F227" r:id="rId226" display="javascript:void(0);"/>
    <hyperlink ref="E229" r:id="rId227" display="javascript:void(0);"/>
    <hyperlink ref="F229" r:id="rId228" display="javascript:void(0);"/>
    <hyperlink ref="E231" r:id="rId229" display="javascript:void(0);"/>
    <hyperlink ref="F231" r:id="rId230" display="javascript:void(0);"/>
    <hyperlink ref="E233" r:id="rId231" display="javascript:void(0);"/>
    <hyperlink ref="F233" r:id="rId232" display="javascript:void(0);"/>
    <hyperlink ref="E235" r:id="rId233" display="javascript:void(0);"/>
    <hyperlink ref="F235" r:id="rId234" display="javascript:void(0);"/>
    <hyperlink ref="E237" r:id="rId235" display="javascript:void(0);"/>
    <hyperlink ref="F237" r:id="rId236" display="javascript:void(0);"/>
    <hyperlink ref="E239" r:id="rId237" display="javascript:void(0);"/>
    <hyperlink ref="F239" r:id="rId238" display="javascript:void(0);"/>
    <hyperlink ref="E241" r:id="rId239" display="javascript:void(0);"/>
    <hyperlink ref="F241" r:id="rId240" display="javascript:void(0);"/>
    <hyperlink ref="E243" r:id="rId241" display="javascript:void(0);"/>
    <hyperlink ref="F243" r:id="rId242" display="javascript:void(0);"/>
    <hyperlink ref="E245" r:id="rId243" display="javascript:void(0);"/>
    <hyperlink ref="F245" r:id="rId244" display="javascript:void(0);"/>
    <hyperlink ref="E247" r:id="rId245" display="javascript:void(0);"/>
    <hyperlink ref="F247" r:id="rId246" display="javascript:void(0);"/>
    <hyperlink ref="E249" r:id="rId247" display="javascript:void(0);"/>
    <hyperlink ref="F249" r:id="rId248" display="javascript:void(0);"/>
    <hyperlink ref="E251" r:id="rId249" display="javascript:void(0);"/>
    <hyperlink ref="F251" r:id="rId250" display="javascript:void(0);"/>
    <hyperlink ref="E253" r:id="rId251" display="javascript:void(0);"/>
    <hyperlink ref="F253" r:id="rId252" display="javascript:void(0);"/>
    <hyperlink ref="E255" r:id="rId253" display="javascript:void(0);"/>
    <hyperlink ref="F255" r:id="rId254" display="javascript:void(0);"/>
    <hyperlink ref="E257" r:id="rId255" display="javascript:void(0);"/>
    <hyperlink ref="F257" r:id="rId256" display="javascript:void(0);"/>
    <hyperlink ref="E259" r:id="rId257" display="javascript:void(0);"/>
    <hyperlink ref="F259" r:id="rId258" display="javascript:void(0);"/>
    <hyperlink ref="E261" r:id="rId259" display="javascript:void(0);"/>
    <hyperlink ref="F261" r:id="rId260" display="javascript:void(0);"/>
    <hyperlink ref="E263" r:id="rId261" display="javascript:void(0);"/>
    <hyperlink ref="F263" r:id="rId262" display="javascript:void(0);"/>
    <hyperlink ref="E265" r:id="rId263" display="javascript:void(0);"/>
    <hyperlink ref="F265" r:id="rId264" display="javascript:void(0);"/>
    <hyperlink ref="E267" r:id="rId265" display="javascript:void(0);"/>
    <hyperlink ref="F267" r:id="rId266" display="javascript:void(0);"/>
    <hyperlink ref="E269" r:id="rId267" display="javascript:void(0);"/>
    <hyperlink ref="F269" r:id="rId268" display="javascript:void(0);"/>
    <hyperlink ref="E271" r:id="rId269" display="javascript:void(0);"/>
    <hyperlink ref="F271" r:id="rId270" display="javascript:void(0);"/>
    <hyperlink ref="E273" r:id="rId271" display="javascript:void(0);"/>
    <hyperlink ref="F273" r:id="rId272" display="javascript:void(0);"/>
    <hyperlink ref="E275" r:id="rId273" display="javascript:void(0);"/>
    <hyperlink ref="F275" r:id="rId274" display="javascript:void(0);"/>
    <hyperlink ref="E277" r:id="rId275" display="javascript:void(0);"/>
    <hyperlink ref="F277" r:id="rId276" display="javascript:void(0);"/>
    <hyperlink ref="E279" r:id="rId277" display="javascript:void(0);"/>
    <hyperlink ref="F279" r:id="rId278" display="javascript:void(0);"/>
    <hyperlink ref="E281" r:id="rId279" display="javascript:void(0);"/>
    <hyperlink ref="F281" r:id="rId280" display="javascript:void(0);"/>
    <hyperlink ref="E283" r:id="rId281" display="javascript:void(0);"/>
    <hyperlink ref="F283" r:id="rId282" display="javascript:void(0);"/>
    <hyperlink ref="E285" r:id="rId283" display="javascript:void(0);"/>
    <hyperlink ref="F285" r:id="rId284" display="javascript:void(0);"/>
    <hyperlink ref="E287" r:id="rId285" display="javascript:void(0);"/>
    <hyperlink ref="F287" r:id="rId286" display="javascript:void(0);"/>
    <hyperlink ref="E289" r:id="rId287" display="javascript:void(0);"/>
    <hyperlink ref="F289" r:id="rId288" display="javascript:void(0);"/>
    <hyperlink ref="E291" r:id="rId289" display="javascript:void(0);"/>
    <hyperlink ref="F291" r:id="rId290" display="javascript:void(0);"/>
    <hyperlink ref="E293" r:id="rId291" display="javascript:void(0);"/>
    <hyperlink ref="F293" r:id="rId292" display="javascript:void(0);"/>
    <hyperlink ref="E295" r:id="rId293" display="javascript:void(0);"/>
    <hyperlink ref="F295" r:id="rId294" display="javascript:void(0);"/>
    <hyperlink ref="E297" r:id="rId295" display="javascript:void(0);"/>
    <hyperlink ref="F297" r:id="rId296" display="javascript:void(0);"/>
    <hyperlink ref="E299" r:id="rId297" display="javascript:void(0);"/>
    <hyperlink ref="F299" r:id="rId298" display="javascript:void(0);"/>
    <hyperlink ref="E301" r:id="rId299" display="javascript:void(0);"/>
    <hyperlink ref="F301" r:id="rId300" display="javascript:void(0);"/>
    <hyperlink ref="E303" r:id="rId301" display="javascript:void(0);"/>
    <hyperlink ref="F303" r:id="rId302" display="javascript:void(0);"/>
    <hyperlink ref="E305" r:id="rId303" display="javascript:void(0);"/>
    <hyperlink ref="F305" r:id="rId304" display="javascript:void(0);"/>
    <hyperlink ref="E307" r:id="rId305" display="javascript:void(0);"/>
    <hyperlink ref="F307" r:id="rId306" display="javascript:void(0);"/>
    <hyperlink ref="E309" r:id="rId307" display="javascript:void(0);"/>
    <hyperlink ref="F309" r:id="rId308" display="javascript:void(0);"/>
    <hyperlink ref="E311" r:id="rId309" display="javascript:void(0);"/>
    <hyperlink ref="F311" r:id="rId310" display="javascript:void(0);"/>
    <hyperlink ref="E313" r:id="rId311" display="javascript:void(0);"/>
    <hyperlink ref="F313" r:id="rId312" display="javascript:void(0);"/>
    <hyperlink ref="E315" r:id="rId313" display="javascript:void(0);"/>
    <hyperlink ref="F315" r:id="rId314" display="javascript:void(0);"/>
    <hyperlink ref="E317" r:id="rId315" display="javascript:void(0);"/>
    <hyperlink ref="F317" r:id="rId316" display="javascript:void(0);"/>
    <hyperlink ref="E319" r:id="rId317" display="javascript:void(0);"/>
    <hyperlink ref="F319" r:id="rId318" display="javascript:void(0);"/>
    <hyperlink ref="E321" r:id="rId319" display="javascript:void(0);"/>
    <hyperlink ref="F321" r:id="rId320" display="javascript:void(0);"/>
    <hyperlink ref="E323" r:id="rId321" display="javascript:void(0);"/>
    <hyperlink ref="F323" r:id="rId322" display="javascript:void(0);"/>
    <hyperlink ref="E325" r:id="rId323" display="javascript:void(0);"/>
    <hyperlink ref="F325" r:id="rId324" display="javascript:void(0);"/>
    <hyperlink ref="E327" r:id="rId325" display="javascript:void(0);"/>
    <hyperlink ref="F327" r:id="rId326" display="javascript:void(0);"/>
    <hyperlink ref="E329" r:id="rId327" display="javascript:void(0);"/>
    <hyperlink ref="F329" r:id="rId328" display="javascript:void(0);"/>
    <hyperlink ref="E331" r:id="rId329" display="javascript:void(0);"/>
    <hyperlink ref="F331" r:id="rId330" display="javascript:void(0);"/>
    <hyperlink ref="E333" r:id="rId331" display="javascript:void(0);"/>
    <hyperlink ref="F333" r:id="rId332" display="javascript:void(0);"/>
    <hyperlink ref="E335" r:id="rId333" display="javascript:void(0);"/>
    <hyperlink ref="F335" r:id="rId334" display="javascript:void(0);"/>
    <hyperlink ref="E337" r:id="rId335" display="javascript:void(0);"/>
    <hyperlink ref="F337" r:id="rId336" display="javascript:void(0);"/>
    <hyperlink ref="E339" r:id="rId337" display="javascript:void(0);"/>
    <hyperlink ref="F339" r:id="rId338" display="javascript:void(0);"/>
    <hyperlink ref="E341" r:id="rId339" display="javascript:void(0);"/>
    <hyperlink ref="F341" r:id="rId340" display="javascript:void(0);"/>
    <hyperlink ref="E343" r:id="rId341" display="javascript:void(0);"/>
    <hyperlink ref="F343" r:id="rId342" display="javascript:void(0);"/>
    <hyperlink ref="E345" r:id="rId343" display="javascript:void(0);"/>
    <hyperlink ref="F345" r:id="rId344" display="javascript:void(0);"/>
    <hyperlink ref="E347" r:id="rId345" display="javascript:void(0);"/>
    <hyperlink ref="F347" r:id="rId346" display="javascript:void(0);"/>
    <hyperlink ref="E349" r:id="rId347" display="javascript:void(0);"/>
    <hyperlink ref="F349" r:id="rId348" display="javascript:void(0);"/>
    <hyperlink ref="E351" r:id="rId349" display="javascript:void(0);"/>
    <hyperlink ref="F351" r:id="rId350" display="javascript:void(0);"/>
    <hyperlink ref="E353" r:id="rId351" display="javascript:void(0);"/>
    <hyperlink ref="F353" r:id="rId352" display="javascript:void(0);"/>
    <hyperlink ref="E355" r:id="rId353" display="javascript:void(0);"/>
    <hyperlink ref="F355" r:id="rId354" display="javascript:void(0);"/>
    <hyperlink ref="E357" r:id="rId355" display="javascript:void(0);"/>
    <hyperlink ref="F357" r:id="rId356" display="javascript:void(0);"/>
    <hyperlink ref="E359" r:id="rId357" display="javascript:void(0);"/>
    <hyperlink ref="F359" r:id="rId358" display="javascript:void(0);"/>
    <hyperlink ref="E361" r:id="rId359" display="javascript:void(0);"/>
    <hyperlink ref="F361" r:id="rId360" display="javascript:void(0);"/>
    <hyperlink ref="E363" r:id="rId361" display="javascript:void(0);"/>
    <hyperlink ref="F363" r:id="rId362" display="javascript:void(0);"/>
    <hyperlink ref="E365" r:id="rId363" display="javascript:void(0);"/>
    <hyperlink ref="F365" r:id="rId364" display="javascript:void(0);"/>
    <hyperlink ref="E367" r:id="rId365" display="javascript:void(0);"/>
    <hyperlink ref="F367" r:id="rId366" display="javascript:void(0);"/>
    <hyperlink ref="E369" r:id="rId367" display="javascript:void(0);"/>
    <hyperlink ref="F369" r:id="rId368" display="javascript:void(0);"/>
    <hyperlink ref="E371" r:id="rId369" display="javascript:void(0);"/>
    <hyperlink ref="F371" r:id="rId370" display="javascript:void(0);"/>
    <hyperlink ref="E373" r:id="rId371" display="javascript:void(0);"/>
    <hyperlink ref="F373" r:id="rId372" display="javascript:void(0);"/>
    <hyperlink ref="E375" r:id="rId373" display="javascript:void(0);"/>
    <hyperlink ref="F375" r:id="rId374" display="javascript:void(0);"/>
    <hyperlink ref="E377" r:id="rId375" display="javascript:void(0);"/>
    <hyperlink ref="F377" r:id="rId376" display="javascript:void(0);"/>
    <hyperlink ref="E379" r:id="rId377" display="javascript:void(0);"/>
    <hyperlink ref="F379" r:id="rId378" display="javascript:void(0);"/>
    <hyperlink ref="E381" r:id="rId379" display="javascript:void(0);"/>
    <hyperlink ref="F381" r:id="rId380" display="javascript:void(0);"/>
    <hyperlink ref="E383" r:id="rId381" display="javascript:void(0);"/>
    <hyperlink ref="F383" r:id="rId382" display="javascript:void(0);"/>
    <hyperlink ref="E385" r:id="rId383" display="javascript:void(0);"/>
    <hyperlink ref="F385" r:id="rId384" display="javascript:void(0);"/>
    <hyperlink ref="E387" r:id="rId385" display="javascript:void(0);"/>
    <hyperlink ref="F387" r:id="rId386" display="javascript:void(0);"/>
    <hyperlink ref="E389" r:id="rId387" display="javascript:void(0);"/>
    <hyperlink ref="F389" r:id="rId388" display="javascript:void(0);"/>
    <hyperlink ref="E391" r:id="rId389" display="javascript:void(0);"/>
    <hyperlink ref="F391" r:id="rId390" display="javascript:void(0);"/>
    <hyperlink ref="E393" r:id="rId391" display="javascript:void(0);"/>
    <hyperlink ref="F393" r:id="rId392" display="javascript:void(0);"/>
    <hyperlink ref="E395" r:id="rId393" display="javascript:void(0);"/>
    <hyperlink ref="F395" r:id="rId394" display="javascript:void(0);"/>
    <hyperlink ref="E397" r:id="rId395" display="javascript:void(0);"/>
    <hyperlink ref="F397" r:id="rId396" display="javascript:void(0);"/>
    <hyperlink ref="E399" r:id="rId397" display="javascript:void(0);"/>
    <hyperlink ref="F399" r:id="rId398" display="javascript:void(0);"/>
    <hyperlink ref="E401" r:id="rId399" display="javascript:void(0);"/>
    <hyperlink ref="F401" r:id="rId400" display="javascript:void(0);"/>
    <hyperlink ref="E403" r:id="rId401" display="javascript:void(0);"/>
    <hyperlink ref="F403" r:id="rId402" display="javascript:void(0);"/>
    <hyperlink ref="E405" r:id="rId403" display="javascript:void(0);"/>
    <hyperlink ref="F405" r:id="rId404" display="javascript:void(0);"/>
    <hyperlink ref="E407" r:id="rId405" display="javascript:void(0);"/>
    <hyperlink ref="F407" r:id="rId406" display="javascript:void(0);"/>
    <hyperlink ref="E409" r:id="rId407" display="javascript:void(0);"/>
    <hyperlink ref="F409" r:id="rId408" display="javascript:void(0);"/>
    <hyperlink ref="E411" r:id="rId409" display="javascript:void(0);"/>
    <hyperlink ref="F411" r:id="rId410" display="javascript:void(0);"/>
    <hyperlink ref="E413" r:id="rId411" display="javascript:void(0);"/>
    <hyperlink ref="F413" r:id="rId412" display="javascript:void(0);"/>
    <hyperlink ref="E415" r:id="rId413" display="javascript:void(0);"/>
    <hyperlink ref="F415" r:id="rId414" display="javascript:void(0);"/>
    <hyperlink ref="E417" r:id="rId415" display="javascript:void(0);"/>
    <hyperlink ref="F417" r:id="rId416" display="javascript:void(0);"/>
    <hyperlink ref="E419" r:id="rId417" display="javascript:void(0);"/>
    <hyperlink ref="F419" r:id="rId418" display="javascript:void(0);"/>
    <hyperlink ref="E421" r:id="rId419" display="javascript:void(0);"/>
    <hyperlink ref="F421" r:id="rId420" display="javascript:void(0);"/>
    <hyperlink ref="E423" r:id="rId421" display="javascript:void(0);"/>
    <hyperlink ref="F423" r:id="rId422" display="javascript:void(0);"/>
    <hyperlink ref="E425" r:id="rId423" display="javascript:void(0);"/>
    <hyperlink ref="F425" r:id="rId424" display="javascript:void(0);"/>
    <hyperlink ref="E427" r:id="rId425" display="javascript:void(0);"/>
    <hyperlink ref="F427" r:id="rId426" display="javascript:void(0);"/>
    <hyperlink ref="E429" r:id="rId427" display="javascript:void(0);"/>
    <hyperlink ref="F429" r:id="rId428" display="javascript:void(0);"/>
    <hyperlink ref="E431" r:id="rId429" display="javascript:void(0);"/>
    <hyperlink ref="F431" r:id="rId430" display="javascript:void(0);"/>
    <hyperlink ref="E433" r:id="rId431" display="javascript:void(0);"/>
    <hyperlink ref="F433" r:id="rId432" display="javascript:void(0);"/>
    <hyperlink ref="E435" r:id="rId433" display="javascript:void(0);"/>
    <hyperlink ref="F435" r:id="rId434" display="javascript:void(0);"/>
    <hyperlink ref="E437" r:id="rId435" display="javascript:void(0);"/>
    <hyperlink ref="F437" r:id="rId436" display="javascript:void(0);"/>
    <hyperlink ref="E439" r:id="rId437" display="javascript:void(0);"/>
    <hyperlink ref="F439" r:id="rId438" display="javascript:void(0);"/>
    <hyperlink ref="E441" r:id="rId439" display="javascript:void(0);"/>
    <hyperlink ref="F441" r:id="rId440" display="javascript:void(0);"/>
    <hyperlink ref="E443" r:id="rId441" display="javascript:void(0);"/>
    <hyperlink ref="F443" r:id="rId442" display="javascript:void(0);"/>
    <hyperlink ref="E445" r:id="rId443" display="javascript:void(0);"/>
    <hyperlink ref="F445" r:id="rId444" display="javascript:void(0);"/>
    <hyperlink ref="E447" r:id="rId445" display="javascript:void(0);"/>
    <hyperlink ref="F447" r:id="rId446" display="javascript:void(0);"/>
    <hyperlink ref="E449" r:id="rId447" display="javascript:void(0);"/>
    <hyperlink ref="F449" r:id="rId448" display="javascript:void(0);"/>
    <hyperlink ref="E451" r:id="rId449" display="javascript:void(0);"/>
    <hyperlink ref="F451" r:id="rId450" display="javascript:void(0);"/>
    <hyperlink ref="E453" r:id="rId451" display="javascript:void(0);"/>
    <hyperlink ref="F453" r:id="rId452" display="javascript:void(0);"/>
    <hyperlink ref="E455" r:id="rId453" display="javascript:void(0);"/>
    <hyperlink ref="F455" r:id="rId454" display="javascript:void(0);"/>
    <hyperlink ref="E457" r:id="rId455" display="javascript:void(0);"/>
    <hyperlink ref="F457" r:id="rId456" display="javascript:void(0);"/>
    <hyperlink ref="E459" r:id="rId457" display="javascript:void(0);"/>
    <hyperlink ref="F459" r:id="rId458" display="javascript:void(0);"/>
    <hyperlink ref="E461" r:id="rId459" display="javascript:void(0);"/>
    <hyperlink ref="F461" r:id="rId460" display="javascript:void(0);"/>
    <hyperlink ref="E463" r:id="rId461" display="javascript:void(0);"/>
    <hyperlink ref="F463" r:id="rId462" display="javascript:void(0);"/>
    <hyperlink ref="E465" r:id="rId463" display="javascript:void(0);"/>
    <hyperlink ref="F465" r:id="rId464" display="javascript:void(0);"/>
    <hyperlink ref="E467" r:id="rId465" display="javascript:void(0);"/>
    <hyperlink ref="F467" r:id="rId466" display="javascript:void(0);"/>
    <hyperlink ref="E469" r:id="rId467" display="javascript:void(0);"/>
    <hyperlink ref="F469" r:id="rId468" display="javascript:void(0);"/>
    <hyperlink ref="E471" r:id="rId469" display="javascript:void(0);"/>
    <hyperlink ref="F471" r:id="rId470" display="javascript:void(0);"/>
    <hyperlink ref="E473" r:id="rId471" display="javascript:void(0);"/>
    <hyperlink ref="F473" r:id="rId472" display="javascript:void(0);"/>
    <hyperlink ref="E475" r:id="rId473" display="javascript:void(0);"/>
    <hyperlink ref="F475" r:id="rId474" display="javascript:void(0);"/>
    <hyperlink ref="E477" r:id="rId475" display="javascript:void(0);"/>
    <hyperlink ref="F477" r:id="rId476" display="javascript:void(0);"/>
    <hyperlink ref="E479" r:id="rId477" display="javascript:void(0);"/>
    <hyperlink ref="F479" r:id="rId478" display="javascript:void(0);"/>
    <hyperlink ref="E481" r:id="rId479" display="javascript:void(0);"/>
    <hyperlink ref="F481" r:id="rId480" display="javascript:void(0);"/>
    <hyperlink ref="E483" r:id="rId481" display="javascript:void(0);"/>
    <hyperlink ref="F483" r:id="rId482" display="javascript:void(0);"/>
    <hyperlink ref="E485" r:id="rId483" display="javascript:void(0);"/>
    <hyperlink ref="F485" r:id="rId484" display="javascript:void(0);"/>
    <hyperlink ref="E487" r:id="rId485" display="javascript:void(0);"/>
    <hyperlink ref="F487" r:id="rId486" display="javascript:void(0);"/>
    <hyperlink ref="E489" r:id="rId487" display="javascript:void(0);"/>
    <hyperlink ref="F489" r:id="rId488" display="javascript:void(0);"/>
    <hyperlink ref="E491" r:id="rId489" display="javascript:void(0);"/>
    <hyperlink ref="F491" r:id="rId490" display="javascript:void(0);"/>
    <hyperlink ref="E493" r:id="rId491" display="javascript:void(0);"/>
    <hyperlink ref="F493" r:id="rId492" display="javascript:void(0);"/>
    <hyperlink ref="E495" r:id="rId493" display="javascript:void(0);"/>
    <hyperlink ref="F495" r:id="rId494" display="javascript:void(0);"/>
    <hyperlink ref="E497" r:id="rId495" display="javascript:void(0);"/>
    <hyperlink ref="F497" r:id="rId496" display="javascript:void(0);"/>
    <hyperlink ref="E499" r:id="rId497" display="javascript:void(0);"/>
    <hyperlink ref="F499" r:id="rId498" display="javascript:void(0);"/>
    <hyperlink ref="E501" r:id="rId499" display="javascript:void(0);"/>
    <hyperlink ref="F501" r:id="rId500" display="javascript:void(0);"/>
    <hyperlink ref="E503" r:id="rId501" display="javascript:void(0);"/>
    <hyperlink ref="F503" r:id="rId502" display="javascript:void(0);"/>
    <hyperlink ref="E505" r:id="rId503" display="javascript:void(0);"/>
    <hyperlink ref="F505" r:id="rId504" display="javascript:void(0);"/>
    <hyperlink ref="E507" r:id="rId505" display="javascript:void(0);"/>
    <hyperlink ref="F507" r:id="rId506" display="javascript:void(0);"/>
    <hyperlink ref="E509" r:id="rId507" display="javascript:void(0);"/>
    <hyperlink ref="F509" r:id="rId508" display="javascript:void(0);"/>
    <hyperlink ref="E511" r:id="rId509" display="javascript:void(0);"/>
    <hyperlink ref="F511" r:id="rId510" display="javascript:void(0);"/>
    <hyperlink ref="E513" r:id="rId511" display="javascript:void(0);"/>
    <hyperlink ref="F513" r:id="rId512" display="javascript:void(0);"/>
    <hyperlink ref="E515" r:id="rId513" display="javascript:void(0);"/>
    <hyperlink ref="F515" r:id="rId514" display="javascript:void(0);"/>
    <hyperlink ref="E517" r:id="rId515" display="javascript:void(0);"/>
    <hyperlink ref="F517" r:id="rId516" display="javascript:void(0);"/>
    <hyperlink ref="E519" r:id="rId517" display="javascript:void(0);"/>
    <hyperlink ref="F519" r:id="rId518" display="javascript:void(0);"/>
    <hyperlink ref="E521" r:id="rId519" display="javascript:void(0);"/>
    <hyperlink ref="F521" r:id="rId520" display="javascript:void(0);"/>
    <hyperlink ref="E523" r:id="rId521" display="javascript:void(0);"/>
    <hyperlink ref="F523" r:id="rId522" display="javascript:void(0);"/>
    <hyperlink ref="E525" r:id="rId523" display="javascript:void(0);"/>
    <hyperlink ref="F525" r:id="rId524" display="javascript:void(0);"/>
    <hyperlink ref="E527" r:id="rId525" display="javascript:void(0);"/>
    <hyperlink ref="F527" r:id="rId526" display="javascript:void(0);"/>
    <hyperlink ref="E529" r:id="rId527" display="javascript:void(0);"/>
    <hyperlink ref="F529" r:id="rId528" display="javascript:void(0);"/>
    <hyperlink ref="E531" r:id="rId529" display="javascript:void(0);"/>
    <hyperlink ref="F531" r:id="rId530" display="javascript:void(0);"/>
    <hyperlink ref="E533" r:id="rId531" display="javascript:void(0);"/>
    <hyperlink ref="F533" r:id="rId532" display="javascript:void(0);"/>
    <hyperlink ref="E535" r:id="rId533" display="javascript:void(0);"/>
    <hyperlink ref="F535" r:id="rId534" display="javascript:void(0);"/>
    <hyperlink ref="E537" r:id="rId535" display="javascript:void(0);"/>
    <hyperlink ref="F537" r:id="rId536" display="javascript:void(0);"/>
    <hyperlink ref="E539" r:id="rId537" display="javascript:void(0);"/>
    <hyperlink ref="F539" r:id="rId538" display="javascript:void(0);"/>
    <hyperlink ref="E541" r:id="rId539" display="javascript:void(0);"/>
    <hyperlink ref="F541" r:id="rId540" display="javascript:void(0);"/>
    <hyperlink ref="E543" r:id="rId541" display="javascript:void(0);"/>
    <hyperlink ref="F543" r:id="rId542" display="javascript:void(0);"/>
    <hyperlink ref="E545" r:id="rId543" display="javascript:void(0);"/>
    <hyperlink ref="F545" r:id="rId544" display="javascript:void(0);"/>
    <hyperlink ref="E547" r:id="rId545" display="javascript:void(0);"/>
    <hyperlink ref="F547" r:id="rId546" display="javascript:void(0);"/>
    <hyperlink ref="E549" r:id="rId547" display="javascript:void(0);"/>
    <hyperlink ref="F549" r:id="rId548" display="javascript:void(0);"/>
    <hyperlink ref="E551" r:id="rId549" display="javascript:void(0);"/>
    <hyperlink ref="F551" r:id="rId550" display="javascript:void(0);"/>
    <hyperlink ref="E553" r:id="rId551" display="javascript:void(0);"/>
    <hyperlink ref="F553" r:id="rId552" display="javascript:void(0);"/>
    <hyperlink ref="E555" r:id="rId553" display="javascript:void(0);"/>
    <hyperlink ref="F555" r:id="rId554" display="javascript:void(0);"/>
    <hyperlink ref="E557" r:id="rId555" display="javascript:void(0);"/>
    <hyperlink ref="F557" r:id="rId556" display="javascript:void(0);"/>
    <hyperlink ref="E559" r:id="rId557" display="javascript:void(0);"/>
    <hyperlink ref="F559" r:id="rId558" display="javascript:void(0);"/>
    <hyperlink ref="E561" r:id="rId559" display="javascript:void(0);"/>
    <hyperlink ref="F561" r:id="rId560" display="javascript:void(0);"/>
    <hyperlink ref="E563" r:id="rId561" display="javascript:void(0);"/>
    <hyperlink ref="F563" r:id="rId562" display="javascript:void(0);"/>
    <hyperlink ref="E565" r:id="rId563" display="javascript:void(0);"/>
    <hyperlink ref="F565" r:id="rId564" display="javascript:void(0);"/>
    <hyperlink ref="E567" r:id="rId565" display="javascript:void(0);"/>
    <hyperlink ref="F567" r:id="rId566" display="javascript:void(0);"/>
    <hyperlink ref="E569" r:id="rId567" display="javascript:void(0);"/>
    <hyperlink ref="F569" r:id="rId568" display="javascript:void(0);"/>
    <hyperlink ref="E571" r:id="rId569" display="javascript:void(0);"/>
    <hyperlink ref="F571" r:id="rId570" display="javascript:void(0);"/>
    <hyperlink ref="E573" r:id="rId571" display="javascript:void(0);"/>
    <hyperlink ref="F573" r:id="rId572" display="javascript:void(0);"/>
    <hyperlink ref="E575" r:id="rId573" display="javascript:void(0);"/>
    <hyperlink ref="F575" r:id="rId574" display="javascript:void(0);"/>
    <hyperlink ref="E577" r:id="rId575" display="javascript:void(0);"/>
    <hyperlink ref="F577" r:id="rId576" display="javascript:void(0);"/>
    <hyperlink ref="E579" r:id="rId577" display="javascript:void(0);"/>
    <hyperlink ref="F579" r:id="rId578" display="javascript:void(0);"/>
    <hyperlink ref="E581" r:id="rId579" display="javascript:void(0);"/>
    <hyperlink ref="F581" r:id="rId580" display="javascript:void(0);"/>
    <hyperlink ref="E583" r:id="rId581" display="javascript:void(0);"/>
    <hyperlink ref="F583" r:id="rId582" display="javascript:void(0);"/>
    <hyperlink ref="E585" r:id="rId583" display="javascript:void(0);"/>
    <hyperlink ref="F585" r:id="rId584" display="javascript:void(0);"/>
    <hyperlink ref="E587" r:id="rId585" display="javascript:void(0);"/>
    <hyperlink ref="F587" r:id="rId586" display="javascript:void(0);"/>
    <hyperlink ref="E589" r:id="rId587" display="javascript:void(0);"/>
    <hyperlink ref="F589" r:id="rId588" display="javascript:void(0);"/>
    <hyperlink ref="E591" r:id="rId589" display="javascript:void(0);"/>
    <hyperlink ref="F591" r:id="rId590" display="javascript:void(0);"/>
    <hyperlink ref="E593" r:id="rId591" display="javascript:void(0);"/>
    <hyperlink ref="F593" r:id="rId592" display="javascript:void(0);"/>
    <hyperlink ref="E595" r:id="rId593" display="javascript:void(0);"/>
    <hyperlink ref="F595" r:id="rId594" display="javascript:void(0);"/>
    <hyperlink ref="E597" r:id="rId595" display="javascript:void(0);"/>
    <hyperlink ref="F597" r:id="rId596" display="javascript:void(0);"/>
    <hyperlink ref="E599" r:id="rId597" display="javascript:void(0);"/>
    <hyperlink ref="F599" r:id="rId598" display="javascript:void(0);"/>
    <hyperlink ref="E601" r:id="rId599" display="javascript:void(0);"/>
    <hyperlink ref="F601" r:id="rId600" display="javascript:void(0);"/>
    <hyperlink ref="E603" r:id="rId601" display="javascript:void(0);"/>
    <hyperlink ref="F603" r:id="rId602" display="javascript:void(0);"/>
    <hyperlink ref="E605" r:id="rId603" display="javascript:void(0);"/>
    <hyperlink ref="F605" r:id="rId604" display="javascript:void(0);"/>
    <hyperlink ref="E607" r:id="rId605" display="javascript:void(0);"/>
    <hyperlink ref="F607" r:id="rId606" display="javascript:void(0);"/>
    <hyperlink ref="E609" r:id="rId607" display="javascript:void(0);"/>
    <hyperlink ref="F609" r:id="rId608" display="javascript:void(0);"/>
    <hyperlink ref="E611" r:id="rId609" display="javascript:void(0);"/>
    <hyperlink ref="F611" r:id="rId610" display="javascript:void(0);"/>
    <hyperlink ref="E613" r:id="rId611" display="javascript:void(0);"/>
    <hyperlink ref="F613" r:id="rId612" display="javascript:void(0);"/>
    <hyperlink ref="E615" r:id="rId613" display="javascript:void(0);"/>
    <hyperlink ref="F615" r:id="rId614" display="javascript:void(0);"/>
    <hyperlink ref="E617" r:id="rId615" display="javascript:void(0);"/>
    <hyperlink ref="F617" r:id="rId616" display="javascript:void(0);"/>
    <hyperlink ref="E619" r:id="rId617" display="javascript:void(0);"/>
    <hyperlink ref="F619" r:id="rId618" display="javascript:void(0);"/>
    <hyperlink ref="E621" r:id="rId619" display="javascript:void(0);"/>
    <hyperlink ref="F621" r:id="rId620" display="javascript:void(0);"/>
    <hyperlink ref="E623" r:id="rId621" display="javascript:void(0);"/>
    <hyperlink ref="F623" r:id="rId622" display="javascript:void(0);"/>
    <hyperlink ref="E625" r:id="rId623" display="javascript:void(0);"/>
    <hyperlink ref="F625" r:id="rId624" display="javascript:void(0);"/>
    <hyperlink ref="E627" r:id="rId625" display="javascript:void(0);"/>
    <hyperlink ref="F627" r:id="rId626" display="javascript:void(0);"/>
    <hyperlink ref="E629" r:id="rId627" display="javascript:void(0);"/>
    <hyperlink ref="F629" r:id="rId628" display="javascript:void(0);"/>
    <hyperlink ref="E631" r:id="rId629" display="javascript:void(0);"/>
    <hyperlink ref="F631" r:id="rId630" display="javascript:void(0);"/>
    <hyperlink ref="E633" r:id="rId631" display="javascript:void(0);"/>
    <hyperlink ref="F633" r:id="rId632" display="javascript:void(0);"/>
    <hyperlink ref="E635" r:id="rId633" display="javascript:void(0);"/>
    <hyperlink ref="F635" r:id="rId634" display="javascript:void(0);"/>
    <hyperlink ref="E637" r:id="rId635" display="javascript:void(0);"/>
    <hyperlink ref="F637" r:id="rId636" display="javascript:void(0);"/>
    <hyperlink ref="E639" r:id="rId637" display="javascript:void(0);"/>
    <hyperlink ref="F639" r:id="rId638" display="javascript:void(0);"/>
    <hyperlink ref="E641" r:id="rId639" display="javascript:void(0);"/>
    <hyperlink ref="F641" r:id="rId640" display="javascript:void(0);"/>
    <hyperlink ref="E643" r:id="rId641" display="javascript:void(0);"/>
    <hyperlink ref="F643" r:id="rId642" display="javascript:void(0);"/>
    <hyperlink ref="E645" r:id="rId643" display="javascript:void(0);"/>
    <hyperlink ref="F645" r:id="rId644" display="javascript:void(0);"/>
    <hyperlink ref="E647" r:id="rId645" display="javascript:void(0);"/>
    <hyperlink ref="F647" r:id="rId646" display="javascript:void(0);"/>
    <hyperlink ref="E649" r:id="rId647" display="javascript:void(0);"/>
    <hyperlink ref="F649" r:id="rId648" display="javascript:void(0);"/>
    <hyperlink ref="E651" r:id="rId649" display="javascript:void(0);"/>
    <hyperlink ref="F651" r:id="rId650" display="javascript:void(0);"/>
    <hyperlink ref="E653" r:id="rId651" display="javascript:void(0);"/>
    <hyperlink ref="F653" r:id="rId652" display="javascript:void(0);"/>
    <hyperlink ref="E655" r:id="rId653" display="javascript:void(0);"/>
    <hyperlink ref="F655" r:id="rId654" display="javascript:void(0);"/>
    <hyperlink ref="E657" r:id="rId655" display="javascript:void(0);"/>
    <hyperlink ref="F657" r:id="rId656" display="javascript:void(0);"/>
    <hyperlink ref="E659" r:id="rId657" display="javascript:void(0);"/>
    <hyperlink ref="F659" r:id="rId658" display="javascript:void(0);"/>
    <hyperlink ref="E661" r:id="rId659" display="javascript:void(0);"/>
    <hyperlink ref="F661" r:id="rId660" display="javascript:void(0);"/>
    <hyperlink ref="E663" r:id="rId661" display="javascript:void(0);"/>
    <hyperlink ref="F663" r:id="rId662" display="javascript:void(0);"/>
    <hyperlink ref="E665" r:id="rId663" display="javascript:void(0);"/>
    <hyperlink ref="F665" r:id="rId664" display="javascript:void(0);"/>
    <hyperlink ref="E667" r:id="rId665" display="javascript:void(0);"/>
    <hyperlink ref="F667" r:id="rId666" display="javascript:void(0);"/>
    <hyperlink ref="E669" r:id="rId667" display="javascript:void(0);"/>
    <hyperlink ref="F669" r:id="rId668" display="javascript:void(0);"/>
    <hyperlink ref="E671" r:id="rId669" display="javascript:void(0);"/>
    <hyperlink ref="F671" r:id="rId670" display="javascript:void(0);"/>
    <hyperlink ref="E673" r:id="rId671" display="javascript:void(0);"/>
    <hyperlink ref="F673" r:id="rId672" display="javascript:void(0);"/>
    <hyperlink ref="E675" r:id="rId673" display="javascript:void(0);"/>
    <hyperlink ref="F675" r:id="rId674" display="javascript:void(0);"/>
    <hyperlink ref="E677" r:id="rId675" display="javascript:void(0);"/>
    <hyperlink ref="F677" r:id="rId676" display="javascript:void(0);"/>
    <hyperlink ref="E679" r:id="rId677" display="javascript:void(0);"/>
    <hyperlink ref="F679" r:id="rId678" display="javascript:void(0);"/>
    <hyperlink ref="E681" r:id="rId679" display="javascript:void(0);"/>
    <hyperlink ref="F681" r:id="rId680" display="javascript:void(0);"/>
    <hyperlink ref="E683" r:id="rId681" display="javascript:void(0);"/>
    <hyperlink ref="F683" r:id="rId682" display="javascript:void(0);"/>
    <hyperlink ref="E685" r:id="rId683" display="javascript:void(0);"/>
    <hyperlink ref="F685" r:id="rId684" display="javascript:void(0);"/>
    <hyperlink ref="E687" r:id="rId685" display="javascript:void(0);"/>
    <hyperlink ref="F687" r:id="rId686" display="javascript:void(0);"/>
    <hyperlink ref="E689" r:id="rId687" display="javascript:void(0);"/>
    <hyperlink ref="F689" r:id="rId688" display="javascript:void(0);"/>
    <hyperlink ref="E691" r:id="rId689" display="javascript:void(0);"/>
    <hyperlink ref="F691" r:id="rId690" display="javascript:void(0);"/>
    <hyperlink ref="E693" r:id="rId691" display="javascript:void(0);"/>
    <hyperlink ref="F693" r:id="rId692" display="javascript:void(0);"/>
    <hyperlink ref="E695" r:id="rId693" display="javascript:void(0);"/>
    <hyperlink ref="F695" r:id="rId694" display="javascript:void(0);"/>
    <hyperlink ref="E697" r:id="rId695" display="javascript:void(0);"/>
    <hyperlink ref="F697" r:id="rId696" display="javascript:void(0);"/>
    <hyperlink ref="E699" r:id="rId697" display="javascript:void(0);"/>
    <hyperlink ref="F699" r:id="rId698" display="javascript:void(0);"/>
    <hyperlink ref="E701" r:id="rId699" display="javascript:void(0);"/>
    <hyperlink ref="F701" r:id="rId700" display="javascript:void(0);"/>
    <hyperlink ref="E703" r:id="rId701" display="javascript:void(0);"/>
    <hyperlink ref="F703" r:id="rId702" display="javascript:void(0);"/>
    <hyperlink ref="E705" r:id="rId703" display="javascript:void(0);"/>
    <hyperlink ref="F705" r:id="rId704" display="javascript:void(0);"/>
    <hyperlink ref="E707" r:id="rId705" display="javascript:void(0);"/>
    <hyperlink ref="F707" r:id="rId706" display="javascript:void(0);"/>
    <hyperlink ref="E709" r:id="rId707" display="javascript:void(0);"/>
    <hyperlink ref="F709" r:id="rId708" display="javascript:void(0);"/>
    <hyperlink ref="E711" r:id="rId709" display="javascript:void(0);"/>
    <hyperlink ref="F711" r:id="rId710" display="javascript:void(0);"/>
    <hyperlink ref="E713" r:id="rId711" display="javascript:void(0);"/>
    <hyperlink ref="F713" r:id="rId712" display="javascript:void(0);"/>
    <hyperlink ref="E715" r:id="rId713" display="javascript:void(0);"/>
    <hyperlink ref="F715" r:id="rId714" display="javascript:void(0);"/>
    <hyperlink ref="E717" r:id="rId715" display="javascript:void(0);"/>
    <hyperlink ref="F717" r:id="rId716" display="javascript:void(0);"/>
    <hyperlink ref="E719" r:id="rId717" display="javascript:void(0);"/>
    <hyperlink ref="F719" r:id="rId718" display="javascript:void(0);"/>
    <hyperlink ref="E721" r:id="rId719" display="javascript:void(0);"/>
    <hyperlink ref="F721" r:id="rId720" display="javascript:void(0);"/>
    <hyperlink ref="E723" r:id="rId721" display="javascript:void(0);"/>
    <hyperlink ref="F723" r:id="rId722" display="javascript:void(0);"/>
    <hyperlink ref="E725" r:id="rId723" display="javascript:void(0);"/>
    <hyperlink ref="F725" r:id="rId724" display="javascript:void(0);"/>
    <hyperlink ref="E727" r:id="rId725" display="javascript:void(0);"/>
    <hyperlink ref="F727" r:id="rId726" display="javascript:void(0);"/>
    <hyperlink ref="E729" r:id="rId727" display="javascript:void(0);"/>
    <hyperlink ref="F729" r:id="rId728" display="javascript:void(0);"/>
    <hyperlink ref="E731" r:id="rId729" display="javascript:void(0);"/>
    <hyperlink ref="F731" r:id="rId730" display="javascript:void(0);"/>
    <hyperlink ref="E733" r:id="rId731" display="javascript:void(0);"/>
    <hyperlink ref="F733" r:id="rId732" display="javascript:void(0);"/>
    <hyperlink ref="E735" r:id="rId733" display="javascript:void(0);"/>
    <hyperlink ref="F735" r:id="rId734" display="javascript:void(0);"/>
    <hyperlink ref="E737" r:id="rId735" display="javascript:void(0);"/>
    <hyperlink ref="F737" r:id="rId736" display="javascript:void(0);"/>
    <hyperlink ref="E739" r:id="rId737" display="javascript:void(0);"/>
    <hyperlink ref="F739" r:id="rId738" display="javascript:void(0);"/>
    <hyperlink ref="E741" r:id="rId739" display="javascript:void(0);"/>
    <hyperlink ref="F741" r:id="rId740" display="javascript:void(0);"/>
    <hyperlink ref="E743" r:id="rId741" display="javascript:void(0);"/>
    <hyperlink ref="F743" r:id="rId742" display="javascript:void(0);"/>
    <hyperlink ref="E745" r:id="rId743" display="javascript:void(0);"/>
    <hyperlink ref="F745" r:id="rId744" display="javascript:void(0);"/>
    <hyperlink ref="E747" r:id="rId745" display="javascript:void(0);"/>
    <hyperlink ref="F747" r:id="rId746" display="javascript:void(0);"/>
    <hyperlink ref="E749" r:id="rId747" display="javascript:void(0);"/>
    <hyperlink ref="F749" r:id="rId748" display="javascript:void(0);"/>
    <hyperlink ref="E751" r:id="rId749" display="javascript:void(0);"/>
    <hyperlink ref="F751" r:id="rId750" display="javascript:void(0);"/>
    <hyperlink ref="E753" r:id="rId751" display="javascript:void(0);"/>
    <hyperlink ref="F753" r:id="rId752" display="javascript:void(0);"/>
    <hyperlink ref="E755" r:id="rId753" display="javascript:void(0);"/>
    <hyperlink ref="F755" r:id="rId754" display="javascript:void(0);"/>
    <hyperlink ref="E757" r:id="rId755" display="javascript:void(0);"/>
    <hyperlink ref="F757" r:id="rId756" display="javascript:void(0);"/>
    <hyperlink ref="E759" r:id="rId757" display="javascript:void(0);"/>
    <hyperlink ref="F759" r:id="rId758" display="javascript:void(0);"/>
    <hyperlink ref="E761" r:id="rId759" display="javascript:void(0);"/>
    <hyperlink ref="F761" r:id="rId760" display="javascript:void(0);"/>
    <hyperlink ref="E763" r:id="rId761" display="javascript:void(0);"/>
    <hyperlink ref="F763" r:id="rId762" display="javascript:void(0);"/>
    <hyperlink ref="E765" r:id="rId763" display="javascript:void(0);"/>
    <hyperlink ref="F765" r:id="rId764" display="javascript:void(0);"/>
    <hyperlink ref="E767" r:id="rId765" display="javascript:void(0);"/>
    <hyperlink ref="F767" r:id="rId766" display="javascript:void(0);"/>
    <hyperlink ref="E769" r:id="rId767" display="javascript:void(0);"/>
    <hyperlink ref="F769" r:id="rId768" display="javascript:void(0);"/>
    <hyperlink ref="E771" r:id="rId769" display="javascript:void(0);"/>
    <hyperlink ref="F771" r:id="rId770" display="javascript:void(0);"/>
    <hyperlink ref="E773" r:id="rId771" display="javascript:void(0);"/>
    <hyperlink ref="F773" r:id="rId772" display="javascript:void(0);"/>
    <hyperlink ref="E775" r:id="rId773" display="javascript:void(0);"/>
    <hyperlink ref="F775" r:id="rId774" display="javascript:void(0);"/>
    <hyperlink ref="E777" r:id="rId775" display="javascript:void(0);"/>
    <hyperlink ref="F777" r:id="rId776" display="javascript:void(0);"/>
    <hyperlink ref="E779" r:id="rId777" display="javascript:void(0);"/>
    <hyperlink ref="F779" r:id="rId778" display="javascript:void(0);"/>
    <hyperlink ref="E781" r:id="rId779" display="javascript:void(0);"/>
    <hyperlink ref="F781" r:id="rId780" display="javascript:void(0);"/>
    <hyperlink ref="E783" r:id="rId781" display="javascript:void(0);"/>
    <hyperlink ref="F783" r:id="rId782" display="javascript:void(0);"/>
    <hyperlink ref="E785" r:id="rId783" display="javascript:void(0);"/>
    <hyperlink ref="F785" r:id="rId784" display="javascript:void(0);"/>
    <hyperlink ref="E787" r:id="rId785" display="javascript:void(0);"/>
    <hyperlink ref="F787" r:id="rId786" display="javascript:void(0);"/>
    <hyperlink ref="E789" r:id="rId787" display="javascript:void(0);"/>
    <hyperlink ref="F789" r:id="rId788" display="javascript:void(0);"/>
    <hyperlink ref="E791" r:id="rId789" display="javascript:void(0);"/>
    <hyperlink ref="F791" r:id="rId790" display="javascript:void(0);"/>
    <hyperlink ref="E793" r:id="rId791" display="javascript:void(0);"/>
    <hyperlink ref="F793" r:id="rId792" display="javascript:void(0);"/>
    <hyperlink ref="E795" r:id="rId793" display="javascript:void(0);"/>
    <hyperlink ref="F795" r:id="rId794" display="javascript:void(0);"/>
    <hyperlink ref="E797" r:id="rId795" display="javascript:void(0);"/>
    <hyperlink ref="F797" r:id="rId796" display="javascript:void(0);"/>
    <hyperlink ref="E799" r:id="rId797" display="javascript:void(0);"/>
    <hyperlink ref="F799" r:id="rId798" display="javascript:void(0);"/>
    <hyperlink ref="E801" r:id="rId799" display="javascript:void(0);"/>
    <hyperlink ref="F801" r:id="rId800" display="javascript:void(0);"/>
    <hyperlink ref="E803" r:id="rId801" display="javascript:void(0);"/>
    <hyperlink ref="F803" r:id="rId802" display="javascript:void(0);"/>
    <hyperlink ref="E805" r:id="rId803" display="javascript:void(0);"/>
    <hyperlink ref="F805" r:id="rId804" display="javascript:void(0);"/>
    <hyperlink ref="E807" r:id="rId805" display="javascript:void(0);"/>
    <hyperlink ref="F807" r:id="rId806" display="javascript:void(0);"/>
    <hyperlink ref="E809" r:id="rId807" display="javascript:void(0);"/>
    <hyperlink ref="F809" r:id="rId808" display="javascript:void(0);"/>
    <hyperlink ref="E811" r:id="rId809" display="javascript:void(0);"/>
    <hyperlink ref="F811" r:id="rId810" display="javascript:void(0);"/>
    <hyperlink ref="E813" r:id="rId811" display="javascript:void(0);"/>
    <hyperlink ref="F813" r:id="rId812" display="javascript:void(0);"/>
    <hyperlink ref="E815" r:id="rId813" display="javascript:void(0);"/>
    <hyperlink ref="F815" r:id="rId814" display="javascript:void(0);"/>
    <hyperlink ref="E817" r:id="rId815" display="javascript:void(0);"/>
    <hyperlink ref="F817" r:id="rId816" display="javascript:void(0);"/>
    <hyperlink ref="E819" r:id="rId817" display="javascript:void(0);"/>
    <hyperlink ref="F819" r:id="rId818" display="javascript:void(0);"/>
    <hyperlink ref="E821" r:id="rId819" display="javascript:void(0);"/>
    <hyperlink ref="F821" r:id="rId820" display="javascript:void(0);"/>
    <hyperlink ref="E823" r:id="rId821" display="javascript:void(0);"/>
    <hyperlink ref="F823" r:id="rId822" display="javascript:void(0);"/>
    <hyperlink ref="E825" r:id="rId823" display="javascript:void(0);"/>
    <hyperlink ref="F825" r:id="rId824" display="javascript:void(0);"/>
    <hyperlink ref="E827" r:id="rId825" display="javascript:void(0);"/>
    <hyperlink ref="F827" r:id="rId826" display="javascript:void(0);"/>
    <hyperlink ref="E829" r:id="rId827" display="javascript:void(0);"/>
    <hyperlink ref="F829" r:id="rId828" display="javascript:void(0);"/>
    <hyperlink ref="E831" r:id="rId829" display="javascript:void(0);"/>
    <hyperlink ref="F831" r:id="rId830" display="javascript:void(0);"/>
    <hyperlink ref="E833" r:id="rId831" display="javascript:void(0);"/>
    <hyperlink ref="F833" r:id="rId832" display="javascript:void(0);"/>
    <hyperlink ref="E835" r:id="rId833" display="javascript:void(0);"/>
    <hyperlink ref="F835" r:id="rId834" display="javascript:void(0);"/>
    <hyperlink ref="E837" r:id="rId835" display="javascript:void(0);"/>
    <hyperlink ref="F837" r:id="rId836" display="javascript:void(0);"/>
    <hyperlink ref="E839" r:id="rId837" display="javascript:void(0);"/>
    <hyperlink ref="F839" r:id="rId838" display="javascript:void(0);"/>
    <hyperlink ref="E841" r:id="rId839" display="javascript:void(0);"/>
    <hyperlink ref="F841" r:id="rId840" display="javascript:void(0);"/>
    <hyperlink ref="E843" r:id="rId841" display="javascript:void(0);"/>
    <hyperlink ref="F843" r:id="rId842" display="javascript:void(0);"/>
    <hyperlink ref="E845" r:id="rId843" display="javascript:void(0);"/>
    <hyperlink ref="F845" r:id="rId844" display="javascript:void(0);"/>
    <hyperlink ref="E847" r:id="rId845" display="javascript:void(0);"/>
    <hyperlink ref="F847" r:id="rId846" display="javascript:void(0);"/>
    <hyperlink ref="E849" r:id="rId847" display="javascript:void(0);"/>
    <hyperlink ref="F849" r:id="rId848" display="javascript:void(0);"/>
    <hyperlink ref="E851" r:id="rId849" display="javascript:void(0);"/>
    <hyperlink ref="F851" r:id="rId850" display="javascript:void(0);"/>
    <hyperlink ref="E853" r:id="rId851" display="javascript:void(0);"/>
    <hyperlink ref="F853" r:id="rId852" display="javascript:void(0);"/>
    <hyperlink ref="E855" r:id="rId853" display="javascript:void(0);"/>
    <hyperlink ref="F855" r:id="rId854" display="javascript:void(0);"/>
    <hyperlink ref="E857" r:id="rId855" display="javascript:void(0);"/>
    <hyperlink ref="F857" r:id="rId856" display="javascript:void(0);"/>
    <hyperlink ref="E859" r:id="rId857" display="javascript:void(0);"/>
    <hyperlink ref="F859" r:id="rId858" display="javascript:void(0);"/>
    <hyperlink ref="E861" r:id="rId859" display="javascript:void(0);"/>
    <hyperlink ref="F861" r:id="rId860" display="javascript:void(0);"/>
    <hyperlink ref="E863" r:id="rId861" display="javascript:void(0);"/>
    <hyperlink ref="F863" r:id="rId862" display="javascript:void(0);"/>
    <hyperlink ref="E865" r:id="rId863" display="javascript:void(0);"/>
    <hyperlink ref="F865" r:id="rId864" display="javascript:void(0);"/>
    <hyperlink ref="E867" r:id="rId865" display="javascript:void(0);"/>
    <hyperlink ref="F867" r:id="rId866" display="javascript:void(0);"/>
    <hyperlink ref="E869" r:id="rId867" display="javascript:void(0);"/>
    <hyperlink ref="F869" r:id="rId868" display="javascript:void(0);"/>
    <hyperlink ref="E871" r:id="rId869" display="javascript:void(0);"/>
    <hyperlink ref="F871" r:id="rId870" display="javascript:void(0);"/>
    <hyperlink ref="E873" r:id="rId871" display="javascript:void(0);"/>
    <hyperlink ref="F873" r:id="rId872" display="javascript:void(0);"/>
    <hyperlink ref="E875" r:id="rId873" display="javascript:void(0);"/>
    <hyperlink ref="F875" r:id="rId874" display="javascript:void(0);"/>
    <hyperlink ref="E877" r:id="rId875" display="javascript:void(0);"/>
    <hyperlink ref="F877" r:id="rId876" display="javascript:void(0);"/>
    <hyperlink ref="E879" r:id="rId877" display="javascript:void(0);"/>
    <hyperlink ref="F879" r:id="rId878" display="javascript:void(0);"/>
    <hyperlink ref="E881" r:id="rId879" display="javascript:void(0);"/>
    <hyperlink ref="F881" r:id="rId880" display="javascript:void(0);"/>
    <hyperlink ref="E883" r:id="rId881" display="javascript:void(0);"/>
    <hyperlink ref="F883" r:id="rId882" display="javascript:void(0);"/>
    <hyperlink ref="E885" r:id="rId883" display="javascript:void(0);"/>
    <hyperlink ref="F885" r:id="rId884" display="javascript:void(0);"/>
    <hyperlink ref="E887" r:id="rId885" display="javascript:void(0);"/>
    <hyperlink ref="F887" r:id="rId886" display="javascript:void(0);"/>
    <hyperlink ref="E889" r:id="rId887" display="javascript:void(0);"/>
    <hyperlink ref="F889" r:id="rId888" display="javascript:void(0);"/>
    <hyperlink ref="E891" r:id="rId889" display="javascript:void(0);"/>
    <hyperlink ref="F891" r:id="rId890" display="javascript:void(0);"/>
    <hyperlink ref="E893" r:id="rId891" display="javascript:void(0);"/>
    <hyperlink ref="F893" r:id="rId892" display="javascript:void(0);"/>
    <hyperlink ref="E895" r:id="rId893" display="javascript:void(0);"/>
    <hyperlink ref="F895" r:id="rId894" display="javascript:void(0);"/>
    <hyperlink ref="E897" r:id="rId895" display="javascript:void(0);"/>
    <hyperlink ref="F897" r:id="rId896" display="javascript:void(0);"/>
    <hyperlink ref="E899" r:id="rId897" display="javascript:void(0);"/>
    <hyperlink ref="F899" r:id="rId898" display="javascript:void(0);"/>
    <hyperlink ref="E901" r:id="rId899" display="javascript:void(0);"/>
    <hyperlink ref="F901" r:id="rId900" display="javascript:void(0);"/>
    <hyperlink ref="E903" r:id="rId901" display="javascript:void(0);"/>
    <hyperlink ref="F903" r:id="rId902" display="javascript:void(0);"/>
    <hyperlink ref="E905" r:id="rId903" display="javascript:void(0);"/>
    <hyperlink ref="F905" r:id="rId904" display="javascript:void(0);"/>
    <hyperlink ref="E907" r:id="rId905" display="javascript:void(0);"/>
    <hyperlink ref="F907" r:id="rId906" display="javascript:void(0);"/>
    <hyperlink ref="E909" r:id="rId907" display="javascript:void(0);"/>
    <hyperlink ref="F909" r:id="rId908" display="javascript:void(0);"/>
    <hyperlink ref="E911" r:id="rId909" display="javascript:void(0);"/>
    <hyperlink ref="F911" r:id="rId910" display="javascript:void(0);"/>
    <hyperlink ref="E913" r:id="rId911" display="javascript:void(0);"/>
    <hyperlink ref="F913" r:id="rId912" display="javascript:void(0);"/>
    <hyperlink ref="E915" r:id="rId913" display="javascript:void(0);"/>
    <hyperlink ref="F915" r:id="rId914" display="javascript:void(0);"/>
    <hyperlink ref="E917" r:id="rId915" display="javascript:void(0);"/>
    <hyperlink ref="F917" r:id="rId916" display="javascript:void(0);"/>
    <hyperlink ref="E919" r:id="rId917" display="javascript:void(0);"/>
    <hyperlink ref="F919" r:id="rId918" display="javascript:void(0);"/>
    <hyperlink ref="E921" r:id="rId919" display="javascript:void(0);"/>
    <hyperlink ref="F921" r:id="rId920" display="javascript:void(0);"/>
    <hyperlink ref="E923" r:id="rId921" display="javascript:void(0);"/>
    <hyperlink ref="F923" r:id="rId922" display="javascript:void(0);"/>
    <hyperlink ref="E925" r:id="rId923" display="javascript:void(0);"/>
    <hyperlink ref="F925" r:id="rId924" display="javascript:void(0);"/>
    <hyperlink ref="E927" r:id="rId925" display="javascript:void(0);"/>
    <hyperlink ref="F927" r:id="rId926" display="javascript:void(0);"/>
    <hyperlink ref="E929" r:id="rId927" display="javascript:void(0);"/>
    <hyperlink ref="F929" r:id="rId928" display="javascript:void(0);"/>
    <hyperlink ref="E931" r:id="rId929" display="javascript:void(0);"/>
    <hyperlink ref="F931" r:id="rId930" display="javascript:void(0);"/>
    <hyperlink ref="E933" r:id="rId931" display="javascript:void(0);"/>
    <hyperlink ref="F933" r:id="rId932" display="javascript:void(0);"/>
    <hyperlink ref="E935" r:id="rId933" display="javascript:void(0);"/>
    <hyperlink ref="F935" r:id="rId934" display="javascript:void(0);"/>
    <hyperlink ref="E937" r:id="rId935" display="javascript:void(0);"/>
    <hyperlink ref="F937" r:id="rId936" display="javascript:void(0);"/>
    <hyperlink ref="E939" r:id="rId937" display="javascript:void(0);"/>
    <hyperlink ref="F939" r:id="rId938" display="javascript:void(0);"/>
    <hyperlink ref="E941" r:id="rId939" display="javascript:void(0);"/>
    <hyperlink ref="F941" r:id="rId940" display="javascript:void(0);"/>
    <hyperlink ref="E943" r:id="rId941" display="javascript:void(0);"/>
    <hyperlink ref="F943" r:id="rId942" display="javascript:void(0);"/>
    <hyperlink ref="E945" r:id="rId943" display="javascript:void(0);"/>
    <hyperlink ref="F945" r:id="rId944" display="javascript:void(0);"/>
    <hyperlink ref="E947" r:id="rId945" display="javascript:void(0);"/>
    <hyperlink ref="F947" r:id="rId946" display="javascript:void(0);"/>
    <hyperlink ref="E949" r:id="rId947" display="javascript:void(0);"/>
    <hyperlink ref="F949" r:id="rId948" display="javascript:void(0);"/>
    <hyperlink ref="E951" r:id="rId949" display="javascript:void(0);"/>
    <hyperlink ref="F951" r:id="rId950" display="javascript:void(0);"/>
    <hyperlink ref="E953" r:id="rId951" display="javascript:void(0);"/>
    <hyperlink ref="F953" r:id="rId952" display="javascript:void(0);"/>
    <hyperlink ref="E955" r:id="rId953" display="javascript:void(0);"/>
    <hyperlink ref="F955" r:id="rId954" display="javascript:void(0);"/>
    <hyperlink ref="E957" r:id="rId955" display="javascript:void(0);"/>
    <hyperlink ref="F957" r:id="rId956" display="javascript:void(0);"/>
    <hyperlink ref="E959" r:id="rId957" display="javascript:void(0);"/>
    <hyperlink ref="F959" r:id="rId958" display="javascript:void(0);"/>
    <hyperlink ref="E961" r:id="rId959" display="javascript:void(0);"/>
    <hyperlink ref="F961" r:id="rId960" display="javascript:void(0);"/>
    <hyperlink ref="E963" r:id="rId961" display="javascript:void(0);"/>
    <hyperlink ref="F963" r:id="rId962" display="javascript:void(0);"/>
    <hyperlink ref="E965" r:id="rId963" display="javascript:void(0);"/>
    <hyperlink ref="F965" r:id="rId964" display="javascript:void(0);"/>
    <hyperlink ref="E967" r:id="rId965" display="javascript:void(0);"/>
    <hyperlink ref="F967" r:id="rId966" display="javascript:void(0);"/>
    <hyperlink ref="E969" r:id="rId967" display="javascript:void(0);"/>
    <hyperlink ref="F969" r:id="rId968" display="javascript:void(0);"/>
    <hyperlink ref="E971" r:id="rId969" display="javascript:void(0);"/>
    <hyperlink ref="F971" r:id="rId970" display="javascript:void(0);"/>
    <hyperlink ref="E973" r:id="rId971" display="javascript:void(0);"/>
    <hyperlink ref="F973" r:id="rId972" display="javascript:void(0);"/>
    <hyperlink ref="E975" r:id="rId973" display="javascript:void(0);"/>
    <hyperlink ref="F975" r:id="rId974" display="javascript:void(0);"/>
    <hyperlink ref="E977" r:id="rId975" display="javascript:void(0);"/>
    <hyperlink ref="F977" r:id="rId976" display="javascript:void(0);"/>
    <hyperlink ref="E979" r:id="rId977" display="javascript:void(0);"/>
    <hyperlink ref="F979" r:id="rId978" display="javascript:void(0);"/>
    <hyperlink ref="E981" r:id="rId979" display="javascript:void(0);"/>
    <hyperlink ref="F981" r:id="rId980" display="javascript:void(0);"/>
    <hyperlink ref="E983" r:id="rId981" display="javascript:void(0);"/>
    <hyperlink ref="F983" r:id="rId982" display="javascript:void(0);"/>
    <hyperlink ref="E985" r:id="rId983" display="javascript:void(0);"/>
    <hyperlink ref="F985" r:id="rId984" display="javascript:void(0);"/>
    <hyperlink ref="E987" r:id="rId985" display="javascript:void(0);"/>
    <hyperlink ref="F987" r:id="rId986" display="javascript:void(0);"/>
    <hyperlink ref="E989" r:id="rId987" display="javascript:void(0);"/>
    <hyperlink ref="F989" r:id="rId988" display="javascript:void(0);"/>
    <hyperlink ref="E991" r:id="rId989" display="javascript:void(0);"/>
    <hyperlink ref="F991" r:id="rId990" display="javascript:void(0);"/>
    <hyperlink ref="E993" r:id="rId991" display="javascript:void(0);"/>
    <hyperlink ref="F993" r:id="rId992" display="javascript:void(0);"/>
    <hyperlink ref="E995" r:id="rId993" display="javascript:void(0);"/>
    <hyperlink ref="F995" r:id="rId994" display="javascript:void(0);"/>
    <hyperlink ref="E997" r:id="rId995" display="javascript:void(0);"/>
    <hyperlink ref="F997" r:id="rId996" display="javascript:void(0);"/>
    <hyperlink ref="E999" r:id="rId997" display="javascript:void(0);"/>
    <hyperlink ref="F999" r:id="rId998" display="javascript:void(0);"/>
    <hyperlink ref="E1001" r:id="rId999" display="javascript:void(0);"/>
    <hyperlink ref="F1001" r:id="rId1000" display="javascript:void(0);"/>
    <hyperlink ref="E1003" r:id="rId1001" display="javascript:void(0);"/>
    <hyperlink ref="F1003" r:id="rId1002" display="javascript:void(0);"/>
    <hyperlink ref="E1005" r:id="rId1003" display="javascript:void(0);"/>
    <hyperlink ref="F1005" r:id="rId1004" display="javascript:void(0);"/>
    <hyperlink ref="E1007" r:id="rId1005" display="javascript:void(0);"/>
    <hyperlink ref="F1007" r:id="rId1006" display="javascript:void(0);"/>
    <hyperlink ref="E1009" r:id="rId1007" display="javascript:void(0);"/>
    <hyperlink ref="F1009" r:id="rId1008" display="javascript:void(0);"/>
    <hyperlink ref="E1011" r:id="rId1009" display="javascript:void(0);"/>
    <hyperlink ref="F1011" r:id="rId1010" display="javascript:void(0);"/>
    <hyperlink ref="E1013" r:id="rId1011" display="javascript:void(0);"/>
    <hyperlink ref="F1013" r:id="rId1012" display="javascript:void(0);"/>
    <hyperlink ref="E1015" r:id="rId1013" display="javascript:void(0);"/>
    <hyperlink ref="F1015" r:id="rId1014" display="javascript:void(0);"/>
    <hyperlink ref="E1017" r:id="rId1015" display="javascript:void(0);"/>
    <hyperlink ref="F1017" r:id="rId1016" display="javascript:void(0);"/>
    <hyperlink ref="E1019" r:id="rId1017" display="javascript:void(0);"/>
    <hyperlink ref="F1019" r:id="rId1018" display="javascript:void(0);"/>
    <hyperlink ref="E1021" r:id="rId1019" display="javascript:void(0);"/>
    <hyperlink ref="F1021" r:id="rId1020" display="javascript:void(0);"/>
    <hyperlink ref="E1023" r:id="rId1021" display="javascript:void(0);"/>
    <hyperlink ref="F1023" r:id="rId1022" display="javascript:void(0);"/>
    <hyperlink ref="E1025" r:id="rId1023" display="javascript:void(0);"/>
    <hyperlink ref="F1025" r:id="rId1024" display="javascript:void(0);"/>
    <hyperlink ref="E1027" r:id="rId1025" display="javascript:void(0);"/>
    <hyperlink ref="F1027" r:id="rId1026" display="javascript:void(0);"/>
    <hyperlink ref="E1029" r:id="rId1027" display="javascript:void(0);"/>
    <hyperlink ref="F1029" r:id="rId1028" display="javascript:void(0);"/>
    <hyperlink ref="E1031" r:id="rId1029" display="javascript:void(0);"/>
    <hyperlink ref="F1031" r:id="rId1030" display="javascript:void(0);"/>
    <hyperlink ref="E1033" r:id="rId1031" display="javascript:void(0);"/>
    <hyperlink ref="F1033" r:id="rId1032" display="javascript:void(0);"/>
    <hyperlink ref="E1035" r:id="rId1033" display="javascript:void(0);"/>
    <hyperlink ref="F1035" r:id="rId1034" display="javascript:void(0);"/>
    <hyperlink ref="E1037" r:id="rId1035" display="javascript:void(0);"/>
    <hyperlink ref="F1037" r:id="rId1036" display="javascript:void(0);"/>
    <hyperlink ref="E1039" r:id="rId1037" display="javascript:void(0);"/>
    <hyperlink ref="F1039" r:id="rId1038" display="javascript:void(0);"/>
    <hyperlink ref="E1041" r:id="rId1039" display="javascript:void(0);"/>
    <hyperlink ref="F1041" r:id="rId1040" display="javascript:void(0);"/>
    <hyperlink ref="E1043" r:id="rId1041" display="javascript:void(0);"/>
    <hyperlink ref="F1043" r:id="rId1042" display="javascript:void(0);"/>
    <hyperlink ref="E1045" r:id="rId1043" display="javascript:void(0);"/>
    <hyperlink ref="F1045" r:id="rId1044" display="javascript:void(0);"/>
    <hyperlink ref="E1047" r:id="rId1045" display="javascript:void(0);"/>
    <hyperlink ref="F1047" r:id="rId1046" display="javascript:void(0);"/>
    <hyperlink ref="E1049" r:id="rId1047" display="javascript:void(0);"/>
    <hyperlink ref="F1049" r:id="rId1048" display="javascript:void(0);"/>
    <hyperlink ref="E1051" r:id="rId1049" display="javascript:void(0);"/>
    <hyperlink ref="F1051" r:id="rId1050" display="javascript:void(0);"/>
    <hyperlink ref="E1053" r:id="rId1051" display="javascript:void(0);"/>
    <hyperlink ref="F1053" r:id="rId1052" display="javascript:void(0);"/>
    <hyperlink ref="E1055" r:id="rId1053" display="javascript:void(0);"/>
    <hyperlink ref="F1055" r:id="rId1054" display="javascript:void(0);"/>
    <hyperlink ref="E1057" r:id="rId1055" display="javascript:void(0);"/>
    <hyperlink ref="F1057" r:id="rId1056" display="javascript:void(0);"/>
    <hyperlink ref="E1059" r:id="rId1057" display="javascript:void(0);"/>
    <hyperlink ref="F1059" r:id="rId1058" display="javascript:void(0);"/>
    <hyperlink ref="E1061" r:id="rId1059" display="javascript:void(0);"/>
    <hyperlink ref="F1061" r:id="rId1060" display="javascript:void(0);"/>
    <hyperlink ref="E1063" r:id="rId1061" display="javascript:void(0);"/>
    <hyperlink ref="F1063" r:id="rId1062" display="javascript:void(0);"/>
    <hyperlink ref="E1065" r:id="rId1063" display="javascript:void(0);"/>
    <hyperlink ref="F1065" r:id="rId1064" display="javascript:void(0);"/>
    <hyperlink ref="E1067" r:id="rId1065" display="javascript:void(0);"/>
    <hyperlink ref="F1067" r:id="rId1066" display="javascript:void(0);"/>
    <hyperlink ref="E1069" r:id="rId1067" display="javascript:void(0);"/>
    <hyperlink ref="F1069" r:id="rId1068" display="javascript:void(0);"/>
    <hyperlink ref="E1071" r:id="rId1069" display="javascript:void(0);"/>
    <hyperlink ref="F1071" r:id="rId1070" display="javascript:void(0);"/>
    <hyperlink ref="E1073" r:id="rId1071" display="javascript:void(0);"/>
    <hyperlink ref="F1073" r:id="rId1072" display="javascript:void(0);"/>
    <hyperlink ref="E1075" r:id="rId1073" display="javascript:void(0);"/>
    <hyperlink ref="F1075" r:id="rId1074" display="javascript:void(0);"/>
    <hyperlink ref="E1077" r:id="rId1075" display="javascript:void(0);"/>
    <hyperlink ref="F1077" r:id="rId1076" display="javascript:void(0);"/>
    <hyperlink ref="E1079" r:id="rId1077" display="javascript:void(0);"/>
    <hyperlink ref="F1079" r:id="rId1078" display="javascript:void(0);"/>
    <hyperlink ref="E1081" r:id="rId1079" display="javascript:void(0);"/>
    <hyperlink ref="F1081" r:id="rId1080" display="javascript:void(0);"/>
    <hyperlink ref="E1083" r:id="rId1081" display="javascript:void(0);"/>
    <hyperlink ref="F1083" r:id="rId1082" display="javascript:void(0);"/>
    <hyperlink ref="E1085" r:id="rId1083" display="javascript:void(0);"/>
    <hyperlink ref="F1085" r:id="rId1084" display="javascript:void(0);"/>
    <hyperlink ref="E1087" r:id="rId1085" display="javascript:void(0);"/>
    <hyperlink ref="F1087" r:id="rId1086" display="javascript:void(0);"/>
    <hyperlink ref="E1089" r:id="rId1087" display="javascript:void(0);"/>
    <hyperlink ref="F1089" r:id="rId1088" display="javascript:void(0);"/>
    <hyperlink ref="E1091" r:id="rId1089" display="javascript:void(0);"/>
    <hyperlink ref="F1091" r:id="rId1090" display="javascript:void(0);"/>
    <hyperlink ref="E1093" r:id="rId1091" display="javascript:void(0);"/>
    <hyperlink ref="F1093" r:id="rId1092" display="javascript:void(0);"/>
    <hyperlink ref="E1095" r:id="rId1093" display="javascript:void(0);"/>
    <hyperlink ref="F1095" r:id="rId1094" display="javascript:void(0);"/>
    <hyperlink ref="E1097" r:id="rId1095" display="javascript:void(0);"/>
    <hyperlink ref="F1097" r:id="rId1096" display="javascript:void(0);"/>
    <hyperlink ref="E1099" r:id="rId1097" display="javascript:void(0);"/>
    <hyperlink ref="F1099" r:id="rId1098" display="javascript:void(0);"/>
    <hyperlink ref="E1101" r:id="rId1099" display="javascript:void(0);"/>
    <hyperlink ref="F1101" r:id="rId1100" display="javascript:void(0);"/>
    <hyperlink ref="E1103" r:id="rId1101" display="javascript:void(0);"/>
    <hyperlink ref="F1103" r:id="rId1102" display="javascript:void(0);"/>
    <hyperlink ref="E1105" r:id="rId1103" display="javascript:void(0);"/>
    <hyperlink ref="F1105" r:id="rId1104" display="javascript:void(0);"/>
    <hyperlink ref="E1107" r:id="rId1105" display="javascript:void(0);"/>
    <hyperlink ref="F1107" r:id="rId1106" display="javascript:void(0);"/>
    <hyperlink ref="E1109" r:id="rId1107" display="javascript:void(0);"/>
    <hyperlink ref="F1109" r:id="rId1108" display="javascript:void(0);"/>
    <hyperlink ref="E1111" r:id="rId1109" display="javascript:void(0);"/>
    <hyperlink ref="F1111" r:id="rId1110" display="javascript:void(0);"/>
    <hyperlink ref="E1113" r:id="rId1111" display="javascript:void(0);"/>
    <hyperlink ref="F1113" r:id="rId1112" display="javascript:void(0);"/>
    <hyperlink ref="E1115" r:id="rId1113" display="javascript:void(0);"/>
    <hyperlink ref="F1115" r:id="rId1114" display="javascript:void(0);"/>
    <hyperlink ref="E1117" r:id="rId1115" display="javascript:void(0);"/>
    <hyperlink ref="F1117" r:id="rId1116" display="javascript:void(0);"/>
    <hyperlink ref="E1119" r:id="rId1117" display="javascript:void(0);"/>
    <hyperlink ref="F1119" r:id="rId1118" display="javascript:void(0);"/>
    <hyperlink ref="E1121" r:id="rId1119" display="javascript:void(0);"/>
    <hyperlink ref="F1121" r:id="rId1120" display="javascript:void(0);"/>
    <hyperlink ref="E1123" r:id="rId1121" display="javascript:void(0);"/>
    <hyperlink ref="F1123" r:id="rId1122" display="javascript:void(0);"/>
    <hyperlink ref="E1125" r:id="rId1123" display="javascript:void(0);"/>
    <hyperlink ref="F1125" r:id="rId1124" display="javascript:void(0);"/>
    <hyperlink ref="E1127" r:id="rId1125" display="javascript:void(0);"/>
    <hyperlink ref="F1127" r:id="rId1126" display="javascript:void(0);"/>
    <hyperlink ref="E1129" r:id="rId1127" display="javascript:void(0);"/>
    <hyperlink ref="F1129" r:id="rId1128" display="javascript:void(0);"/>
    <hyperlink ref="E1131" r:id="rId1129" display="javascript:void(0);"/>
    <hyperlink ref="F1131" r:id="rId1130" display="javascript:void(0);"/>
    <hyperlink ref="E1133" r:id="rId1131" display="javascript:void(0);"/>
    <hyperlink ref="F1133" r:id="rId1132" display="javascript:void(0);"/>
    <hyperlink ref="E1135" r:id="rId1133" display="javascript:void(0);"/>
    <hyperlink ref="F1135" r:id="rId1134" display="javascript:void(0);"/>
    <hyperlink ref="E1137" r:id="rId1135" display="javascript:void(0);"/>
    <hyperlink ref="F1137" r:id="rId1136" display="javascript:void(0);"/>
    <hyperlink ref="E1139" r:id="rId1137" display="javascript:void(0);"/>
    <hyperlink ref="F1139" r:id="rId1138" display="javascript:void(0);"/>
    <hyperlink ref="E1141" r:id="rId1139" display="javascript:void(0);"/>
    <hyperlink ref="F1141" r:id="rId1140" display="javascript:void(0);"/>
    <hyperlink ref="E1143" r:id="rId1141" display="javascript:void(0);"/>
    <hyperlink ref="F1143" r:id="rId1142" display="javascript:void(0);"/>
    <hyperlink ref="E1145" r:id="rId1143" display="javascript:void(0);"/>
    <hyperlink ref="F1145" r:id="rId1144" display="javascript:void(0);"/>
    <hyperlink ref="E1147" r:id="rId1145" display="javascript:void(0);"/>
    <hyperlink ref="F1147" r:id="rId1146" display="javascript:void(0);"/>
    <hyperlink ref="E1149" r:id="rId1147" display="javascript:void(0);"/>
    <hyperlink ref="F1149" r:id="rId1148" display="javascript:void(0);"/>
    <hyperlink ref="E1151" r:id="rId1149" display="javascript:void(0);"/>
    <hyperlink ref="F1151" r:id="rId1150" display="javascript:void(0);"/>
    <hyperlink ref="E1153" r:id="rId1151" display="javascript:void(0);"/>
    <hyperlink ref="F1153" r:id="rId1152" display="javascript:void(0);"/>
    <hyperlink ref="E1155" r:id="rId1153" display="javascript:void(0);"/>
    <hyperlink ref="F1155" r:id="rId1154" display="javascript:void(0);"/>
    <hyperlink ref="E1157" r:id="rId1155" display="javascript:void(0);"/>
    <hyperlink ref="F1157" r:id="rId1156" display="javascript:void(0);"/>
    <hyperlink ref="E1159" r:id="rId1157" display="javascript:void(0);"/>
    <hyperlink ref="F1159" r:id="rId1158" display="javascript:void(0);"/>
    <hyperlink ref="E1161" r:id="rId1159" display="javascript:void(0);"/>
    <hyperlink ref="F1161" r:id="rId1160" display="javascript:void(0);"/>
    <hyperlink ref="E1163" r:id="rId1161" display="javascript:void(0);"/>
    <hyperlink ref="F1163" r:id="rId1162" display="javascript:void(0);"/>
    <hyperlink ref="E1165" r:id="rId1163" display="javascript:void(0);"/>
    <hyperlink ref="F1165" r:id="rId1164" display="javascript:void(0);"/>
    <hyperlink ref="E1167" r:id="rId1165" display="javascript:void(0);"/>
    <hyperlink ref="F1167" r:id="rId1166" display="javascript:void(0);"/>
    <hyperlink ref="E1169" r:id="rId1167" display="javascript:void(0);"/>
    <hyperlink ref="F1169" r:id="rId1168" display="javascript:void(0);"/>
    <hyperlink ref="E1171" r:id="rId1169" display="javascript:void(0);"/>
    <hyperlink ref="F1171" r:id="rId1170" display="javascript:void(0);"/>
    <hyperlink ref="E1173" r:id="rId1171" display="javascript:void(0);"/>
    <hyperlink ref="F1173" r:id="rId1172" display="javascript:void(0);"/>
    <hyperlink ref="E1175" r:id="rId1173" display="javascript:void(0);"/>
    <hyperlink ref="F1175" r:id="rId1174" display="javascript:void(0);"/>
    <hyperlink ref="E1177" r:id="rId1175" display="javascript:void(0);"/>
    <hyperlink ref="F1177" r:id="rId1176" display="javascript:void(0);"/>
    <hyperlink ref="E1179" r:id="rId1177" display="javascript:void(0);"/>
    <hyperlink ref="F1179" r:id="rId1178" display="javascript:void(0);"/>
    <hyperlink ref="E1181" r:id="rId1179" display="javascript:void(0);"/>
    <hyperlink ref="F1181" r:id="rId1180" display="javascript:void(0);"/>
    <hyperlink ref="E1183" r:id="rId1181" display="javascript:void(0);"/>
    <hyperlink ref="F1183" r:id="rId1182" display="javascript:void(0);"/>
    <hyperlink ref="E1185" r:id="rId1183" display="javascript:void(0);"/>
    <hyperlink ref="F1185" r:id="rId1184" display="javascript:void(0);"/>
    <hyperlink ref="E1187" r:id="rId1185" display="javascript:void(0);"/>
    <hyperlink ref="F1187" r:id="rId1186" display="javascript:void(0);"/>
    <hyperlink ref="E1189" r:id="rId1187" display="javascript:void(0);"/>
    <hyperlink ref="F1189" r:id="rId1188" display="javascript:void(0);"/>
    <hyperlink ref="E1191" r:id="rId1189" display="javascript:void(0);"/>
    <hyperlink ref="F1191" r:id="rId1190" display="javascript:void(0);"/>
    <hyperlink ref="E1193" r:id="rId1191" display="javascript:void(0);"/>
    <hyperlink ref="F1193" r:id="rId1192" display="javascript:void(0);"/>
    <hyperlink ref="E1195" r:id="rId1193" display="javascript:void(0);"/>
    <hyperlink ref="F1195" r:id="rId1194" display="javascript:void(0);"/>
    <hyperlink ref="E1197" r:id="rId1195" display="javascript:void(0);"/>
    <hyperlink ref="F1197" r:id="rId1196" display="javascript:void(0);"/>
    <hyperlink ref="E1199" r:id="rId1197" display="javascript:void(0);"/>
    <hyperlink ref="F1199" r:id="rId1198" display="javascript:void(0);"/>
    <hyperlink ref="E1201" r:id="rId1199" display="javascript:void(0);"/>
    <hyperlink ref="F1201" r:id="rId1200" display="javascript:void(0);"/>
    <hyperlink ref="E1203" r:id="rId1201" display="javascript:void(0);"/>
    <hyperlink ref="F1203" r:id="rId1202" display="javascript:void(0);"/>
    <hyperlink ref="E1205" r:id="rId1203" display="javascript:void(0);"/>
    <hyperlink ref="F1205" r:id="rId1204" display="javascript:void(0);"/>
    <hyperlink ref="E1207" r:id="rId1205" display="javascript:void(0);"/>
    <hyperlink ref="F1207" r:id="rId1206" display="javascript:void(0);"/>
    <hyperlink ref="E1209" r:id="rId1207" display="javascript:void(0);"/>
    <hyperlink ref="F1209" r:id="rId1208" display="javascript:void(0);"/>
    <hyperlink ref="E1211" r:id="rId1209" display="javascript:void(0);"/>
    <hyperlink ref="F1211" r:id="rId1210" display="javascript:void(0);"/>
    <hyperlink ref="E1213" r:id="rId1211" display="javascript:void(0);"/>
    <hyperlink ref="F1213" r:id="rId1212" display="javascript:void(0);"/>
    <hyperlink ref="E1215" r:id="rId1213" display="javascript:void(0);"/>
    <hyperlink ref="F1215" r:id="rId1214" display="javascript:void(0);"/>
    <hyperlink ref="E1217" r:id="rId1215" display="javascript:void(0);"/>
    <hyperlink ref="F1217" r:id="rId1216" display="javascript:void(0);"/>
    <hyperlink ref="E1219" r:id="rId1217" display="javascript:void(0);"/>
    <hyperlink ref="F1219" r:id="rId1218" display="javascript:void(0);"/>
    <hyperlink ref="E1221" r:id="rId1219" display="javascript:void(0);"/>
    <hyperlink ref="F1221" r:id="rId1220" display="javascript:void(0);"/>
    <hyperlink ref="E1223" r:id="rId1221" display="javascript:void(0);"/>
    <hyperlink ref="F1223" r:id="rId1222" display="javascript:void(0);"/>
    <hyperlink ref="E1225" r:id="rId1223" display="javascript:void(0);"/>
    <hyperlink ref="F1225" r:id="rId1224" display="javascript:void(0);"/>
    <hyperlink ref="E1227" r:id="rId1225" display="javascript:void(0);"/>
    <hyperlink ref="F1227" r:id="rId1226" display="javascript:void(0);"/>
    <hyperlink ref="E1229" r:id="rId1227" display="javascript:void(0);"/>
    <hyperlink ref="F1229" r:id="rId1228" display="javascript:void(0);"/>
    <hyperlink ref="E1231" r:id="rId1229" display="javascript:void(0);"/>
    <hyperlink ref="F1231" r:id="rId1230" display="javascript:void(0);"/>
    <hyperlink ref="E1233" r:id="rId1231" display="javascript:void(0);"/>
    <hyperlink ref="F1233" r:id="rId1232" display="javascript:void(0);"/>
    <hyperlink ref="E1235" r:id="rId1233" display="javascript:void(0);"/>
    <hyperlink ref="F1235" r:id="rId1234" display="javascript:void(0);"/>
    <hyperlink ref="E1237" r:id="rId1235" display="javascript:void(0);"/>
    <hyperlink ref="F1237" r:id="rId1236" display="javascript:void(0);"/>
    <hyperlink ref="E1239" r:id="rId1237" display="javascript:void(0);"/>
    <hyperlink ref="F1239" r:id="rId1238" display="javascript:void(0);"/>
    <hyperlink ref="E1241" r:id="rId1239" display="javascript:void(0);"/>
    <hyperlink ref="F1241" r:id="rId1240" display="javascript:void(0);"/>
    <hyperlink ref="E1243" r:id="rId1241" display="javascript:void(0);"/>
    <hyperlink ref="F1243" r:id="rId1242" display="javascript:void(0);"/>
    <hyperlink ref="E1245" r:id="rId1243" display="javascript:void(0);"/>
    <hyperlink ref="F1245" r:id="rId1244" display="javascript:void(0);"/>
    <hyperlink ref="E1247" r:id="rId1245" display="javascript:void(0);"/>
    <hyperlink ref="F1247" r:id="rId1246" display="javascript:void(0);"/>
    <hyperlink ref="E1249" r:id="rId1247" display="javascript:void(0);"/>
    <hyperlink ref="F1249" r:id="rId1248" display="javascript:void(0);"/>
    <hyperlink ref="E1251" r:id="rId1249" display="javascript:void(0);"/>
    <hyperlink ref="F1251" r:id="rId1250" display="javascript:void(0);"/>
    <hyperlink ref="E1253" r:id="rId1251" display="javascript:void(0);"/>
    <hyperlink ref="F1253" r:id="rId1252" display="javascript:void(0);"/>
    <hyperlink ref="E1255" r:id="rId1253" display="javascript:void(0);"/>
    <hyperlink ref="F1255" r:id="rId1254" display="javascript:void(0);"/>
    <hyperlink ref="E1257" r:id="rId1255" display="javascript:void(0);"/>
    <hyperlink ref="F1257" r:id="rId1256" display="javascript:void(0);"/>
    <hyperlink ref="E1259" r:id="rId1257" display="javascript:void(0);"/>
    <hyperlink ref="F1259" r:id="rId1258" display="javascript:void(0);"/>
    <hyperlink ref="E1261" r:id="rId1259" display="javascript:void(0);"/>
    <hyperlink ref="F1261" r:id="rId1260" display="javascript:void(0);"/>
    <hyperlink ref="E1263" r:id="rId1261" display="javascript:void(0);"/>
    <hyperlink ref="F1263" r:id="rId1262" display="javascript:void(0);"/>
    <hyperlink ref="E1265" r:id="rId1263" display="javascript:void(0);"/>
    <hyperlink ref="F1265" r:id="rId1264" display="javascript:void(0);"/>
    <hyperlink ref="E1267" r:id="rId1265" display="javascript:void(0);"/>
    <hyperlink ref="F1267" r:id="rId1266" display="javascript:void(0);"/>
    <hyperlink ref="E1269" r:id="rId1267" display="javascript:void(0);"/>
    <hyperlink ref="F1269" r:id="rId1268" display="javascript:void(0);"/>
    <hyperlink ref="E1271" r:id="rId1269" display="javascript:void(0);"/>
    <hyperlink ref="F1271" r:id="rId1270" display="javascript:void(0);"/>
    <hyperlink ref="E1273" r:id="rId1271" display="javascript:void(0);"/>
    <hyperlink ref="F1273" r:id="rId1272" display="javascript:void(0);"/>
    <hyperlink ref="E1275" r:id="rId1273" display="javascript:void(0);"/>
    <hyperlink ref="F1275" r:id="rId1274" display="javascript:void(0);"/>
    <hyperlink ref="E1277" r:id="rId1275" display="javascript:void(0);"/>
    <hyperlink ref="F1277" r:id="rId1276" display="javascript:void(0);"/>
    <hyperlink ref="E1279" r:id="rId1277" display="javascript:void(0);"/>
    <hyperlink ref="F1279" r:id="rId1278" display="javascript:void(0);"/>
    <hyperlink ref="E1281" r:id="rId1279" display="javascript:void(0);"/>
    <hyperlink ref="F1281" r:id="rId1280" display="javascript:void(0);"/>
    <hyperlink ref="E1283" r:id="rId1281" display="javascript:void(0);"/>
    <hyperlink ref="F1283" r:id="rId1282" display="javascript:void(0);"/>
    <hyperlink ref="E1285" r:id="rId1283" display="javascript:void(0);"/>
    <hyperlink ref="F1285" r:id="rId1284" display="javascript:void(0);"/>
    <hyperlink ref="E1287" r:id="rId1285" display="javascript:void(0);"/>
    <hyperlink ref="F1287" r:id="rId1286" display="javascript:void(0);"/>
    <hyperlink ref="E1289" r:id="rId1287" display="javascript:void(0);"/>
    <hyperlink ref="F1289" r:id="rId1288" display="javascript:void(0);"/>
    <hyperlink ref="E1291" r:id="rId1289" display="javascript:void(0);"/>
    <hyperlink ref="F1291" r:id="rId1290" display="javascript:void(0);"/>
    <hyperlink ref="E1293" r:id="rId1291" display="javascript:void(0);"/>
    <hyperlink ref="F1293" r:id="rId1292" display="javascript:void(0);"/>
    <hyperlink ref="E1295" r:id="rId1293" display="javascript:void(0);"/>
    <hyperlink ref="F1295" r:id="rId1294" display="javascript:void(0);"/>
    <hyperlink ref="E1297" r:id="rId1295" display="javascript:void(0);"/>
    <hyperlink ref="F1297" r:id="rId1296" display="javascript:void(0);"/>
    <hyperlink ref="E1299" r:id="rId1297" display="javascript:void(0);"/>
    <hyperlink ref="F1299" r:id="rId1298" display="javascript:void(0);"/>
    <hyperlink ref="E1301" r:id="rId1299" display="javascript:void(0);"/>
    <hyperlink ref="F1301" r:id="rId1300" display="javascript:void(0);"/>
    <hyperlink ref="E1303" r:id="rId1301" display="javascript:void(0);"/>
    <hyperlink ref="F1303" r:id="rId1302" display="javascript:void(0);"/>
    <hyperlink ref="E1305" r:id="rId1303" display="javascript:void(0);"/>
    <hyperlink ref="F1305" r:id="rId1304" display="javascript:void(0);"/>
    <hyperlink ref="E1307" r:id="rId1305" display="javascript:void(0);"/>
    <hyperlink ref="F1307" r:id="rId1306" display="javascript:void(0);"/>
    <hyperlink ref="E1309" r:id="rId1307" display="javascript:void(0);"/>
    <hyperlink ref="F1309" r:id="rId1308" display="javascript:void(0);"/>
    <hyperlink ref="E1311" r:id="rId1309" display="javascript:void(0);"/>
    <hyperlink ref="F1311" r:id="rId1310" display="javascript:void(0);"/>
    <hyperlink ref="E1313" r:id="rId1311" display="javascript:void(0);"/>
    <hyperlink ref="F1313" r:id="rId1312" display="javascript:void(0);"/>
    <hyperlink ref="E1315" r:id="rId1313" display="javascript:void(0);"/>
    <hyperlink ref="F1315" r:id="rId1314" display="javascript:void(0);"/>
    <hyperlink ref="E1317" r:id="rId1315" display="javascript:void(0);"/>
    <hyperlink ref="F1317" r:id="rId1316" display="javascript:void(0);"/>
    <hyperlink ref="E1319" r:id="rId1317" display="javascript:void(0);"/>
    <hyperlink ref="F1319" r:id="rId1318" display="javascript:void(0);"/>
    <hyperlink ref="E1321" r:id="rId1319" display="javascript:void(0);"/>
    <hyperlink ref="F1321" r:id="rId1320" display="javascript:void(0);"/>
    <hyperlink ref="E1323" r:id="rId1321" display="javascript:void(0);"/>
    <hyperlink ref="F1323" r:id="rId1322" display="javascript:void(0);"/>
    <hyperlink ref="E1325" r:id="rId1323" display="javascript:void(0);"/>
    <hyperlink ref="F1325" r:id="rId1324" display="javascript:void(0);"/>
    <hyperlink ref="E1327" r:id="rId1325" display="javascript:void(0);"/>
    <hyperlink ref="F1327" r:id="rId1326" display="javascript:void(0);"/>
    <hyperlink ref="E1329" r:id="rId1327" display="javascript:void(0);"/>
    <hyperlink ref="F1329" r:id="rId1328" display="javascript:void(0);"/>
    <hyperlink ref="E1331" r:id="rId1329" display="javascript:void(0);"/>
    <hyperlink ref="F1331" r:id="rId1330" display="javascript:void(0);"/>
    <hyperlink ref="E1333" r:id="rId1331" display="javascript:void(0);"/>
    <hyperlink ref="F1333" r:id="rId1332" display="javascript:void(0);"/>
    <hyperlink ref="E1335" r:id="rId1333" display="javascript:void(0);"/>
    <hyperlink ref="F1335" r:id="rId1334" display="javascript:void(0);"/>
    <hyperlink ref="E1337" r:id="rId1335" display="javascript:void(0);"/>
    <hyperlink ref="F1337" r:id="rId1336" display="javascript:void(0);"/>
    <hyperlink ref="E1339" r:id="rId1337" display="javascript:void(0);"/>
    <hyperlink ref="F1339" r:id="rId1338" display="javascript:void(0);"/>
    <hyperlink ref="E1341" r:id="rId1339" display="javascript:void(0);"/>
    <hyperlink ref="F1341" r:id="rId1340" display="javascript:void(0);"/>
    <hyperlink ref="E1343" r:id="rId1341" display="javascript:void(0);"/>
    <hyperlink ref="F1343" r:id="rId1342" display="javascript:void(0);"/>
    <hyperlink ref="E1345" r:id="rId1343" display="javascript:void(0);"/>
    <hyperlink ref="F1345" r:id="rId1344" display="javascript:void(0);"/>
    <hyperlink ref="E1347" r:id="rId1345" display="javascript:void(0);"/>
    <hyperlink ref="F1347" r:id="rId1346" display="javascript:void(0);"/>
    <hyperlink ref="E1349" r:id="rId1347" display="javascript:void(0);"/>
    <hyperlink ref="F1349" r:id="rId1348" display="javascript:void(0);"/>
    <hyperlink ref="E1351" r:id="rId1349" display="javascript:void(0);"/>
    <hyperlink ref="F1351" r:id="rId1350" display="javascript:void(0);"/>
    <hyperlink ref="E1353" r:id="rId1351" display="javascript:void(0);"/>
    <hyperlink ref="F1353" r:id="rId1352" display="javascript:void(0);"/>
    <hyperlink ref="E1355" r:id="rId1353" display="javascript:void(0);"/>
    <hyperlink ref="F1355" r:id="rId1354" display="javascript:void(0);"/>
    <hyperlink ref="E1357" r:id="rId1355" display="javascript:void(0);"/>
    <hyperlink ref="F1357" r:id="rId1356" display="javascript:void(0);"/>
    <hyperlink ref="E1359" r:id="rId1357" display="javascript:void(0);"/>
    <hyperlink ref="F1359" r:id="rId1358" display="javascript:void(0);"/>
    <hyperlink ref="E1361" r:id="rId1359" display="javascript:void(0);"/>
    <hyperlink ref="F1361" r:id="rId1360" display="javascript:void(0);"/>
    <hyperlink ref="E1363" r:id="rId1361" display="javascript:void(0);"/>
    <hyperlink ref="F1363" r:id="rId1362" display="javascript:void(0);"/>
    <hyperlink ref="E1365" r:id="rId1363" display="javascript:void(0);"/>
    <hyperlink ref="F1365" r:id="rId1364" display="javascript:void(0);"/>
    <hyperlink ref="E1367" r:id="rId1365" display="javascript:void(0);"/>
    <hyperlink ref="F1367" r:id="rId1366" display="javascript:void(0);"/>
    <hyperlink ref="E1369" r:id="rId1367" display="javascript:void(0);"/>
    <hyperlink ref="F1369" r:id="rId1368" display="javascript:void(0);"/>
    <hyperlink ref="E1371" r:id="rId1369" display="javascript:void(0);"/>
    <hyperlink ref="F1371" r:id="rId1370" display="javascript:void(0);"/>
    <hyperlink ref="E1373" r:id="rId1371" display="javascript:void(0);"/>
    <hyperlink ref="F1373" r:id="rId1372" display="javascript:void(0);"/>
    <hyperlink ref="E1375" r:id="rId1373" display="javascript:void(0);"/>
    <hyperlink ref="F1375" r:id="rId1374" display="javascript:void(0);"/>
    <hyperlink ref="E1377" r:id="rId1375" display="javascript:void(0);"/>
    <hyperlink ref="F1377" r:id="rId1376" display="javascript:void(0);"/>
    <hyperlink ref="E1379" r:id="rId1377" display="javascript:void(0);"/>
    <hyperlink ref="F1379" r:id="rId1378" display="javascript:void(0);"/>
    <hyperlink ref="E1381" r:id="rId1379" display="javascript:void(0);"/>
    <hyperlink ref="F1381" r:id="rId1380" display="javascript:void(0);"/>
    <hyperlink ref="E1383" r:id="rId1381" display="javascript:void(0);"/>
    <hyperlink ref="F1383" r:id="rId1382" display="javascript:void(0);"/>
    <hyperlink ref="E1385" r:id="rId1383" display="javascript:void(0);"/>
    <hyperlink ref="F1385" r:id="rId1384" display="javascript:void(0);"/>
    <hyperlink ref="E1387" r:id="rId1385" display="javascript:void(0);"/>
    <hyperlink ref="F1387" r:id="rId1386" display="javascript:void(0);"/>
    <hyperlink ref="E1389" r:id="rId1387" display="javascript:void(0);"/>
    <hyperlink ref="F1389" r:id="rId1388" display="javascript:void(0);"/>
    <hyperlink ref="E1391" r:id="rId1389" display="javascript:void(0);"/>
    <hyperlink ref="F1391" r:id="rId1390" display="javascript:void(0);"/>
    <hyperlink ref="E1393" r:id="rId1391" display="javascript:void(0);"/>
    <hyperlink ref="F1393" r:id="rId1392" display="javascript:void(0);"/>
    <hyperlink ref="E1395" r:id="rId1393" display="javascript:void(0);"/>
    <hyperlink ref="F1395" r:id="rId1394" display="javascript:void(0);"/>
    <hyperlink ref="E1397" r:id="rId1395" display="javascript:void(0);"/>
    <hyperlink ref="F1397" r:id="rId1396" display="javascript:void(0);"/>
    <hyperlink ref="E1399" r:id="rId1397" display="javascript:void(0);"/>
    <hyperlink ref="F1399" r:id="rId1398" display="javascript:void(0);"/>
    <hyperlink ref="E1401" r:id="rId1399" display="javascript:void(0);"/>
    <hyperlink ref="F1401" r:id="rId1400" display="javascript:void(0);"/>
    <hyperlink ref="E1403" r:id="rId1401" display="javascript:void(0);"/>
    <hyperlink ref="F1403" r:id="rId1402" display="javascript:void(0);"/>
    <hyperlink ref="E1405" r:id="rId1403" display="javascript:void(0);"/>
    <hyperlink ref="F1405" r:id="rId1404" display="javascript:void(0);"/>
    <hyperlink ref="E1407" r:id="rId1405" display="javascript:void(0);"/>
    <hyperlink ref="F1407" r:id="rId1406" display="javascript:void(0);"/>
    <hyperlink ref="E1409" r:id="rId1407" display="javascript:void(0);"/>
    <hyperlink ref="F1409" r:id="rId1408" display="javascript:void(0);"/>
    <hyperlink ref="E1411" r:id="rId1409" display="javascript:void(0);"/>
    <hyperlink ref="F1411" r:id="rId1410" display="javascript:void(0);"/>
    <hyperlink ref="E1413" r:id="rId1411" display="javascript:void(0);"/>
    <hyperlink ref="F1413" r:id="rId1412" display="javascript:void(0);"/>
    <hyperlink ref="E1415" r:id="rId1413" display="javascript:void(0);"/>
    <hyperlink ref="F1415" r:id="rId1414" display="javascript:void(0);"/>
    <hyperlink ref="E1417" r:id="rId1415" display="javascript:void(0);"/>
    <hyperlink ref="F1417" r:id="rId1416" display="javascript:void(0);"/>
    <hyperlink ref="E1419" r:id="rId1417" display="javascript:void(0);"/>
    <hyperlink ref="F1419" r:id="rId1418" display="javascript:void(0);"/>
    <hyperlink ref="E1421" r:id="rId1419" display="javascript:void(0);"/>
    <hyperlink ref="F1421" r:id="rId1420" display="javascript:void(0);"/>
    <hyperlink ref="E1423" r:id="rId1421" display="javascript:void(0);"/>
    <hyperlink ref="F1423" r:id="rId1422" display="javascript:void(0);"/>
    <hyperlink ref="E1425" r:id="rId1423" display="javascript:void(0);"/>
    <hyperlink ref="F1425" r:id="rId1424" display="javascript:void(0);"/>
    <hyperlink ref="E1427" r:id="rId1425" display="javascript:void(0);"/>
    <hyperlink ref="F1427" r:id="rId1426" display="javascript:void(0);"/>
    <hyperlink ref="E1429" r:id="rId1427" display="javascript:void(0);"/>
    <hyperlink ref="F1429" r:id="rId1428" display="javascript:void(0);"/>
    <hyperlink ref="E1431" r:id="rId1429" display="javascript:void(0);"/>
    <hyperlink ref="F1431" r:id="rId1430" display="javascript:void(0);"/>
    <hyperlink ref="E1433" r:id="rId1431" display="javascript:void(0);"/>
    <hyperlink ref="F1433" r:id="rId1432" display="javascript:void(0);"/>
    <hyperlink ref="E1435" r:id="rId1433" display="javascript:void(0);"/>
    <hyperlink ref="F1435" r:id="rId1434" display="javascript:void(0);"/>
    <hyperlink ref="E1437" r:id="rId1435" display="javascript:void(0);"/>
    <hyperlink ref="F1437" r:id="rId1436" display="javascript:void(0);"/>
    <hyperlink ref="E1439" r:id="rId1437" display="javascript:void(0);"/>
    <hyperlink ref="F1439" r:id="rId1438" display="javascript:void(0);"/>
    <hyperlink ref="E1441" r:id="rId1439" display="javascript:void(0);"/>
    <hyperlink ref="F1441" r:id="rId1440" display="javascript:void(0);"/>
    <hyperlink ref="E1443" r:id="rId1441" display="javascript:void(0);"/>
    <hyperlink ref="F1443" r:id="rId1442" display="javascript:void(0);"/>
    <hyperlink ref="E1445" r:id="rId1443" display="javascript:void(0);"/>
    <hyperlink ref="F1445" r:id="rId1444" display="javascript:void(0);"/>
    <hyperlink ref="E1447" r:id="rId1445" display="javascript:void(0);"/>
    <hyperlink ref="F1447" r:id="rId1446" display="javascript:void(0);"/>
    <hyperlink ref="E1449" r:id="rId1447" display="javascript:void(0);"/>
    <hyperlink ref="F1449" r:id="rId1448" display="javascript:void(0);"/>
    <hyperlink ref="E1451" r:id="rId1449" display="javascript:void(0);"/>
    <hyperlink ref="F1451" r:id="rId1450" display="javascript:void(0);"/>
    <hyperlink ref="E1453" r:id="rId1451" display="javascript:void(0);"/>
    <hyperlink ref="F1453" r:id="rId1452" display="javascript:void(0);"/>
    <hyperlink ref="E1455" r:id="rId1453" display="javascript:void(0);"/>
    <hyperlink ref="F1455" r:id="rId1454" display="javascript:void(0);"/>
    <hyperlink ref="E1457" r:id="rId1455" display="javascript:void(0);"/>
    <hyperlink ref="F1457" r:id="rId1456" display="javascript:void(0);"/>
    <hyperlink ref="E1459" r:id="rId1457" display="javascript:void(0);"/>
    <hyperlink ref="F1459" r:id="rId1458" display="javascript:void(0);"/>
    <hyperlink ref="E1461" r:id="rId1459" display="javascript:void(0);"/>
    <hyperlink ref="F1461" r:id="rId1460" display="javascript:void(0);"/>
    <hyperlink ref="E1463" r:id="rId1461" display="javascript:void(0);"/>
    <hyperlink ref="F1463" r:id="rId1462" display="javascript:void(0);"/>
    <hyperlink ref="E1465" r:id="rId1463" display="javascript:void(0);"/>
    <hyperlink ref="F1465" r:id="rId1464" display="javascript:void(0);"/>
    <hyperlink ref="E1467" r:id="rId1465" display="javascript:void(0);"/>
    <hyperlink ref="F1467" r:id="rId1466" display="javascript:void(0);"/>
    <hyperlink ref="E1469" r:id="rId1467" display="javascript:void(0);"/>
    <hyperlink ref="F1469" r:id="rId1468" display="javascript:void(0);"/>
    <hyperlink ref="E1471" r:id="rId1469" display="javascript:void(0);"/>
    <hyperlink ref="F1471" r:id="rId1470" display="javascript:void(0);"/>
    <hyperlink ref="E1473" r:id="rId1471" display="javascript:void(0);"/>
    <hyperlink ref="F1473" r:id="rId1472" display="javascript:void(0);"/>
    <hyperlink ref="E1475" r:id="rId1473" display="javascript:void(0);"/>
    <hyperlink ref="F1475" r:id="rId1474" display="javascript:void(0);"/>
    <hyperlink ref="E1477" r:id="rId1475" display="javascript:void(0);"/>
    <hyperlink ref="F1477" r:id="rId1476" display="javascript:void(0);"/>
    <hyperlink ref="E1479" r:id="rId1477" display="javascript:void(0);"/>
    <hyperlink ref="F1479" r:id="rId1478" display="javascript:void(0);"/>
    <hyperlink ref="E1481" r:id="rId1479" display="javascript:void(0);"/>
    <hyperlink ref="F1481" r:id="rId1480" display="javascript:void(0);"/>
    <hyperlink ref="E1483" r:id="rId1481" display="javascript:void(0);"/>
    <hyperlink ref="F1483" r:id="rId1482" display="javascript:void(0);"/>
    <hyperlink ref="E1485" r:id="rId1483" display="javascript:void(0);"/>
    <hyperlink ref="F1485" r:id="rId1484" display="javascript:void(0);"/>
    <hyperlink ref="E1487" r:id="rId1485" display="javascript:void(0);"/>
    <hyperlink ref="F1487" r:id="rId1486" display="javascript:void(0);"/>
    <hyperlink ref="E1489" r:id="rId1487" display="javascript:void(0);"/>
    <hyperlink ref="F1489" r:id="rId1488" display="javascript:void(0);"/>
    <hyperlink ref="E1491" r:id="rId1489" display="javascript:void(0);"/>
    <hyperlink ref="F1491" r:id="rId1490" display="javascript:void(0);"/>
    <hyperlink ref="E1493" r:id="rId1491" display="javascript:void(0);"/>
    <hyperlink ref="F1493" r:id="rId1492" display="javascript:void(0);"/>
    <hyperlink ref="E1495" r:id="rId1493" display="javascript:void(0);"/>
    <hyperlink ref="F1495" r:id="rId1494" display="javascript:void(0);"/>
    <hyperlink ref="E1497" r:id="rId1495" display="javascript:void(0);"/>
    <hyperlink ref="F1497" r:id="rId1496" display="javascript:void(0);"/>
    <hyperlink ref="E1499" r:id="rId1497" display="javascript:void(0);"/>
    <hyperlink ref="F1499" r:id="rId1498" display="javascript:void(0);"/>
    <hyperlink ref="E1501" r:id="rId1499" display="javascript:void(0);"/>
    <hyperlink ref="F1501" r:id="rId1500" display="javascript:void(0);"/>
    <hyperlink ref="E1503" r:id="rId1501" display="javascript:void(0);"/>
    <hyperlink ref="F1503" r:id="rId1502" display="javascript:void(0);"/>
    <hyperlink ref="E1505" r:id="rId1503" display="javascript:void(0);"/>
    <hyperlink ref="F1505" r:id="rId1504" display="javascript:void(0);"/>
    <hyperlink ref="E1507" r:id="rId1505" display="javascript:void(0);"/>
    <hyperlink ref="F1507" r:id="rId1506" display="javascript:void(0);"/>
    <hyperlink ref="E1509" r:id="rId1507" display="javascript:void(0);"/>
    <hyperlink ref="F1509" r:id="rId1508" display="javascript:void(0);"/>
    <hyperlink ref="E1511" r:id="rId1509" display="javascript:void(0);"/>
    <hyperlink ref="F1511" r:id="rId1510" display="javascript:void(0);"/>
    <hyperlink ref="E1513" r:id="rId1511" display="javascript:void(0);"/>
    <hyperlink ref="F1513" r:id="rId1512" display="javascript:void(0);"/>
    <hyperlink ref="E1515" r:id="rId1513" display="javascript:void(0);"/>
    <hyperlink ref="F1515" r:id="rId1514" display="javascript:void(0);"/>
    <hyperlink ref="E1517" r:id="rId1515" display="javascript:void(0);"/>
    <hyperlink ref="F1517" r:id="rId1516" display="javascript:void(0);"/>
    <hyperlink ref="E1519" r:id="rId1517" display="javascript:void(0);"/>
    <hyperlink ref="F1519" r:id="rId1518" display="javascript:void(0);"/>
    <hyperlink ref="E1521" r:id="rId1519" display="javascript:void(0);"/>
    <hyperlink ref="F1521" r:id="rId1520" display="javascript:void(0);"/>
    <hyperlink ref="E1523" r:id="rId1521" display="javascript:void(0);"/>
    <hyperlink ref="F1523" r:id="rId1522" display="javascript:void(0);"/>
    <hyperlink ref="E1525" r:id="rId1523" display="javascript:void(0);"/>
    <hyperlink ref="F1525" r:id="rId1524" display="javascript:void(0);"/>
    <hyperlink ref="E1527" r:id="rId1525" display="javascript:void(0);"/>
    <hyperlink ref="F1527" r:id="rId1526" display="javascript:void(0);"/>
    <hyperlink ref="E1529" r:id="rId1527" display="javascript:void(0);"/>
    <hyperlink ref="F1529" r:id="rId1528" display="javascript:void(0);"/>
    <hyperlink ref="E1531" r:id="rId1529" display="javascript:void(0);"/>
    <hyperlink ref="F1531" r:id="rId1530" display="javascript:void(0);"/>
    <hyperlink ref="E1533" r:id="rId1531" display="javascript:void(0);"/>
    <hyperlink ref="F1533" r:id="rId1532" display="javascript:void(0);"/>
    <hyperlink ref="E1535" r:id="rId1533" display="javascript:void(0);"/>
    <hyperlink ref="F1535" r:id="rId1534" display="javascript:void(0);"/>
    <hyperlink ref="E1537" r:id="rId1535" display="javascript:void(0);"/>
    <hyperlink ref="F1537" r:id="rId1536" display="javascript:void(0);"/>
    <hyperlink ref="E1539" r:id="rId1537" display="javascript:void(0);"/>
    <hyperlink ref="F1539" r:id="rId1538" display="javascript:void(0);"/>
    <hyperlink ref="E1541" r:id="rId1539" display="javascript:void(0);"/>
    <hyperlink ref="F1541" r:id="rId1540" display="javascript:void(0);"/>
    <hyperlink ref="E1543" r:id="rId1541" display="javascript:void(0);"/>
    <hyperlink ref="F1543" r:id="rId1542" display="javascript:void(0);"/>
    <hyperlink ref="E1545" r:id="rId1543" display="javascript:void(0);"/>
    <hyperlink ref="F1545" r:id="rId1544" display="javascript:void(0);"/>
    <hyperlink ref="E1547" r:id="rId1545" display="javascript:void(0);"/>
    <hyperlink ref="F1547" r:id="rId1546" display="javascript:void(0);"/>
    <hyperlink ref="E1549" r:id="rId1547" display="javascript:void(0);"/>
    <hyperlink ref="F1549" r:id="rId1548" display="javascript:void(0);"/>
    <hyperlink ref="E1551" r:id="rId1549" display="javascript:void(0);"/>
    <hyperlink ref="F1551" r:id="rId1550" display="javascript:void(0);"/>
    <hyperlink ref="E1553" r:id="rId1551" display="javascript:void(0);"/>
    <hyperlink ref="F1553" r:id="rId1552" display="javascript:void(0);"/>
    <hyperlink ref="E1555" r:id="rId1553" display="javascript:void(0);"/>
    <hyperlink ref="F1555" r:id="rId1554" display="javascript:void(0);"/>
    <hyperlink ref="E1557" r:id="rId1555" display="javascript:void(0);"/>
    <hyperlink ref="F1557" r:id="rId1556" display="javascript:void(0);"/>
    <hyperlink ref="E1559" r:id="rId1557" display="javascript:void(0);"/>
    <hyperlink ref="F1559" r:id="rId1558" display="javascript:void(0);"/>
    <hyperlink ref="E1561" r:id="rId1559" display="javascript:void(0);"/>
    <hyperlink ref="F1561" r:id="rId1560" display="javascript:void(0);"/>
    <hyperlink ref="E1563" r:id="rId1561" display="javascript:void(0);"/>
    <hyperlink ref="F1563" r:id="rId1562" display="javascript:void(0);"/>
    <hyperlink ref="E1565" r:id="rId1563" display="javascript:void(0);"/>
    <hyperlink ref="F1565" r:id="rId1564" display="javascript:void(0);"/>
    <hyperlink ref="E1567" r:id="rId1565" display="javascript:void(0);"/>
    <hyperlink ref="F1567" r:id="rId1566" display="javascript:void(0);"/>
    <hyperlink ref="E1569" r:id="rId1567" display="javascript:void(0);"/>
    <hyperlink ref="F1569" r:id="rId1568" display="javascript:void(0);"/>
    <hyperlink ref="E1571" r:id="rId1569" display="javascript:void(0);"/>
    <hyperlink ref="F1571" r:id="rId1570" display="javascript:void(0);"/>
    <hyperlink ref="E1573" r:id="rId1571" display="javascript:void(0);"/>
    <hyperlink ref="F1573" r:id="rId1572" display="javascript:void(0);"/>
    <hyperlink ref="E1575" r:id="rId1573" display="javascript:void(0);"/>
    <hyperlink ref="F1575" r:id="rId1574" display="javascript:void(0);"/>
    <hyperlink ref="E1577" r:id="rId1575" display="javascript:void(0);"/>
    <hyperlink ref="F1577" r:id="rId1576" display="javascript:void(0);"/>
    <hyperlink ref="E1579" r:id="rId1577" display="javascript:void(0);"/>
    <hyperlink ref="F1579" r:id="rId1578" display="javascript:void(0);"/>
    <hyperlink ref="E1581" r:id="rId1579" display="javascript:void(0);"/>
    <hyperlink ref="F1581" r:id="rId1580" display="javascript:void(0);"/>
    <hyperlink ref="E1583" r:id="rId1581" display="javascript:void(0);"/>
    <hyperlink ref="F1583" r:id="rId1582" display="javascript:void(0);"/>
    <hyperlink ref="E1585" r:id="rId1583" display="javascript:void(0);"/>
    <hyperlink ref="F1585" r:id="rId1584" display="javascript:void(0);"/>
    <hyperlink ref="E1587" r:id="rId1585" display="javascript:void(0);"/>
    <hyperlink ref="F1587" r:id="rId1586" display="javascript:void(0);"/>
    <hyperlink ref="E1589" r:id="rId1587" display="javascript:void(0);"/>
    <hyperlink ref="F1589" r:id="rId1588" display="javascript:void(0);"/>
    <hyperlink ref="E1591" r:id="rId1589" display="javascript:void(0);"/>
    <hyperlink ref="F1591" r:id="rId1590" display="javascript:void(0);"/>
    <hyperlink ref="E1593" r:id="rId1591" display="javascript:void(0);"/>
    <hyperlink ref="F1593" r:id="rId1592" display="javascript:void(0);"/>
    <hyperlink ref="E1595" r:id="rId1593" display="javascript:void(0);"/>
    <hyperlink ref="F1595" r:id="rId1594" display="javascript:void(0);"/>
    <hyperlink ref="E1597" r:id="rId1595" display="javascript:void(0);"/>
    <hyperlink ref="F1597" r:id="rId1596" display="javascript:void(0);"/>
    <hyperlink ref="E1599" r:id="rId1597" display="javascript:void(0);"/>
    <hyperlink ref="F1599" r:id="rId1598" display="javascript:void(0);"/>
    <hyperlink ref="E1601" r:id="rId1599" display="javascript:void(0);"/>
    <hyperlink ref="F1601" r:id="rId1600" display="javascript:void(0);"/>
    <hyperlink ref="E1603" r:id="rId1601" display="javascript:void(0);"/>
    <hyperlink ref="F1603" r:id="rId1602" display="javascript:void(0);"/>
    <hyperlink ref="E1605" r:id="rId1603" display="javascript:void(0);"/>
    <hyperlink ref="F1605" r:id="rId1604" display="javascript:void(0);"/>
    <hyperlink ref="E1607" r:id="rId1605" display="javascript:void(0);"/>
    <hyperlink ref="F1607" r:id="rId1606" display="javascript:void(0);"/>
    <hyperlink ref="E1609" r:id="rId1607" display="javascript:void(0);"/>
    <hyperlink ref="F1609" r:id="rId1608" display="javascript:void(0);"/>
    <hyperlink ref="E1611" r:id="rId1609" display="javascript:void(0);"/>
    <hyperlink ref="F1611" r:id="rId1610" display="javascript:void(0);"/>
    <hyperlink ref="E1613" r:id="rId1611" display="javascript:void(0);"/>
    <hyperlink ref="F1613" r:id="rId1612" display="javascript:void(0);"/>
    <hyperlink ref="E1615" r:id="rId1613" display="javascript:void(0);"/>
    <hyperlink ref="F1615" r:id="rId1614" display="javascript:void(0);"/>
    <hyperlink ref="E1617" r:id="rId1615" display="javascript:void(0);"/>
    <hyperlink ref="F1617" r:id="rId1616" display="javascript:void(0);"/>
    <hyperlink ref="E1619" r:id="rId1617" display="javascript:void(0);"/>
    <hyperlink ref="F1619" r:id="rId1618" display="javascript:void(0);"/>
    <hyperlink ref="E1621" r:id="rId1619" display="javascript:void(0);"/>
    <hyperlink ref="F1621" r:id="rId1620" display="javascript:void(0);"/>
    <hyperlink ref="E1623" r:id="rId1621" display="javascript:void(0);"/>
    <hyperlink ref="F1623" r:id="rId1622" display="javascript:void(0);"/>
    <hyperlink ref="E1625" r:id="rId1623" display="javascript:void(0);"/>
    <hyperlink ref="F1625" r:id="rId1624" display="javascript:void(0);"/>
    <hyperlink ref="E1627" r:id="rId1625" display="javascript:void(0);"/>
    <hyperlink ref="F1627" r:id="rId1626" display="javascript:void(0);"/>
    <hyperlink ref="E1629" r:id="rId1627" display="javascript:void(0);"/>
    <hyperlink ref="F1629" r:id="rId1628" display="javascript:void(0);"/>
    <hyperlink ref="E1631" r:id="rId1629" display="javascript:void(0);"/>
    <hyperlink ref="F1631" r:id="rId1630" display="javascript:void(0);"/>
    <hyperlink ref="E1633" r:id="rId1631" display="javascript:void(0);"/>
    <hyperlink ref="F1633" r:id="rId1632" display="javascript:void(0);"/>
    <hyperlink ref="E1635" r:id="rId1633" display="javascript:void(0);"/>
    <hyperlink ref="F1635" r:id="rId1634" display="javascript:void(0);"/>
    <hyperlink ref="E1637" r:id="rId1635" display="javascript:void(0);"/>
    <hyperlink ref="F1637" r:id="rId1636" display="javascript:void(0);"/>
    <hyperlink ref="E1639" r:id="rId1637" display="javascript:void(0);"/>
    <hyperlink ref="F1639" r:id="rId1638" display="javascript:void(0);"/>
    <hyperlink ref="E1641" r:id="rId1639" display="javascript:void(0);"/>
    <hyperlink ref="F1641" r:id="rId1640" display="javascript:void(0);"/>
    <hyperlink ref="E1643" r:id="rId1641" display="javascript:void(0);"/>
    <hyperlink ref="F1643" r:id="rId1642" display="javascript:void(0);"/>
    <hyperlink ref="E1645" r:id="rId1643" display="javascript:void(0);"/>
    <hyperlink ref="F1645" r:id="rId1644" display="javascript:void(0);"/>
    <hyperlink ref="E1647" r:id="rId1645" display="javascript:void(0);"/>
    <hyperlink ref="F1647" r:id="rId1646" display="javascript:void(0);"/>
    <hyperlink ref="E1649" r:id="rId1647" display="javascript:void(0);"/>
    <hyperlink ref="F1649" r:id="rId1648" display="javascript:void(0);"/>
    <hyperlink ref="E1651" r:id="rId1649" display="javascript:void(0);"/>
    <hyperlink ref="F1651" r:id="rId1650" display="javascript:void(0);"/>
    <hyperlink ref="E1653" r:id="rId1651" display="javascript:void(0);"/>
    <hyperlink ref="F1653" r:id="rId1652" display="javascript:void(0);"/>
    <hyperlink ref="E1655" r:id="rId1653" display="javascript:void(0);"/>
    <hyperlink ref="F1655" r:id="rId1654" display="javascript:void(0);"/>
    <hyperlink ref="E1657" r:id="rId1655" display="javascript:void(0);"/>
    <hyperlink ref="F1657" r:id="rId1656" display="javascript:void(0);"/>
    <hyperlink ref="E1659" r:id="rId1657" display="javascript:void(0);"/>
    <hyperlink ref="F1659" r:id="rId1658" display="javascript:void(0);"/>
    <hyperlink ref="E1661" r:id="rId1659" display="javascript:void(0);"/>
    <hyperlink ref="F1661" r:id="rId1660" display="javascript:void(0);"/>
    <hyperlink ref="E1663" r:id="rId1661" display="javascript:void(0);"/>
    <hyperlink ref="F1663" r:id="rId1662" display="javascript:void(0);"/>
    <hyperlink ref="E1665" r:id="rId1663" display="javascript:void(0);"/>
    <hyperlink ref="F1665" r:id="rId1664" display="javascript:void(0);"/>
    <hyperlink ref="E1667" r:id="rId1665" display="javascript:void(0);"/>
    <hyperlink ref="F1667" r:id="rId1666" display="javascript:void(0);"/>
    <hyperlink ref="E1669" r:id="rId1667" display="javascript:void(0);"/>
    <hyperlink ref="F1669" r:id="rId1668" display="javascript:void(0);"/>
    <hyperlink ref="E1671" r:id="rId1669" display="javascript:void(0);"/>
    <hyperlink ref="F1671" r:id="rId1670" display="javascript:void(0);"/>
    <hyperlink ref="E1673" r:id="rId1671" display="javascript:void(0);"/>
    <hyperlink ref="F1673" r:id="rId1672" display="javascript:void(0);"/>
    <hyperlink ref="E1675" r:id="rId1673" display="javascript:void(0);"/>
    <hyperlink ref="F1675" r:id="rId1674" display="javascript:void(0);"/>
    <hyperlink ref="E1677" r:id="rId1675" display="javascript:void(0);"/>
    <hyperlink ref="F1677" r:id="rId1676" display="javascript:void(0);"/>
    <hyperlink ref="E1679" r:id="rId1677" display="javascript:void(0);"/>
    <hyperlink ref="F1679" r:id="rId1678" display="javascript:void(0);"/>
    <hyperlink ref="E1681" r:id="rId1679" display="javascript:void(0);"/>
    <hyperlink ref="F1681" r:id="rId1680" display="javascript:void(0);"/>
    <hyperlink ref="E1683" r:id="rId1681" display="javascript:void(0);"/>
    <hyperlink ref="F1683" r:id="rId1682" display="javascript:void(0);"/>
    <hyperlink ref="E1685" r:id="rId1683" display="javascript:void(0);"/>
    <hyperlink ref="F1685" r:id="rId1684" display="javascript:void(0);"/>
    <hyperlink ref="E1687" r:id="rId1685" display="javascript:void(0);"/>
    <hyperlink ref="F1687" r:id="rId1686" display="javascript:void(0);"/>
    <hyperlink ref="E1689" r:id="rId1687" display="javascript:void(0);"/>
    <hyperlink ref="F1689" r:id="rId1688" display="javascript:void(0);"/>
    <hyperlink ref="E1691" r:id="rId1689" display="javascript:void(0);"/>
    <hyperlink ref="F1691" r:id="rId1690" display="javascript:void(0);"/>
    <hyperlink ref="E1693" r:id="rId1691" display="javascript:void(0);"/>
    <hyperlink ref="F1693" r:id="rId1692" display="javascript:void(0);"/>
    <hyperlink ref="E1695" r:id="rId1693" display="javascript:void(0);"/>
    <hyperlink ref="F1695" r:id="rId1694" display="javascript:void(0);"/>
    <hyperlink ref="E1697" r:id="rId1695" display="javascript:void(0);"/>
    <hyperlink ref="F1697" r:id="rId1696" display="javascript:void(0);"/>
    <hyperlink ref="E1699" r:id="rId1697" display="javascript:void(0);"/>
    <hyperlink ref="F1699" r:id="rId1698" display="javascript:void(0);"/>
    <hyperlink ref="E1701" r:id="rId1699" display="javascript:void(0);"/>
    <hyperlink ref="F1701" r:id="rId1700" display="javascript:void(0);"/>
    <hyperlink ref="E1703" r:id="rId1701" display="javascript:void(0);"/>
    <hyperlink ref="F1703" r:id="rId1702" display="javascript:void(0);"/>
    <hyperlink ref="E1705" r:id="rId1703" display="javascript:void(0);"/>
    <hyperlink ref="F1705" r:id="rId1704" display="javascript:void(0);"/>
    <hyperlink ref="E1707" r:id="rId1705" display="javascript:void(0);"/>
    <hyperlink ref="F1707" r:id="rId1706" display="javascript:void(0);"/>
    <hyperlink ref="E1709" r:id="rId1707" display="javascript:void(0);"/>
    <hyperlink ref="F1709" r:id="rId1708" display="javascript:void(0);"/>
    <hyperlink ref="E1711" r:id="rId1709" display="javascript:void(0);"/>
    <hyperlink ref="F1711" r:id="rId1710" display="javascript:void(0);"/>
    <hyperlink ref="E1713" r:id="rId1711" display="javascript:void(0);"/>
    <hyperlink ref="F1713" r:id="rId1712" display="javascript:void(0);"/>
    <hyperlink ref="E1715" r:id="rId1713" display="javascript:void(0);"/>
    <hyperlink ref="F1715" r:id="rId1714" display="javascript:void(0);"/>
    <hyperlink ref="E1717" r:id="rId1715" display="javascript:void(0);"/>
    <hyperlink ref="F1717" r:id="rId1716" display="javascript:void(0);"/>
    <hyperlink ref="E1719" r:id="rId1717" display="javascript:void(0);"/>
    <hyperlink ref="F1719" r:id="rId1718" display="javascript:void(0);"/>
    <hyperlink ref="E1721" r:id="rId1719" display="javascript:void(0);"/>
    <hyperlink ref="F1721" r:id="rId1720" display="javascript:void(0);"/>
    <hyperlink ref="E1723" r:id="rId1721" display="javascript:void(0);"/>
    <hyperlink ref="F1723" r:id="rId1722" display="javascript:void(0);"/>
    <hyperlink ref="E1725" r:id="rId1723" display="javascript:void(0);"/>
    <hyperlink ref="F1725" r:id="rId1724" display="javascript:void(0);"/>
    <hyperlink ref="E1727" r:id="rId1725" display="javascript:void(0);"/>
    <hyperlink ref="F1727" r:id="rId1726" display="javascript:void(0);"/>
    <hyperlink ref="E1729" r:id="rId1727" display="javascript:void(0);"/>
    <hyperlink ref="F1729" r:id="rId1728" display="javascript:void(0);"/>
    <hyperlink ref="E1731" r:id="rId1729" display="javascript:void(0);"/>
    <hyperlink ref="F1731" r:id="rId1730" display="javascript:void(0);"/>
    <hyperlink ref="E1733" r:id="rId1731" display="javascript:void(0);"/>
    <hyperlink ref="F1733" r:id="rId1732" display="javascript:void(0);"/>
    <hyperlink ref="E1735" r:id="rId1733" display="javascript:void(0);"/>
    <hyperlink ref="F1735" r:id="rId1734" display="javascript:void(0);"/>
    <hyperlink ref="E1737" r:id="rId1735" display="javascript:void(0);"/>
    <hyperlink ref="F1737" r:id="rId1736" display="javascript:void(0);"/>
    <hyperlink ref="E1739" r:id="rId1737" display="javascript:void(0);"/>
    <hyperlink ref="F1739" r:id="rId1738" display="javascript:void(0);"/>
    <hyperlink ref="E1741" r:id="rId1739" display="javascript:void(0);"/>
    <hyperlink ref="F1741" r:id="rId1740" display="javascript:void(0);"/>
    <hyperlink ref="E1743" r:id="rId1741" display="javascript:void(0);"/>
    <hyperlink ref="F1743" r:id="rId1742" display="javascript:void(0);"/>
    <hyperlink ref="E1745" r:id="rId1743" display="javascript:void(0);"/>
    <hyperlink ref="F1745" r:id="rId1744" display="javascript:void(0);"/>
    <hyperlink ref="E1747" r:id="rId1745" display="javascript:void(0);"/>
    <hyperlink ref="F1747" r:id="rId1746" display="javascript:void(0);"/>
    <hyperlink ref="E1749" r:id="rId1747" display="javascript:void(0);"/>
    <hyperlink ref="F1749" r:id="rId1748" display="javascript:void(0);"/>
    <hyperlink ref="E1751" r:id="rId1749" display="javascript:void(0);"/>
    <hyperlink ref="F1751" r:id="rId1750" display="javascript:void(0);"/>
    <hyperlink ref="E1753" r:id="rId1751" display="javascript:void(0);"/>
    <hyperlink ref="F1753" r:id="rId1752" display="javascript:void(0);"/>
    <hyperlink ref="E1755" r:id="rId1753" display="javascript:void(0);"/>
    <hyperlink ref="F1755" r:id="rId1754" display="javascript:void(0);"/>
    <hyperlink ref="E1757" r:id="rId1755" display="javascript:void(0);"/>
    <hyperlink ref="F1757" r:id="rId1756" display="javascript:void(0);"/>
    <hyperlink ref="E1759" r:id="rId1757" display="javascript:void(0);"/>
    <hyperlink ref="F1759" r:id="rId1758" display="javascript:void(0);"/>
    <hyperlink ref="E1761" r:id="rId1759" display="javascript:void(0);"/>
    <hyperlink ref="F1761" r:id="rId1760" display="javascript:void(0);"/>
    <hyperlink ref="E1763" r:id="rId1761" display="javascript:void(0);"/>
    <hyperlink ref="F1763" r:id="rId1762" display="javascript:void(0);"/>
    <hyperlink ref="E1765" r:id="rId1763" display="javascript:void(0);"/>
    <hyperlink ref="F1765" r:id="rId1764" display="javascript:void(0);"/>
    <hyperlink ref="E1767" r:id="rId1765" display="javascript:void(0);"/>
    <hyperlink ref="F1767" r:id="rId1766" display="javascript:void(0);"/>
    <hyperlink ref="E1769" r:id="rId1767" display="javascript:void(0);"/>
    <hyperlink ref="F1769" r:id="rId1768" display="javascript:void(0);"/>
    <hyperlink ref="E1771" r:id="rId1769" display="javascript:void(0);"/>
    <hyperlink ref="F1771" r:id="rId1770" display="javascript:void(0);"/>
    <hyperlink ref="E1773" r:id="rId1771" display="javascript:void(0);"/>
    <hyperlink ref="F1773" r:id="rId1772" display="javascript:void(0);"/>
    <hyperlink ref="E1775" r:id="rId1773" display="javascript:void(0);"/>
    <hyperlink ref="F1775" r:id="rId1774" display="javascript:void(0);"/>
    <hyperlink ref="E1777" r:id="rId1775" display="javascript:void(0);"/>
    <hyperlink ref="F1777" r:id="rId1776" display="javascript:void(0);"/>
    <hyperlink ref="E1779" r:id="rId1777" display="javascript:void(0);"/>
    <hyperlink ref="F1779" r:id="rId1778" display="javascript:void(0);"/>
    <hyperlink ref="E1781" r:id="rId1779" display="javascript:void(0);"/>
    <hyperlink ref="F1781" r:id="rId1780" display="javascript:void(0);"/>
    <hyperlink ref="E1783" r:id="rId1781" display="javascript:void(0);"/>
    <hyperlink ref="F1783" r:id="rId1782" display="javascript:void(0);"/>
    <hyperlink ref="E1785" r:id="rId1783" display="javascript:void(0);"/>
    <hyperlink ref="F1785" r:id="rId1784" display="javascript:void(0);"/>
    <hyperlink ref="E1787" r:id="rId1785" display="javascript:void(0);"/>
    <hyperlink ref="F1787" r:id="rId1786" display="javascript:void(0);"/>
    <hyperlink ref="E1789" r:id="rId1787" display="javascript:void(0);"/>
    <hyperlink ref="F1789" r:id="rId1788" display="javascript:void(0);"/>
    <hyperlink ref="E1791" r:id="rId1789" display="javascript:void(0);"/>
    <hyperlink ref="F1791" r:id="rId1790" display="javascript:void(0);"/>
    <hyperlink ref="E1793" r:id="rId1791" display="javascript:void(0);"/>
    <hyperlink ref="F1793" r:id="rId1792" display="javascript:void(0);"/>
    <hyperlink ref="E1795" r:id="rId1793" display="javascript:void(0);"/>
    <hyperlink ref="F1795" r:id="rId1794" display="javascript:void(0);"/>
    <hyperlink ref="E1797" r:id="rId1795" display="javascript:void(0);"/>
    <hyperlink ref="F1797" r:id="rId1796" display="javascript:void(0);"/>
    <hyperlink ref="E1799" r:id="rId1797" display="javascript:void(0);"/>
    <hyperlink ref="F1799" r:id="rId1798" display="javascript:void(0);"/>
    <hyperlink ref="E1801" r:id="rId1799" display="javascript:void(0);"/>
    <hyperlink ref="F1801" r:id="rId1800" display="javascript:void(0);"/>
    <hyperlink ref="E1803" r:id="rId1801" display="javascript:void(0);"/>
    <hyperlink ref="F1803" r:id="rId1802" display="javascript:void(0);"/>
    <hyperlink ref="E1805" r:id="rId1803" display="javascript:void(0);"/>
    <hyperlink ref="F1805" r:id="rId1804" display="javascript:void(0);"/>
    <hyperlink ref="E1807" r:id="rId1805" display="javascript:void(0);"/>
    <hyperlink ref="F1807" r:id="rId1806" display="javascript:void(0);"/>
    <hyperlink ref="E1809" r:id="rId1807" display="javascript:void(0);"/>
    <hyperlink ref="F1809" r:id="rId1808" display="javascript:void(0);"/>
    <hyperlink ref="E1811" r:id="rId1809" display="javascript:void(0);"/>
    <hyperlink ref="F1811" r:id="rId1810" display="javascript:void(0);"/>
    <hyperlink ref="E1813" r:id="rId1811" display="javascript:void(0);"/>
    <hyperlink ref="F1813" r:id="rId1812" display="javascript:void(0);"/>
    <hyperlink ref="E1815" r:id="rId1813" display="javascript:void(0);"/>
    <hyperlink ref="F1815" r:id="rId1814" display="javascript:void(0);"/>
    <hyperlink ref="E1817" r:id="rId1815" display="javascript:void(0);"/>
    <hyperlink ref="F1817" r:id="rId1816" display="javascript:void(0);"/>
    <hyperlink ref="E1819" r:id="rId1817" display="javascript:void(0);"/>
    <hyperlink ref="F1819" r:id="rId1818" display="javascript:void(0);"/>
    <hyperlink ref="E1821" r:id="rId1819" display="javascript:void(0);"/>
    <hyperlink ref="F1821" r:id="rId1820" display="javascript:void(0);"/>
    <hyperlink ref="E1823" r:id="rId1821" display="javascript:void(0);"/>
    <hyperlink ref="F1823" r:id="rId1822" display="javascript:void(0);"/>
    <hyperlink ref="E1825" r:id="rId1823" display="javascript:void(0);"/>
    <hyperlink ref="F1825" r:id="rId1824" display="javascript:void(0);"/>
    <hyperlink ref="E1827" r:id="rId1825" display="javascript:void(0);"/>
    <hyperlink ref="F1827" r:id="rId1826" display="javascript:void(0);"/>
    <hyperlink ref="E1829" r:id="rId1827" display="javascript:void(0);"/>
    <hyperlink ref="F1829" r:id="rId1828" display="javascript:void(0);"/>
    <hyperlink ref="E1831" r:id="rId1829" display="javascript:void(0);"/>
    <hyperlink ref="F1831" r:id="rId1830" display="javascript:void(0);"/>
    <hyperlink ref="E1833" r:id="rId1831" display="javascript:void(0);"/>
    <hyperlink ref="F1833" r:id="rId1832" display="javascript:void(0);"/>
    <hyperlink ref="E1835" r:id="rId1833" display="javascript:void(0);"/>
    <hyperlink ref="F1835" r:id="rId1834" display="javascript:void(0);"/>
    <hyperlink ref="E1837" r:id="rId1835" display="javascript:void(0);"/>
    <hyperlink ref="F1837" r:id="rId1836" display="javascript:void(0);"/>
    <hyperlink ref="E1839" r:id="rId1837" display="javascript:void(0);"/>
    <hyperlink ref="F1839" r:id="rId1838" display="javascript:void(0);"/>
    <hyperlink ref="E1841" r:id="rId1839" display="javascript:void(0);"/>
    <hyperlink ref="F1841" r:id="rId1840" display="javascript:void(0);"/>
    <hyperlink ref="E1843" r:id="rId1841" display="javascript:void(0);"/>
    <hyperlink ref="F1843" r:id="rId1842" display="javascript:void(0);"/>
    <hyperlink ref="E1845" r:id="rId1843" display="javascript:void(0);"/>
    <hyperlink ref="F1845" r:id="rId1844" display="javascript:void(0);"/>
    <hyperlink ref="E1847" r:id="rId1845" display="javascript:void(0);"/>
    <hyperlink ref="F1847" r:id="rId1846" display="javascript:void(0);"/>
    <hyperlink ref="E1849" r:id="rId1847" display="javascript:void(0);"/>
    <hyperlink ref="F1849" r:id="rId1848" display="javascript:void(0);"/>
    <hyperlink ref="E1851" r:id="rId1849" display="javascript:void(0);"/>
    <hyperlink ref="F1851" r:id="rId1850" display="javascript:void(0);"/>
    <hyperlink ref="E1853" r:id="rId1851" display="javascript:void(0);"/>
    <hyperlink ref="F1853" r:id="rId1852" display="javascript:void(0);"/>
    <hyperlink ref="E1855" r:id="rId1853" display="javascript:void(0);"/>
    <hyperlink ref="F1855" r:id="rId1854" display="javascript:void(0);"/>
    <hyperlink ref="E1857" r:id="rId1855" display="javascript:void(0);"/>
    <hyperlink ref="F1857" r:id="rId1856" display="javascript:void(0);"/>
    <hyperlink ref="E1859" r:id="rId1857" display="javascript:void(0);"/>
    <hyperlink ref="F1859" r:id="rId1858" display="javascript:void(0);"/>
    <hyperlink ref="E1861" r:id="rId1859" display="javascript:void(0);"/>
    <hyperlink ref="F1861" r:id="rId1860" display="javascript:void(0);"/>
    <hyperlink ref="E1863" r:id="rId1861" display="javascript:void(0);"/>
    <hyperlink ref="F1863" r:id="rId1862" display="javascript:void(0);"/>
    <hyperlink ref="E1865" r:id="rId1863" display="javascript:void(0);"/>
    <hyperlink ref="F1865" r:id="rId1864" display="javascript:void(0);"/>
    <hyperlink ref="E1867" r:id="rId1865" display="javascript:void(0);"/>
    <hyperlink ref="F1867" r:id="rId1866" display="javascript:void(0);"/>
    <hyperlink ref="E1869" r:id="rId1867" display="javascript:void(0);"/>
    <hyperlink ref="F1869" r:id="rId1868" display="javascript:void(0);"/>
    <hyperlink ref="E1871" r:id="rId1869" display="javascript:void(0);"/>
    <hyperlink ref="F1871" r:id="rId1870" display="javascript:void(0);"/>
    <hyperlink ref="E1873" r:id="rId1871" display="javascript:void(0);"/>
    <hyperlink ref="F1873" r:id="rId1872" display="javascript:void(0);"/>
    <hyperlink ref="E1875" r:id="rId1873" display="javascript:void(0);"/>
    <hyperlink ref="F1875" r:id="rId1874" display="javascript:void(0);"/>
    <hyperlink ref="E1877" r:id="rId1875" display="javascript:void(0);"/>
    <hyperlink ref="F1877" r:id="rId1876" display="javascript:void(0);"/>
    <hyperlink ref="E1879" r:id="rId1877" display="javascript:void(0);"/>
    <hyperlink ref="F1879" r:id="rId1878" display="javascript:void(0);"/>
    <hyperlink ref="E1881" r:id="rId1879" display="javascript:void(0);"/>
    <hyperlink ref="F1881" r:id="rId1880" display="javascript:void(0);"/>
    <hyperlink ref="E1883" r:id="rId1881" display="javascript:void(0);"/>
    <hyperlink ref="F1883" r:id="rId1882" display="javascript:void(0);"/>
    <hyperlink ref="E1885" r:id="rId1883" display="javascript:void(0);"/>
    <hyperlink ref="F1885" r:id="rId1884" display="javascript:void(0);"/>
    <hyperlink ref="E1887" r:id="rId1885" display="javascript:void(0);"/>
    <hyperlink ref="F1887" r:id="rId1886" display="javascript:void(0);"/>
    <hyperlink ref="E1889" r:id="rId1887" display="javascript:void(0);"/>
    <hyperlink ref="F1889" r:id="rId1888" display="javascript:void(0);"/>
    <hyperlink ref="E1891" r:id="rId1889" display="javascript:void(0);"/>
    <hyperlink ref="F1891" r:id="rId1890" display="javascript:void(0);"/>
    <hyperlink ref="E1893" r:id="rId1891" display="javascript:void(0);"/>
    <hyperlink ref="F1893" r:id="rId1892" display="javascript:void(0);"/>
    <hyperlink ref="E1895" r:id="rId1893" display="javascript:void(0);"/>
    <hyperlink ref="F1895" r:id="rId1894" display="javascript:void(0);"/>
    <hyperlink ref="E1897" r:id="rId1895" display="javascript:void(0);"/>
    <hyperlink ref="F1897" r:id="rId1896" display="javascript:void(0);"/>
    <hyperlink ref="E1899" r:id="rId1897" display="javascript:void(0);"/>
    <hyperlink ref="F1899" r:id="rId1898" display="javascript:void(0);"/>
    <hyperlink ref="E1901" r:id="rId1899" display="javascript:void(0);"/>
    <hyperlink ref="F1901" r:id="rId1900" display="javascript:void(0);"/>
    <hyperlink ref="E1903" r:id="rId1901" display="javascript:void(0);"/>
    <hyperlink ref="F1903" r:id="rId1902" display="javascript:void(0);"/>
    <hyperlink ref="E1905" r:id="rId1903" display="javascript:void(0);"/>
    <hyperlink ref="F1905" r:id="rId1904" display="javascript:void(0);"/>
    <hyperlink ref="E1907" r:id="rId1905" display="javascript:void(0);"/>
    <hyperlink ref="F1907" r:id="rId1906" display="javascript:void(0);"/>
    <hyperlink ref="E1909" r:id="rId1907" display="javascript:void(0);"/>
    <hyperlink ref="F1909" r:id="rId1908" display="javascript:void(0);"/>
    <hyperlink ref="E1911" r:id="rId1909" display="javascript:void(0);"/>
    <hyperlink ref="F1911" r:id="rId1910" display="javascript:void(0);"/>
    <hyperlink ref="E1913" r:id="rId1911" display="javascript:void(0);"/>
    <hyperlink ref="F1913" r:id="rId1912" display="javascript:void(0);"/>
    <hyperlink ref="E1915" r:id="rId1913" display="javascript:void(0);"/>
    <hyperlink ref="F1915" r:id="rId1914" display="javascript:void(0);"/>
    <hyperlink ref="E1917" r:id="rId1915" display="javascript:void(0);"/>
    <hyperlink ref="F1917" r:id="rId1916" display="javascript:void(0);"/>
    <hyperlink ref="E1919" r:id="rId1917" display="javascript:void(0);"/>
    <hyperlink ref="F1919" r:id="rId1918" display="javascript:void(0);"/>
    <hyperlink ref="E1921" r:id="rId1919" display="javascript:void(0);"/>
    <hyperlink ref="F1921" r:id="rId1920" display="javascript:void(0);"/>
    <hyperlink ref="E1923" r:id="rId1921" display="javascript:void(0);"/>
    <hyperlink ref="F1923" r:id="rId1922" display="javascript:void(0);"/>
    <hyperlink ref="E1925" r:id="rId1923" display="javascript:void(0);"/>
    <hyperlink ref="F1925" r:id="rId1924" display="javascript:void(0);"/>
    <hyperlink ref="E1927" r:id="rId1925" display="javascript:void(0);"/>
    <hyperlink ref="F1927" r:id="rId1926" display="javascript:void(0);"/>
    <hyperlink ref="E1929" r:id="rId1927" display="javascript:void(0);"/>
    <hyperlink ref="F1929" r:id="rId1928" display="javascript:void(0);"/>
    <hyperlink ref="E1931" r:id="rId1929" display="javascript:void(0);"/>
    <hyperlink ref="F1931" r:id="rId1930" display="javascript:void(0);"/>
    <hyperlink ref="E1933" r:id="rId1931" display="javascript:void(0);"/>
    <hyperlink ref="F1933" r:id="rId1932" display="javascript:void(0);"/>
    <hyperlink ref="E1935" r:id="rId1933" display="javascript:void(0);"/>
    <hyperlink ref="F1935" r:id="rId1934" display="javascript:void(0);"/>
    <hyperlink ref="E1937" r:id="rId1935" display="javascript:void(0);"/>
    <hyperlink ref="F1937" r:id="rId1936" display="javascript:void(0);"/>
    <hyperlink ref="E1939" r:id="rId1937" display="javascript:void(0);"/>
    <hyperlink ref="F1939" r:id="rId1938" display="javascript:void(0);"/>
    <hyperlink ref="E1941" r:id="rId1939" display="javascript:void(0);"/>
    <hyperlink ref="F1941" r:id="rId1940" display="javascript:void(0);"/>
    <hyperlink ref="E1943" r:id="rId1941" display="javascript:void(0);"/>
    <hyperlink ref="F1943" r:id="rId1942" display="javascript:void(0);"/>
    <hyperlink ref="E1945" r:id="rId1943" display="javascript:void(0);"/>
    <hyperlink ref="F1945" r:id="rId1944" display="javascript:void(0);"/>
    <hyperlink ref="E1947" r:id="rId1945" display="javascript:void(0);"/>
    <hyperlink ref="F1947" r:id="rId1946" display="javascript:void(0);"/>
    <hyperlink ref="E1949" r:id="rId1947" display="javascript:void(0);"/>
    <hyperlink ref="F1949" r:id="rId1948" display="javascript:void(0);"/>
    <hyperlink ref="E1951" r:id="rId1949" display="javascript:void(0);"/>
    <hyperlink ref="F1951" r:id="rId1950" display="javascript:void(0);"/>
    <hyperlink ref="E1953" r:id="rId1951" display="javascript:void(0);"/>
    <hyperlink ref="F1953" r:id="rId1952" display="javascript:void(0);"/>
    <hyperlink ref="E1955" r:id="rId1953" display="javascript:void(0);"/>
    <hyperlink ref="F1955" r:id="rId1954" display="javascript:void(0);"/>
    <hyperlink ref="E1957" r:id="rId1955" display="javascript:void(0);"/>
    <hyperlink ref="F1957" r:id="rId1956" display="javascript:void(0);"/>
    <hyperlink ref="E1959" r:id="rId1957" display="javascript:void(0);"/>
    <hyperlink ref="F1959" r:id="rId1958" display="javascript:void(0);"/>
    <hyperlink ref="E1961" r:id="rId1959" display="javascript:void(0);"/>
    <hyperlink ref="F1961" r:id="rId1960" display="javascript:void(0);"/>
    <hyperlink ref="E1963" r:id="rId1961" display="javascript:void(0);"/>
    <hyperlink ref="F1963" r:id="rId1962" display="javascript:void(0);"/>
    <hyperlink ref="E1965" r:id="rId1963" display="javascript:void(0);"/>
    <hyperlink ref="F1965" r:id="rId1964" display="javascript:void(0);"/>
    <hyperlink ref="E1967" r:id="rId1965" display="javascript:void(0);"/>
    <hyperlink ref="F1967" r:id="rId1966" display="javascript:void(0);"/>
    <hyperlink ref="E1969" r:id="rId1967" display="javascript:void(0);"/>
    <hyperlink ref="F1969" r:id="rId1968" display="javascript:void(0);"/>
    <hyperlink ref="E1971" r:id="rId1969" display="javascript:void(0);"/>
    <hyperlink ref="F1971" r:id="rId1970" display="javascript:void(0);"/>
    <hyperlink ref="E1973" r:id="rId1971" display="javascript:void(0);"/>
    <hyperlink ref="F1973" r:id="rId1972" display="javascript:void(0);"/>
    <hyperlink ref="E1975" r:id="rId1973" display="javascript:void(0);"/>
    <hyperlink ref="F1975" r:id="rId1974" display="javascript:void(0);"/>
    <hyperlink ref="E1977" r:id="rId1975" display="javascript:void(0);"/>
    <hyperlink ref="F1977" r:id="rId1976" display="javascript:void(0);"/>
    <hyperlink ref="E1979" r:id="rId1977" display="javascript:void(0);"/>
    <hyperlink ref="F1979" r:id="rId1978" display="javascript:void(0);"/>
    <hyperlink ref="E1981" r:id="rId1979" display="javascript:void(0);"/>
    <hyperlink ref="F1981" r:id="rId1980" display="javascript:void(0);"/>
    <hyperlink ref="E1983" r:id="rId1981" display="javascript:void(0);"/>
    <hyperlink ref="F1983" r:id="rId1982" display="javascript:void(0);"/>
    <hyperlink ref="E1985" r:id="rId1983" display="javascript:void(0);"/>
    <hyperlink ref="F1985" r:id="rId1984" display="javascript:void(0);"/>
    <hyperlink ref="E1987" r:id="rId1985" display="javascript:void(0);"/>
    <hyperlink ref="F1987" r:id="rId1986" display="javascript:void(0);"/>
    <hyperlink ref="E1989" r:id="rId1987" display="javascript:void(0);"/>
    <hyperlink ref="F1989" r:id="rId1988" display="javascript:void(0);"/>
    <hyperlink ref="E1991" r:id="rId1989" display="javascript:void(0);"/>
    <hyperlink ref="F1991" r:id="rId1990" display="javascript:void(0);"/>
    <hyperlink ref="E1993" r:id="rId1991" display="javascript:void(0);"/>
    <hyperlink ref="F1993" r:id="rId1992" display="javascript:void(0);"/>
    <hyperlink ref="E1995" r:id="rId1993" display="javascript:void(0);"/>
    <hyperlink ref="F1995" r:id="rId1994" display="javascript:void(0);"/>
    <hyperlink ref="E1997" r:id="rId1995" display="javascript:void(0);"/>
    <hyperlink ref="F1997" r:id="rId1996" display="javascript:void(0);"/>
    <hyperlink ref="E1999" r:id="rId1997" display="javascript:void(0);"/>
    <hyperlink ref="F1999" r:id="rId1998" display="javascript:void(0);"/>
    <hyperlink ref="E2001" r:id="rId1999" display="javascript:void(0);"/>
    <hyperlink ref="F2001" r:id="rId2000" display="javascript:void(0);"/>
    <hyperlink ref="E2003" r:id="rId2001" display="javascript:void(0);"/>
    <hyperlink ref="F2003" r:id="rId2002" display="javascript:void(0);"/>
    <hyperlink ref="E2005" r:id="rId2003" display="javascript:void(0);"/>
    <hyperlink ref="F2005" r:id="rId2004" display="javascript:void(0);"/>
    <hyperlink ref="E2007" r:id="rId2005" display="javascript:void(0);"/>
    <hyperlink ref="F2007" r:id="rId2006" display="javascript:void(0);"/>
    <hyperlink ref="E2009" r:id="rId2007" display="javascript:void(0);"/>
    <hyperlink ref="F2009" r:id="rId2008" display="javascript:void(0);"/>
    <hyperlink ref="E2011" r:id="rId2009" display="javascript:void(0);"/>
    <hyperlink ref="F2011" r:id="rId2010" display="javascript:void(0);"/>
    <hyperlink ref="E2013" r:id="rId2011" display="javascript:void(0);"/>
    <hyperlink ref="F2013" r:id="rId2012" display="javascript:void(0);"/>
    <hyperlink ref="E2015" r:id="rId2013" display="javascript:void(0);"/>
    <hyperlink ref="F2015" r:id="rId2014" display="javascript:void(0);"/>
    <hyperlink ref="E2017" r:id="rId2015" display="javascript:void(0);"/>
    <hyperlink ref="F2017" r:id="rId2016" display="javascript:void(0);"/>
    <hyperlink ref="E2019" r:id="rId2017" display="javascript:void(0);"/>
    <hyperlink ref="F2019" r:id="rId2018" display="javascript:void(0);"/>
    <hyperlink ref="E2021" r:id="rId2019" display="javascript:void(0);"/>
    <hyperlink ref="F2021" r:id="rId2020" display="javascript:void(0);"/>
    <hyperlink ref="E2023" r:id="rId2021" display="javascript:void(0);"/>
    <hyperlink ref="F2023" r:id="rId2022" display="javascript:void(0);"/>
    <hyperlink ref="E2025" r:id="rId2023" display="javascript:void(0);"/>
    <hyperlink ref="F2025" r:id="rId2024" display="javascript:void(0);"/>
    <hyperlink ref="E2027" r:id="rId2025" display="javascript:void(0);"/>
    <hyperlink ref="F2027" r:id="rId2026" display="javascript:void(0);"/>
    <hyperlink ref="E2029" r:id="rId2027" display="javascript:void(0);"/>
    <hyperlink ref="F2029" r:id="rId2028" display="javascript:void(0);"/>
    <hyperlink ref="E2031" r:id="rId2029" display="javascript:void(0);"/>
    <hyperlink ref="F2031" r:id="rId2030" display="javascript:void(0);"/>
    <hyperlink ref="E2033" r:id="rId2031" display="javascript:void(0);"/>
    <hyperlink ref="F2033" r:id="rId2032" display="javascript:void(0);"/>
    <hyperlink ref="E2035" r:id="rId2033" display="javascript:void(0);"/>
    <hyperlink ref="F2035" r:id="rId2034" display="javascript:void(0);"/>
    <hyperlink ref="E2037" r:id="rId2035" display="javascript:void(0);"/>
    <hyperlink ref="F2037" r:id="rId2036" display="javascript:void(0);"/>
    <hyperlink ref="E2039" r:id="rId2037" display="javascript:void(0);"/>
    <hyperlink ref="F2039" r:id="rId2038" display="javascript:void(0);"/>
    <hyperlink ref="E2041" r:id="rId2039" display="javascript:void(0);"/>
    <hyperlink ref="F2041" r:id="rId2040" display="javascript:void(0);"/>
    <hyperlink ref="E2043" r:id="rId2041" display="javascript:void(0);"/>
    <hyperlink ref="F2043" r:id="rId2042" display="javascript:void(0);"/>
    <hyperlink ref="E2045" r:id="rId2043" display="javascript:void(0);"/>
    <hyperlink ref="F2045" r:id="rId2044" display="javascript:void(0);"/>
    <hyperlink ref="E2047" r:id="rId2045" display="javascript:void(0);"/>
    <hyperlink ref="F2047" r:id="rId2046" display="javascript:void(0);"/>
    <hyperlink ref="E2049" r:id="rId2047" display="javascript:void(0);"/>
    <hyperlink ref="F2049" r:id="rId2048" display="javascript:void(0);"/>
    <hyperlink ref="E2051" r:id="rId2049" display="javascript:void(0);"/>
    <hyperlink ref="F2051" r:id="rId2050" display="javascript:void(0);"/>
    <hyperlink ref="E2053" r:id="rId2051" display="javascript:void(0);"/>
    <hyperlink ref="F2053" r:id="rId2052" display="javascript:void(0);"/>
    <hyperlink ref="E2055" r:id="rId2053" display="javascript:void(0);"/>
    <hyperlink ref="F2055" r:id="rId2054" display="javascript:void(0);"/>
    <hyperlink ref="E2057" r:id="rId2055" display="javascript:void(0);"/>
    <hyperlink ref="F2057" r:id="rId2056" display="javascript:void(0);"/>
    <hyperlink ref="E2059" r:id="rId2057" display="javascript:void(0);"/>
    <hyperlink ref="F2059" r:id="rId2058" display="javascript:void(0);"/>
    <hyperlink ref="E2061" r:id="rId2059" display="javascript:void(0);"/>
    <hyperlink ref="F2061" r:id="rId2060" display="javascript:void(0);"/>
    <hyperlink ref="E2063" r:id="rId2061" display="javascript:void(0);"/>
    <hyperlink ref="F2063" r:id="rId2062" display="javascript:void(0);"/>
    <hyperlink ref="E2065" r:id="rId2063" display="javascript:void(0);"/>
    <hyperlink ref="F2065" r:id="rId2064" display="javascript:void(0);"/>
    <hyperlink ref="E2067" r:id="rId2065" display="javascript:void(0);"/>
    <hyperlink ref="F2067" r:id="rId2066" display="javascript:void(0);"/>
    <hyperlink ref="E2069" r:id="rId2067" display="javascript:void(0);"/>
    <hyperlink ref="F2069" r:id="rId2068" display="javascript:void(0);"/>
    <hyperlink ref="E2071" r:id="rId2069" display="javascript:void(0);"/>
    <hyperlink ref="F2071" r:id="rId2070" display="javascript:void(0);"/>
    <hyperlink ref="E2073" r:id="rId2071" display="javascript:void(0);"/>
    <hyperlink ref="F2073" r:id="rId2072" display="javascript:void(0);"/>
    <hyperlink ref="E2075" r:id="rId2073" display="javascript:void(0);"/>
    <hyperlink ref="F2075" r:id="rId2074" display="javascript:void(0);"/>
    <hyperlink ref="E2077" r:id="rId2075" display="javascript:void(0);"/>
    <hyperlink ref="F2077" r:id="rId2076" display="javascript:void(0);"/>
    <hyperlink ref="E2079" r:id="rId2077" display="javascript:void(0);"/>
    <hyperlink ref="F2079" r:id="rId2078" display="javascript:void(0);"/>
    <hyperlink ref="E2081" r:id="rId2079" display="javascript:void(0);"/>
    <hyperlink ref="F2081" r:id="rId2080" display="javascript:void(0);"/>
    <hyperlink ref="E2083" r:id="rId2081" display="javascript:void(0);"/>
    <hyperlink ref="F2083" r:id="rId2082" display="javascript:void(0);"/>
    <hyperlink ref="E2085" r:id="rId2083" display="javascript:void(0);"/>
    <hyperlink ref="F2085" r:id="rId2084" display="javascript:void(0);"/>
    <hyperlink ref="E2087" r:id="rId2085" display="javascript:void(0);"/>
    <hyperlink ref="F2087" r:id="rId2086" display="javascript:void(0);"/>
    <hyperlink ref="E2089" r:id="rId2087" display="javascript:void(0);"/>
    <hyperlink ref="F2089" r:id="rId2088" display="javascript:void(0);"/>
    <hyperlink ref="E2091" r:id="rId2089" display="javascript:void(0);"/>
    <hyperlink ref="F2091" r:id="rId2090" display="javascript:void(0);"/>
    <hyperlink ref="E2093" r:id="rId2091" display="javascript:void(0);"/>
    <hyperlink ref="F2093" r:id="rId2092" display="javascript:void(0);"/>
    <hyperlink ref="E2095" r:id="rId2093" display="javascript:void(0);"/>
    <hyperlink ref="F2095" r:id="rId2094" display="javascript:void(0);"/>
    <hyperlink ref="E2097" r:id="rId2095" display="javascript:void(0);"/>
    <hyperlink ref="F2097" r:id="rId2096" display="javascript:void(0);"/>
    <hyperlink ref="E2099" r:id="rId2097" display="javascript:void(0);"/>
    <hyperlink ref="F2099" r:id="rId2098" display="javascript:void(0);"/>
    <hyperlink ref="E2101" r:id="rId2099" display="javascript:void(0);"/>
    <hyperlink ref="F2101" r:id="rId2100" display="javascript:void(0);"/>
    <hyperlink ref="E2103" r:id="rId2101" display="javascript:void(0);"/>
    <hyperlink ref="F2103" r:id="rId2102" display="javascript:void(0);"/>
    <hyperlink ref="E2105" r:id="rId2103" display="javascript:void(0);"/>
    <hyperlink ref="F2105" r:id="rId2104" display="javascript:void(0);"/>
    <hyperlink ref="E2107" r:id="rId2105" display="javascript:void(0);"/>
    <hyperlink ref="F2107" r:id="rId2106" display="javascript:void(0);"/>
    <hyperlink ref="E2109" r:id="rId2107" display="javascript:void(0);"/>
    <hyperlink ref="F2109" r:id="rId2108" display="javascript:void(0);"/>
    <hyperlink ref="E2111" r:id="rId2109" display="javascript:void(0);"/>
    <hyperlink ref="F2111" r:id="rId2110" display="javascript:void(0);"/>
    <hyperlink ref="E2113" r:id="rId2111" display="javascript:void(0);"/>
    <hyperlink ref="F2113" r:id="rId2112" display="javascript:void(0);"/>
    <hyperlink ref="E2115" r:id="rId2113" display="javascript:void(0);"/>
    <hyperlink ref="F2115" r:id="rId2114" display="javascript:void(0);"/>
    <hyperlink ref="E2117" r:id="rId2115" display="javascript:void(0);"/>
    <hyperlink ref="F2117" r:id="rId2116" display="javascript:void(0);"/>
    <hyperlink ref="E2119" r:id="rId2117" display="javascript:void(0);"/>
    <hyperlink ref="F2119" r:id="rId2118" display="javascript:void(0);"/>
    <hyperlink ref="E2121" r:id="rId2119" display="javascript:void(0);"/>
    <hyperlink ref="F2121" r:id="rId2120" display="javascript:void(0);"/>
    <hyperlink ref="E2123" r:id="rId2121" display="javascript:void(0);"/>
    <hyperlink ref="F2123" r:id="rId2122" display="javascript:void(0);"/>
    <hyperlink ref="E2125" r:id="rId2123" display="javascript:void(0);"/>
    <hyperlink ref="F2125" r:id="rId2124" display="javascript:void(0);"/>
    <hyperlink ref="E2127" r:id="rId2125" display="javascript:void(0);"/>
    <hyperlink ref="F2127" r:id="rId2126" display="javascript:void(0);"/>
    <hyperlink ref="E2129" r:id="rId2127" display="javascript:void(0);"/>
    <hyperlink ref="F2129" r:id="rId2128" display="javascript:void(0);"/>
    <hyperlink ref="E2131" r:id="rId2129" display="javascript:void(0);"/>
    <hyperlink ref="F2131" r:id="rId2130" display="javascript:void(0);"/>
    <hyperlink ref="E2133" r:id="rId2131" display="javascript:void(0);"/>
    <hyperlink ref="F2133" r:id="rId2132" display="javascript:void(0);"/>
    <hyperlink ref="E2135" r:id="rId2133" display="javascript:void(0);"/>
    <hyperlink ref="F2135" r:id="rId2134" display="javascript:void(0);"/>
    <hyperlink ref="E2137" r:id="rId2135" display="javascript:void(0);"/>
    <hyperlink ref="F2137" r:id="rId2136" display="javascript:void(0);"/>
    <hyperlink ref="E2139" r:id="rId2137" display="javascript:void(0);"/>
    <hyperlink ref="F2139" r:id="rId2138" display="javascript:void(0);"/>
    <hyperlink ref="E2141" r:id="rId2139" display="javascript:void(0);"/>
    <hyperlink ref="F2141" r:id="rId2140" display="javascript:void(0);"/>
    <hyperlink ref="E2143" r:id="rId2141" display="javascript:void(0);"/>
    <hyperlink ref="F2143" r:id="rId2142" display="javascript:void(0);"/>
    <hyperlink ref="E2145" r:id="rId2143" display="javascript:void(0);"/>
    <hyperlink ref="F2145" r:id="rId2144" display="javascript:void(0);"/>
    <hyperlink ref="E2147" r:id="rId2145" display="javascript:void(0);"/>
    <hyperlink ref="F2147" r:id="rId2146" display="javascript:void(0);"/>
    <hyperlink ref="E2149" r:id="rId2147" display="javascript:void(0);"/>
    <hyperlink ref="F2149" r:id="rId2148" display="javascript:void(0);"/>
    <hyperlink ref="E2151" r:id="rId2149" display="javascript:void(0);"/>
    <hyperlink ref="F2151" r:id="rId2150" display="javascript:void(0);"/>
    <hyperlink ref="E2153" r:id="rId2151" display="javascript:void(0);"/>
    <hyperlink ref="F2153" r:id="rId2152" display="javascript:void(0);"/>
    <hyperlink ref="E2155" r:id="rId2153" display="javascript:void(0);"/>
    <hyperlink ref="F2155" r:id="rId2154" display="javascript:void(0);"/>
    <hyperlink ref="E2157" r:id="rId2155" display="javascript:void(0);"/>
    <hyperlink ref="F2157" r:id="rId2156" display="javascript:void(0);"/>
    <hyperlink ref="E2159" r:id="rId2157" display="javascript:void(0);"/>
    <hyperlink ref="F2159" r:id="rId2158" display="javascript:void(0);"/>
    <hyperlink ref="E2161" r:id="rId2159" display="javascript:void(0);"/>
    <hyperlink ref="F2161" r:id="rId2160" display="javascript:void(0);"/>
    <hyperlink ref="E2163" r:id="rId2161" display="javascript:void(0);"/>
    <hyperlink ref="F2163" r:id="rId2162" display="javascript:void(0);"/>
    <hyperlink ref="E2165" r:id="rId2163" display="javascript:void(0);"/>
    <hyperlink ref="F2165" r:id="rId2164" display="javascript:void(0);"/>
    <hyperlink ref="E2167" r:id="rId2165" display="javascript:void(0);"/>
    <hyperlink ref="F2167" r:id="rId2166" display="javascript:void(0);"/>
    <hyperlink ref="E2169" r:id="rId2167" display="javascript:void(0);"/>
    <hyperlink ref="F2169" r:id="rId2168" display="javascript:void(0);"/>
    <hyperlink ref="E2171" r:id="rId2169" display="javascript:void(0);"/>
    <hyperlink ref="F2171" r:id="rId2170" display="javascript:void(0);"/>
    <hyperlink ref="E2173" r:id="rId2171" display="javascript:void(0);"/>
    <hyperlink ref="F2173" r:id="rId2172" display="javascript:void(0);"/>
    <hyperlink ref="E2175" r:id="rId2173" display="javascript:void(0);"/>
    <hyperlink ref="F2175" r:id="rId2174" display="javascript:void(0);"/>
    <hyperlink ref="E2177" r:id="rId2175" display="javascript:void(0);"/>
    <hyperlink ref="F2177" r:id="rId2176" display="javascript:void(0);"/>
    <hyperlink ref="E2179" r:id="rId2177" display="javascript:void(0);"/>
    <hyperlink ref="F2179" r:id="rId2178" display="javascript:void(0);"/>
    <hyperlink ref="E2181" r:id="rId2179" display="javascript:void(0);"/>
    <hyperlink ref="F2181" r:id="rId2180" display="javascript:void(0);"/>
    <hyperlink ref="E2183" r:id="rId2181" display="javascript:void(0);"/>
    <hyperlink ref="F2183" r:id="rId2182" display="javascript:void(0);"/>
    <hyperlink ref="E2185" r:id="rId2183" display="javascript:void(0);"/>
    <hyperlink ref="F2185" r:id="rId2184" display="javascript:void(0);"/>
    <hyperlink ref="E2187" r:id="rId2185" display="javascript:void(0);"/>
    <hyperlink ref="F2187" r:id="rId2186" display="javascript:void(0);"/>
    <hyperlink ref="E2189" r:id="rId2187" display="javascript:void(0);"/>
    <hyperlink ref="F2189" r:id="rId2188" display="javascript:void(0);"/>
    <hyperlink ref="E2191" r:id="rId2189" display="javascript:void(0);"/>
    <hyperlink ref="F2191" r:id="rId2190" display="javascript:void(0);"/>
    <hyperlink ref="E2193" r:id="rId2191" display="javascript:void(0);"/>
    <hyperlink ref="F2193" r:id="rId2192" display="javascript:void(0);"/>
    <hyperlink ref="E2195" r:id="rId2193" display="javascript:void(0);"/>
    <hyperlink ref="F2195" r:id="rId2194" display="javascript:void(0);"/>
    <hyperlink ref="E2197" r:id="rId2195" display="javascript:void(0);"/>
    <hyperlink ref="F2197" r:id="rId2196" display="javascript:void(0);"/>
    <hyperlink ref="E2199" r:id="rId2197" display="javascript:void(0);"/>
    <hyperlink ref="F2199" r:id="rId2198" display="javascript:void(0);"/>
    <hyperlink ref="E2201" r:id="rId2199" display="javascript:void(0);"/>
    <hyperlink ref="F2201" r:id="rId2200" display="javascript:void(0);"/>
    <hyperlink ref="E2203" r:id="rId2201" display="javascript:void(0);"/>
    <hyperlink ref="F2203" r:id="rId2202" display="javascript:void(0);"/>
    <hyperlink ref="E2205" r:id="rId2203" display="javascript:void(0);"/>
    <hyperlink ref="F2205" r:id="rId2204" display="javascript:void(0);"/>
    <hyperlink ref="E2207" r:id="rId2205" display="javascript:void(0);"/>
    <hyperlink ref="F2207" r:id="rId2206" display="javascript:void(0);"/>
    <hyperlink ref="E2209" r:id="rId2207" display="javascript:void(0);"/>
    <hyperlink ref="F2209" r:id="rId2208" display="javascript:void(0);"/>
    <hyperlink ref="E2211" r:id="rId2209" display="javascript:void(0);"/>
    <hyperlink ref="F2211" r:id="rId2210" display="javascript:void(0);"/>
    <hyperlink ref="E2213" r:id="rId2211" display="javascript:void(0);"/>
    <hyperlink ref="F2213" r:id="rId2212" display="javascript:void(0);"/>
    <hyperlink ref="E2215" r:id="rId2213" display="javascript:void(0);"/>
    <hyperlink ref="F2215" r:id="rId2214" display="javascript:void(0);"/>
    <hyperlink ref="E2217" r:id="rId2215" display="javascript:void(0);"/>
    <hyperlink ref="F2217" r:id="rId2216" display="javascript:void(0);"/>
    <hyperlink ref="E2219" r:id="rId2217" display="javascript:void(0);"/>
    <hyperlink ref="F2219" r:id="rId2218" display="javascript:void(0);"/>
    <hyperlink ref="E2221" r:id="rId2219" display="javascript:void(0);"/>
    <hyperlink ref="F2221" r:id="rId2220" display="javascript:void(0);"/>
    <hyperlink ref="E2223" r:id="rId2221" display="javascript:void(0);"/>
    <hyperlink ref="F2223" r:id="rId2222" display="javascript:void(0);"/>
    <hyperlink ref="E2225" r:id="rId2223" display="javascript:void(0);"/>
    <hyperlink ref="F2225" r:id="rId2224" display="javascript:void(0);"/>
    <hyperlink ref="E2227" r:id="rId2225" display="javascript:void(0);"/>
    <hyperlink ref="F2227" r:id="rId2226" display="javascript:void(0);"/>
    <hyperlink ref="E2229" r:id="rId2227" display="javascript:void(0);"/>
    <hyperlink ref="F2229" r:id="rId2228" display="javascript:void(0);"/>
    <hyperlink ref="E2231" r:id="rId2229" display="javascript:void(0);"/>
    <hyperlink ref="F2231" r:id="rId2230" display="javascript:void(0);"/>
    <hyperlink ref="E2233" r:id="rId2231" display="javascript:void(0);"/>
    <hyperlink ref="F2233" r:id="rId2232" display="javascript:void(0);"/>
    <hyperlink ref="E2235" r:id="rId2233" display="javascript:void(0);"/>
    <hyperlink ref="F2235" r:id="rId2234" display="javascript:void(0);"/>
    <hyperlink ref="E2237" r:id="rId2235" display="javascript:void(0);"/>
    <hyperlink ref="F2237" r:id="rId2236" display="javascript:void(0);"/>
    <hyperlink ref="E2239" r:id="rId2237" display="javascript:void(0);"/>
    <hyperlink ref="F2239" r:id="rId2238" display="javascript:void(0);"/>
    <hyperlink ref="E2241" r:id="rId2239" display="javascript:void(0);"/>
    <hyperlink ref="F2241" r:id="rId2240" display="javascript:void(0);"/>
    <hyperlink ref="E2243" r:id="rId2241" display="javascript:void(0);"/>
    <hyperlink ref="F2243" r:id="rId2242" display="javascript:void(0);"/>
    <hyperlink ref="E2245" r:id="rId2243" display="javascript:void(0);"/>
    <hyperlink ref="F2245" r:id="rId2244" display="javascript:void(0);"/>
    <hyperlink ref="E2247" r:id="rId2245" display="javascript:void(0);"/>
    <hyperlink ref="F2247" r:id="rId2246" display="javascript:void(0);"/>
    <hyperlink ref="E2249" r:id="rId2247" display="javascript:void(0);"/>
    <hyperlink ref="F2249" r:id="rId2248" display="javascript:void(0);"/>
    <hyperlink ref="E2251" r:id="rId2249" display="javascript:void(0);"/>
    <hyperlink ref="F2251" r:id="rId2250" display="javascript:void(0);"/>
    <hyperlink ref="E2253" r:id="rId2251" display="javascript:void(0);"/>
    <hyperlink ref="F2253" r:id="rId2252" display="javascript:void(0);"/>
    <hyperlink ref="E2255" r:id="rId2253" display="javascript:void(0);"/>
    <hyperlink ref="F2255" r:id="rId2254" display="javascript:void(0);"/>
    <hyperlink ref="E2257" r:id="rId2255" display="javascript:void(0);"/>
    <hyperlink ref="F2257" r:id="rId2256" display="javascript:void(0);"/>
    <hyperlink ref="E2259" r:id="rId2257" display="javascript:void(0);"/>
    <hyperlink ref="F2259" r:id="rId2258" display="javascript:void(0);"/>
    <hyperlink ref="E2261" r:id="rId2259" display="javascript:void(0);"/>
    <hyperlink ref="F2261" r:id="rId2260" display="javascript:void(0);"/>
    <hyperlink ref="E2263" r:id="rId2261" display="javascript:void(0);"/>
    <hyperlink ref="F2263" r:id="rId2262" display="javascript:void(0);"/>
    <hyperlink ref="E2265" r:id="rId2263" display="javascript:void(0);"/>
    <hyperlink ref="F2265" r:id="rId2264" display="javascript:void(0);"/>
    <hyperlink ref="E2267" r:id="rId2265" display="javascript:void(0);"/>
    <hyperlink ref="F2267" r:id="rId2266" display="javascript:void(0);"/>
    <hyperlink ref="E2269" r:id="rId2267" display="javascript:void(0);"/>
    <hyperlink ref="F2269" r:id="rId2268" display="javascript:void(0);"/>
    <hyperlink ref="E2271" r:id="rId2269" display="javascript:void(0);"/>
    <hyperlink ref="F2271" r:id="rId2270" display="javascript:void(0);"/>
    <hyperlink ref="E2273" r:id="rId2271" display="javascript:void(0);"/>
    <hyperlink ref="F2273" r:id="rId2272" display="javascript:void(0);"/>
    <hyperlink ref="E2275" r:id="rId2273" display="javascript:void(0);"/>
    <hyperlink ref="F2275" r:id="rId2274" display="javascript:void(0);"/>
    <hyperlink ref="E2277" r:id="rId2275" display="javascript:void(0);"/>
    <hyperlink ref="F2277" r:id="rId2276" display="javascript:void(0);"/>
    <hyperlink ref="E2279" r:id="rId2277" display="javascript:void(0);"/>
    <hyperlink ref="F2279" r:id="rId2278" display="javascript:void(0);"/>
    <hyperlink ref="E2281" r:id="rId2279" display="javascript:void(0);"/>
    <hyperlink ref="F2281" r:id="rId2280" display="javascript:void(0);"/>
    <hyperlink ref="E2283" r:id="rId2281" display="javascript:void(0);"/>
    <hyperlink ref="F2283" r:id="rId2282" display="javascript:void(0);"/>
    <hyperlink ref="E2285" r:id="rId2283" display="javascript:void(0);"/>
    <hyperlink ref="F2285" r:id="rId2284" display="javascript:void(0);"/>
    <hyperlink ref="E2287" r:id="rId2285" display="javascript:void(0);"/>
    <hyperlink ref="F2287" r:id="rId2286" display="javascript:void(0);"/>
    <hyperlink ref="E2289" r:id="rId2287" display="javascript:void(0);"/>
    <hyperlink ref="F2289" r:id="rId2288" display="javascript:void(0);"/>
    <hyperlink ref="E2291" r:id="rId2289" display="javascript:void(0);"/>
    <hyperlink ref="F2291" r:id="rId2290" display="javascript:void(0);"/>
    <hyperlink ref="E2293" r:id="rId2291" display="javascript:void(0);"/>
    <hyperlink ref="F2293" r:id="rId2292" display="javascript:void(0);"/>
    <hyperlink ref="E2295" r:id="rId2293" display="javascript:void(0);"/>
    <hyperlink ref="F2295" r:id="rId2294" display="javascript:void(0);"/>
    <hyperlink ref="E2297" r:id="rId2295" display="javascript:void(0);"/>
    <hyperlink ref="F2297" r:id="rId2296" display="javascript:void(0);"/>
    <hyperlink ref="E2299" r:id="rId2297" display="javascript:void(0);"/>
    <hyperlink ref="F2299" r:id="rId2298" display="javascript:void(0);"/>
  </hyperlinks>
  <pageMargins left="0.7" right="0.7" top="0.75" bottom="0.75" header="0.3" footer="0.3"/>
  <drawing r:id="rId229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804"/>
  <sheetViews>
    <sheetView topLeftCell="G1" workbookViewId="0">
      <selection activeCell="W2" sqref="W2"/>
    </sheetView>
  </sheetViews>
  <sheetFormatPr defaultRowHeight="15"/>
  <cols>
    <col min="1" max="1" width="19.5703125" customWidth="1"/>
  </cols>
  <sheetData>
    <row r="1" spans="1:22">
      <c r="B1" t="s">
        <v>428</v>
      </c>
    </row>
    <row r="2" spans="1:22" ht="15.75" thickBot="1">
      <c r="A2" s="50" t="s">
        <v>206</v>
      </c>
      <c r="B2" s="50" t="s">
        <v>175</v>
      </c>
      <c r="C2" s="50"/>
      <c r="D2" s="25" t="s">
        <v>207</v>
      </c>
      <c r="E2" s="25" t="s">
        <v>208</v>
      </c>
      <c r="F2" s="25" t="s">
        <v>209</v>
      </c>
      <c r="G2" s="25" t="s">
        <v>210</v>
      </c>
      <c r="H2" s="25" t="s">
        <v>211</v>
      </c>
      <c r="I2" s="51" t="s">
        <v>212</v>
      </c>
      <c r="J2" s="25" t="s">
        <v>213</v>
      </c>
      <c r="K2" s="25" t="s">
        <v>194</v>
      </c>
      <c r="L2" s="25" t="s">
        <v>195</v>
      </c>
      <c r="M2" s="25" t="s">
        <v>196</v>
      </c>
      <c r="N2" s="25" t="s">
        <v>197</v>
      </c>
      <c r="O2" s="25" t="s">
        <v>198</v>
      </c>
      <c r="P2" s="25" t="s">
        <v>199</v>
      </c>
      <c r="Q2" s="25" t="s">
        <v>200</v>
      </c>
      <c r="R2" s="25" t="s">
        <v>201</v>
      </c>
      <c r="S2" s="25" t="s">
        <v>202</v>
      </c>
      <c r="T2" s="25" t="s">
        <v>203</v>
      </c>
      <c r="U2" s="25" t="s">
        <v>204</v>
      </c>
      <c r="V2" s="25" t="s">
        <v>205</v>
      </c>
    </row>
    <row r="3" spans="1:22" ht="15.75" thickBot="1">
      <c r="A3" s="52" t="s">
        <v>214</v>
      </c>
      <c r="B3" s="52" t="s">
        <v>215</v>
      </c>
      <c r="C3" s="52"/>
      <c r="D3" s="53" t="s">
        <v>216</v>
      </c>
      <c r="E3" s="26">
        <v>69</v>
      </c>
      <c r="F3" s="26">
        <v>33</v>
      </c>
      <c r="G3" s="26">
        <v>39</v>
      </c>
      <c r="H3" s="54">
        <v>72</v>
      </c>
      <c r="I3" s="26">
        <v>7</v>
      </c>
      <c r="J3" s="26">
        <v>44</v>
      </c>
      <c r="K3" s="26">
        <v>12</v>
      </c>
      <c r="L3" s="26">
        <v>27</v>
      </c>
      <c r="M3" s="26">
        <v>0</v>
      </c>
      <c r="N3" s="26">
        <v>1</v>
      </c>
      <c r="O3" s="26">
        <v>7</v>
      </c>
      <c r="P3" s="26">
        <v>4</v>
      </c>
      <c r="Q3" s="26">
        <v>229</v>
      </c>
      <c r="R3" s="27">
        <v>14.4</v>
      </c>
      <c r="S3" s="28">
        <v>0.85486111111111107</v>
      </c>
      <c r="T3" s="27">
        <v>22.6</v>
      </c>
      <c r="U3" s="29">
        <v>52.3</v>
      </c>
      <c r="V3" s="30">
        <f>((2.5*F3)+(2.125*G3)+(0.5*R3))/((0.25*E3)+(0.25*(S3)))</f>
        <v>9.8819178654153959</v>
      </c>
    </row>
    <row r="4" spans="1:22" ht="15.75" thickBot="1">
      <c r="A4" s="55" t="s">
        <v>217</v>
      </c>
      <c r="B4" s="55" t="s">
        <v>218</v>
      </c>
      <c r="C4" s="55"/>
      <c r="D4" s="56" t="s">
        <v>219</v>
      </c>
      <c r="E4" s="31">
        <v>66</v>
      </c>
      <c r="F4" s="31">
        <v>44</v>
      </c>
      <c r="G4" s="31">
        <v>25</v>
      </c>
      <c r="H4" s="57">
        <v>69</v>
      </c>
      <c r="I4" s="31">
        <v>12</v>
      </c>
      <c r="J4" s="31">
        <v>44</v>
      </c>
      <c r="K4" s="31">
        <v>20</v>
      </c>
      <c r="L4" s="31">
        <v>29</v>
      </c>
      <c r="M4" s="31">
        <v>0</v>
      </c>
      <c r="N4" s="31">
        <v>0</v>
      </c>
      <c r="O4" s="31">
        <v>10</v>
      </c>
      <c r="P4" s="31">
        <v>0</v>
      </c>
      <c r="Q4" s="31">
        <v>328</v>
      </c>
      <c r="R4" s="32">
        <v>13.4</v>
      </c>
      <c r="S4" s="33">
        <v>0.84861111111111109</v>
      </c>
      <c r="T4" s="32">
        <v>22.5</v>
      </c>
      <c r="U4" s="34">
        <v>40</v>
      </c>
      <c r="V4" s="30">
        <f t="shared" ref="V4:V67" si="0">((2.5*F4)+(2.125*G4)+(0.5*R4))/((0.25*E4)+(0.25*(S4)))</f>
        <v>10.161766844653133</v>
      </c>
    </row>
    <row r="5" spans="1:22" ht="15.75" thickBot="1">
      <c r="A5" s="58" t="s">
        <v>220</v>
      </c>
      <c r="B5" s="58" t="s">
        <v>218</v>
      </c>
      <c r="C5" s="58"/>
      <c r="D5" s="59" t="s">
        <v>216</v>
      </c>
      <c r="E5" s="35">
        <v>67</v>
      </c>
      <c r="F5" s="35">
        <v>18</v>
      </c>
      <c r="G5" s="35">
        <v>51</v>
      </c>
      <c r="H5" s="57">
        <v>69</v>
      </c>
      <c r="I5" s="35">
        <v>6</v>
      </c>
      <c r="J5" s="35">
        <v>40</v>
      </c>
      <c r="K5" s="35">
        <v>3</v>
      </c>
      <c r="L5" s="35">
        <v>29</v>
      </c>
      <c r="M5" s="35">
        <v>0</v>
      </c>
      <c r="N5" s="35">
        <v>0</v>
      </c>
      <c r="O5" s="35">
        <v>3</v>
      </c>
      <c r="P5" s="35">
        <v>1</v>
      </c>
      <c r="Q5" s="35">
        <v>135</v>
      </c>
      <c r="R5" s="36">
        <v>13.3</v>
      </c>
      <c r="S5" s="37">
        <v>0.8520833333333333</v>
      </c>
      <c r="T5" s="36">
        <v>24.2</v>
      </c>
      <c r="U5" s="38">
        <v>54.2</v>
      </c>
      <c r="V5" s="30">
        <f t="shared" si="0"/>
        <v>9.4337560256685808</v>
      </c>
    </row>
    <row r="6" spans="1:22" ht="15.75" thickBot="1">
      <c r="A6" s="55" t="s">
        <v>221</v>
      </c>
      <c r="B6" s="55" t="s">
        <v>222</v>
      </c>
      <c r="C6" s="55"/>
      <c r="D6" s="56" t="s">
        <v>216</v>
      </c>
      <c r="E6" s="31">
        <v>61</v>
      </c>
      <c r="F6" s="31">
        <v>28</v>
      </c>
      <c r="G6" s="31">
        <v>39</v>
      </c>
      <c r="H6" s="57">
        <v>67</v>
      </c>
      <c r="I6" s="31">
        <v>6</v>
      </c>
      <c r="J6" s="31">
        <v>60</v>
      </c>
      <c r="K6" s="31">
        <v>9</v>
      </c>
      <c r="L6" s="31">
        <v>23</v>
      </c>
      <c r="M6" s="31">
        <v>0</v>
      </c>
      <c r="N6" s="31">
        <v>0</v>
      </c>
      <c r="O6" s="31">
        <v>4</v>
      </c>
      <c r="P6" s="31">
        <v>1</v>
      </c>
      <c r="Q6" s="31">
        <v>189</v>
      </c>
      <c r="R6" s="32">
        <v>14.8</v>
      </c>
      <c r="S6" s="33">
        <v>0.7993055555555556</v>
      </c>
      <c r="T6" s="32">
        <v>23.1</v>
      </c>
      <c r="U6" s="34">
        <v>42</v>
      </c>
      <c r="V6" s="30">
        <f t="shared" si="0"/>
        <v>10.373902978952929</v>
      </c>
    </row>
    <row r="7" spans="1:22" ht="15.75" thickBot="1">
      <c r="A7" s="58" t="s">
        <v>223</v>
      </c>
      <c r="B7" s="58" t="s">
        <v>222</v>
      </c>
      <c r="C7" s="58"/>
      <c r="D7" s="59" t="s">
        <v>216</v>
      </c>
      <c r="E7" s="35">
        <v>62</v>
      </c>
      <c r="F7" s="35">
        <v>22</v>
      </c>
      <c r="G7" s="35">
        <v>45</v>
      </c>
      <c r="H7" s="57">
        <v>67</v>
      </c>
      <c r="I7" s="35">
        <v>6</v>
      </c>
      <c r="J7" s="35">
        <v>43</v>
      </c>
      <c r="K7" s="35">
        <v>8</v>
      </c>
      <c r="L7" s="35">
        <v>26</v>
      </c>
      <c r="M7" s="35">
        <v>0</v>
      </c>
      <c r="N7" s="35">
        <v>0</v>
      </c>
      <c r="O7" s="35">
        <v>2</v>
      </c>
      <c r="P7" s="35">
        <v>1</v>
      </c>
      <c r="Q7" s="35">
        <v>185</v>
      </c>
      <c r="R7" s="36">
        <v>11.9</v>
      </c>
      <c r="S7" s="37">
        <v>0.82638888888888884</v>
      </c>
      <c r="T7" s="36">
        <v>24.7</v>
      </c>
      <c r="U7" s="38">
        <v>49.7</v>
      </c>
      <c r="V7" s="30">
        <f t="shared" si="0"/>
        <v>9.9687410191223602</v>
      </c>
    </row>
    <row r="8" spans="1:22" ht="15.75" thickBot="1">
      <c r="A8" s="55" t="s">
        <v>224</v>
      </c>
      <c r="B8" s="55" t="s">
        <v>225</v>
      </c>
      <c r="C8" s="55"/>
      <c r="D8" s="56" t="s">
        <v>226</v>
      </c>
      <c r="E8" s="31">
        <v>68</v>
      </c>
      <c r="F8" s="31">
        <v>20</v>
      </c>
      <c r="G8" s="31">
        <v>47</v>
      </c>
      <c r="H8" s="57">
        <v>67</v>
      </c>
      <c r="I8" s="31">
        <v>6</v>
      </c>
      <c r="J8" s="31">
        <v>61</v>
      </c>
      <c r="K8" s="31">
        <v>10</v>
      </c>
      <c r="L8" s="31">
        <v>27</v>
      </c>
      <c r="M8" s="31">
        <v>0</v>
      </c>
      <c r="N8" s="31">
        <v>0</v>
      </c>
      <c r="O8" s="31">
        <v>3</v>
      </c>
      <c r="P8" s="31">
        <v>2</v>
      </c>
      <c r="Q8" s="31">
        <v>189</v>
      </c>
      <c r="R8" s="32">
        <v>10.6</v>
      </c>
      <c r="S8" s="33">
        <v>0.76736111111111116</v>
      </c>
      <c r="T8" s="32">
        <v>23.6</v>
      </c>
      <c r="U8" s="34">
        <v>66.7</v>
      </c>
      <c r="V8" s="30">
        <f t="shared" si="0"/>
        <v>9.0260843221408731</v>
      </c>
    </row>
    <row r="9" spans="1:22" ht="15.75" thickBot="1">
      <c r="A9" s="58" t="s">
        <v>227</v>
      </c>
      <c r="B9" s="58" t="s">
        <v>228</v>
      </c>
      <c r="C9" s="58"/>
      <c r="D9" s="59" t="s">
        <v>226</v>
      </c>
      <c r="E9" s="35">
        <v>66</v>
      </c>
      <c r="F9" s="35">
        <v>33</v>
      </c>
      <c r="G9" s="35">
        <v>33</v>
      </c>
      <c r="H9" s="57">
        <v>66</v>
      </c>
      <c r="I9" s="35">
        <v>29</v>
      </c>
      <c r="J9" s="35">
        <v>25</v>
      </c>
      <c r="K9" s="35">
        <v>6</v>
      </c>
      <c r="L9" s="35">
        <v>16</v>
      </c>
      <c r="M9" s="35">
        <v>0</v>
      </c>
      <c r="N9" s="35">
        <v>0</v>
      </c>
      <c r="O9" s="35">
        <v>5</v>
      </c>
      <c r="P9" s="35">
        <v>2</v>
      </c>
      <c r="Q9" s="35">
        <v>227</v>
      </c>
      <c r="R9" s="36">
        <v>14.5</v>
      </c>
      <c r="S9" s="37">
        <v>0.73819444444444438</v>
      </c>
      <c r="T9" s="36">
        <v>24.7</v>
      </c>
      <c r="U9" s="38">
        <v>0</v>
      </c>
      <c r="V9" s="30">
        <f t="shared" si="0"/>
        <v>9.5822190774481548</v>
      </c>
    </row>
    <row r="10" spans="1:22" ht="15.75" thickBot="1">
      <c r="A10" s="55" t="s">
        <v>229</v>
      </c>
      <c r="B10" s="55" t="s">
        <v>230</v>
      </c>
      <c r="C10" s="55"/>
      <c r="D10" s="56" t="s">
        <v>216</v>
      </c>
      <c r="E10" s="31">
        <v>66</v>
      </c>
      <c r="F10" s="31">
        <v>25</v>
      </c>
      <c r="G10" s="31">
        <v>40</v>
      </c>
      <c r="H10" s="57">
        <v>65</v>
      </c>
      <c r="I10" s="31">
        <v>32</v>
      </c>
      <c r="J10" s="31">
        <v>14</v>
      </c>
      <c r="K10" s="31">
        <v>7</v>
      </c>
      <c r="L10" s="31">
        <v>14</v>
      </c>
      <c r="M10" s="31">
        <v>0</v>
      </c>
      <c r="N10" s="31">
        <v>0</v>
      </c>
      <c r="O10" s="31">
        <v>5</v>
      </c>
      <c r="P10" s="31">
        <v>1</v>
      </c>
      <c r="Q10" s="31">
        <v>175</v>
      </c>
      <c r="R10" s="32">
        <v>14.3</v>
      </c>
      <c r="S10" s="33">
        <v>0.71944444444444444</v>
      </c>
      <c r="T10" s="32">
        <v>22.2</v>
      </c>
      <c r="U10" s="34">
        <v>47.7</v>
      </c>
      <c r="V10" s="30">
        <f t="shared" si="0"/>
        <v>9.2716599358840917</v>
      </c>
    </row>
    <row r="11" spans="1:22" ht="15.75" thickBot="1">
      <c r="A11" s="58" t="s">
        <v>231</v>
      </c>
      <c r="B11" s="58" t="s">
        <v>232</v>
      </c>
      <c r="C11" s="58"/>
      <c r="D11" s="59" t="s">
        <v>226</v>
      </c>
      <c r="E11" s="35">
        <v>61</v>
      </c>
      <c r="F11" s="35">
        <v>27</v>
      </c>
      <c r="G11" s="35">
        <v>37</v>
      </c>
      <c r="H11" s="57">
        <v>64</v>
      </c>
      <c r="I11" s="35">
        <v>10</v>
      </c>
      <c r="J11" s="35">
        <v>10</v>
      </c>
      <c r="K11" s="35">
        <v>6</v>
      </c>
      <c r="L11" s="35">
        <v>22</v>
      </c>
      <c r="M11" s="35">
        <v>0</v>
      </c>
      <c r="N11" s="35">
        <v>0</v>
      </c>
      <c r="O11" s="35">
        <v>5</v>
      </c>
      <c r="P11" s="35">
        <v>0</v>
      </c>
      <c r="Q11" s="35">
        <v>186</v>
      </c>
      <c r="R11" s="36">
        <v>14.5</v>
      </c>
      <c r="S11" s="37">
        <v>0.82708333333333339</v>
      </c>
      <c r="T11" s="36">
        <v>22.9</v>
      </c>
      <c r="U11" s="38">
        <v>42.8</v>
      </c>
      <c r="V11" s="30">
        <f t="shared" si="0"/>
        <v>9.9228358661589784</v>
      </c>
    </row>
    <row r="12" spans="1:22" ht="15.75" thickBot="1">
      <c r="A12" s="55" t="s">
        <v>233</v>
      </c>
      <c r="B12" s="55" t="s">
        <v>234</v>
      </c>
      <c r="C12" s="55"/>
      <c r="D12" s="56" t="s">
        <v>219</v>
      </c>
      <c r="E12" s="31">
        <v>64</v>
      </c>
      <c r="F12" s="31">
        <v>39</v>
      </c>
      <c r="G12" s="31">
        <v>23</v>
      </c>
      <c r="H12" s="57">
        <v>62</v>
      </c>
      <c r="I12" s="31">
        <v>24</v>
      </c>
      <c r="J12" s="31">
        <v>26</v>
      </c>
      <c r="K12" s="31">
        <v>5</v>
      </c>
      <c r="L12" s="31">
        <v>10</v>
      </c>
      <c r="M12" s="31">
        <v>4</v>
      </c>
      <c r="N12" s="31">
        <v>4</v>
      </c>
      <c r="O12" s="31">
        <v>8</v>
      </c>
      <c r="P12" s="31">
        <v>0</v>
      </c>
      <c r="Q12" s="31">
        <v>246</v>
      </c>
      <c r="R12" s="32">
        <v>15.9</v>
      </c>
      <c r="S12" s="33">
        <v>0.73819444444444438</v>
      </c>
      <c r="T12" s="32">
        <v>25.9</v>
      </c>
      <c r="U12" s="34">
        <v>50</v>
      </c>
      <c r="V12" s="30">
        <f t="shared" si="0"/>
        <v>9.5353292642373653</v>
      </c>
    </row>
    <row r="13" spans="1:22" ht="15.75" thickBot="1">
      <c r="A13" s="58" t="s">
        <v>235</v>
      </c>
      <c r="B13" s="58" t="s">
        <v>236</v>
      </c>
      <c r="C13" s="58"/>
      <c r="D13" s="59" t="s">
        <v>219</v>
      </c>
      <c r="E13" s="35">
        <v>67</v>
      </c>
      <c r="F13" s="35">
        <v>23</v>
      </c>
      <c r="G13" s="35">
        <v>39</v>
      </c>
      <c r="H13" s="57">
        <v>62</v>
      </c>
      <c r="I13" s="35">
        <v>-4</v>
      </c>
      <c r="J13" s="35">
        <v>60</v>
      </c>
      <c r="K13" s="35">
        <v>6</v>
      </c>
      <c r="L13" s="35">
        <v>14</v>
      </c>
      <c r="M13" s="35">
        <v>2</v>
      </c>
      <c r="N13" s="35">
        <v>5</v>
      </c>
      <c r="O13" s="35">
        <v>4</v>
      </c>
      <c r="P13" s="35">
        <v>0</v>
      </c>
      <c r="Q13" s="35">
        <v>206</v>
      </c>
      <c r="R13" s="36">
        <v>11.2</v>
      </c>
      <c r="S13" s="37">
        <v>0.82708333333333339</v>
      </c>
      <c r="T13" s="36">
        <v>27.2</v>
      </c>
      <c r="U13" s="38">
        <v>50.5</v>
      </c>
      <c r="V13" s="30">
        <f t="shared" si="0"/>
        <v>8.6086555886598877</v>
      </c>
    </row>
    <row r="14" spans="1:22" ht="15.75" thickBot="1">
      <c r="A14" s="55" t="s">
        <v>237</v>
      </c>
      <c r="B14" s="55" t="s">
        <v>230</v>
      </c>
      <c r="C14" s="55"/>
      <c r="D14" s="56" t="s">
        <v>216</v>
      </c>
      <c r="E14" s="31">
        <v>68</v>
      </c>
      <c r="F14" s="31">
        <v>36</v>
      </c>
      <c r="G14" s="31">
        <v>25</v>
      </c>
      <c r="H14" s="57">
        <v>61</v>
      </c>
      <c r="I14" s="31">
        <v>0</v>
      </c>
      <c r="J14" s="31">
        <v>30</v>
      </c>
      <c r="K14" s="31">
        <v>10</v>
      </c>
      <c r="L14" s="31">
        <v>21</v>
      </c>
      <c r="M14" s="31">
        <v>0</v>
      </c>
      <c r="N14" s="31">
        <v>0</v>
      </c>
      <c r="O14" s="31">
        <v>5</v>
      </c>
      <c r="P14" s="31">
        <v>0</v>
      </c>
      <c r="Q14" s="31">
        <v>226</v>
      </c>
      <c r="R14" s="32">
        <v>15.9</v>
      </c>
      <c r="S14" s="33">
        <v>0.80972222222222223</v>
      </c>
      <c r="T14" s="32">
        <v>22</v>
      </c>
      <c r="U14" s="34">
        <v>47.9</v>
      </c>
      <c r="V14" s="30">
        <f t="shared" si="0"/>
        <v>8.7821892093736746</v>
      </c>
    </row>
    <row r="15" spans="1:22" ht="15.75" thickBot="1">
      <c r="A15" s="58" t="s">
        <v>238</v>
      </c>
      <c r="B15" s="58" t="s">
        <v>239</v>
      </c>
      <c r="C15" s="58"/>
      <c r="D15" s="59" t="s">
        <v>216</v>
      </c>
      <c r="E15" s="35">
        <v>67</v>
      </c>
      <c r="F15" s="35">
        <v>32</v>
      </c>
      <c r="G15" s="35">
        <v>29</v>
      </c>
      <c r="H15" s="57">
        <v>61</v>
      </c>
      <c r="I15" s="35">
        <v>13</v>
      </c>
      <c r="J15" s="35">
        <v>25</v>
      </c>
      <c r="K15" s="35">
        <v>17</v>
      </c>
      <c r="L15" s="35">
        <v>28</v>
      </c>
      <c r="M15" s="35">
        <v>0</v>
      </c>
      <c r="N15" s="35">
        <v>0</v>
      </c>
      <c r="O15" s="35">
        <v>4</v>
      </c>
      <c r="P15" s="35">
        <v>0</v>
      </c>
      <c r="Q15" s="35">
        <v>212</v>
      </c>
      <c r="R15" s="36">
        <v>15.1</v>
      </c>
      <c r="S15" s="37">
        <v>0.83888888888888891</v>
      </c>
      <c r="T15" s="36">
        <v>27</v>
      </c>
      <c r="U15" s="38">
        <v>55.9</v>
      </c>
      <c r="V15" s="30">
        <f t="shared" si="0"/>
        <v>8.795839816558841</v>
      </c>
    </row>
    <row r="16" spans="1:22" ht="15.75" thickBot="1">
      <c r="A16" s="55" t="s">
        <v>240</v>
      </c>
      <c r="B16" s="55" t="s">
        <v>236</v>
      </c>
      <c r="C16" s="55"/>
      <c r="D16" s="56" t="s">
        <v>216</v>
      </c>
      <c r="E16" s="31">
        <v>57</v>
      </c>
      <c r="F16" s="31">
        <v>31</v>
      </c>
      <c r="G16" s="31">
        <v>30</v>
      </c>
      <c r="H16" s="57">
        <v>61</v>
      </c>
      <c r="I16" s="31">
        <v>0</v>
      </c>
      <c r="J16" s="31">
        <v>18</v>
      </c>
      <c r="K16" s="31">
        <v>9</v>
      </c>
      <c r="L16" s="31">
        <v>23</v>
      </c>
      <c r="M16" s="31">
        <v>0</v>
      </c>
      <c r="N16" s="31">
        <v>0</v>
      </c>
      <c r="O16" s="31">
        <v>4</v>
      </c>
      <c r="P16" s="31">
        <v>0</v>
      </c>
      <c r="Q16" s="31">
        <v>230</v>
      </c>
      <c r="R16" s="32">
        <v>13.5</v>
      </c>
      <c r="S16" s="33">
        <v>0.8125</v>
      </c>
      <c r="T16" s="32">
        <v>24.3</v>
      </c>
      <c r="U16" s="34">
        <v>53.1</v>
      </c>
      <c r="V16" s="30">
        <f t="shared" si="0"/>
        <v>10.24</v>
      </c>
    </row>
    <row r="17" spans="1:22" ht="15.75" thickBot="1">
      <c r="A17" s="58" t="s">
        <v>241</v>
      </c>
      <c r="B17" s="58" t="s">
        <v>242</v>
      </c>
      <c r="C17" s="58"/>
      <c r="D17" s="59" t="s">
        <v>216</v>
      </c>
      <c r="E17" s="35">
        <v>65</v>
      </c>
      <c r="F17" s="35">
        <v>20</v>
      </c>
      <c r="G17" s="35">
        <v>41</v>
      </c>
      <c r="H17" s="57">
        <v>61</v>
      </c>
      <c r="I17" s="35">
        <v>11</v>
      </c>
      <c r="J17" s="35">
        <v>54</v>
      </c>
      <c r="K17" s="35">
        <v>2</v>
      </c>
      <c r="L17" s="35">
        <v>12</v>
      </c>
      <c r="M17" s="35">
        <v>0</v>
      </c>
      <c r="N17" s="35">
        <v>2</v>
      </c>
      <c r="O17" s="35">
        <v>5</v>
      </c>
      <c r="P17" s="35">
        <v>1</v>
      </c>
      <c r="Q17" s="35">
        <v>159</v>
      </c>
      <c r="R17" s="36">
        <v>12.6</v>
      </c>
      <c r="S17" s="37">
        <v>0.83680555555555547</v>
      </c>
      <c r="T17" s="36">
        <v>23.3</v>
      </c>
      <c r="U17" s="38">
        <v>51</v>
      </c>
      <c r="V17" s="30">
        <f t="shared" si="0"/>
        <v>8.713970782131744</v>
      </c>
    </row>
    <row r="18" spans="1:22" ht="15.75" thickBot="1">
      <c r="A18" s="55" t="s">
        <v>243</v>
      </c>
      <c r="B18" s="55" t="s">
        <v>225</v>
      </c>
      <c r="C18" s="55"/>
      <c r="D18" s="56" t="s">
        <v>216</v>
      </c>
      <c r="E18" s="31">
        <v>67</v>
      </c>
      <c r="F18" s="31">
        <v>18</v>
      </c>
      <c r="G18" s="31">
        <v>43</v>
      </c>
      <c r="H18" s="57">
        <v>61</v>
      </c>
      <c r="I18" s="31">
        <v>1</v>
      </c>
      <c r="J18" s="31">
        <v>34</v>
      </c>
      <c r="K18" s="31">
        <v>11</v>
      </c>
      <c r="L18" s="31">
        <v>32</v>
      </c>
      <c r="M18" s="31">
        <v>0</v>
      </c>
      <c r="N18" s="31">
        <v>0</v>
      </c>
      <c r="O18" s="31">
        <v>4</v>
      </c>
      <c r="P18" s="31">
        <v>2</v>
      </c>
      <c r="Q18" s="31">
        <v>238</v>
      </c>
      <c r="R18" s="32">
        <v>7.6</v>
      </c>
      <c r="S18" s="33">
        <v>0.86249999999999993</v>
      </c>
      <c r="T18" s="32">
        <v>26.7</v>
      </c>
      <c r="U18" s="34">
        <v>56.3</v>
      </c>
      <c r="V18" s="30">
        <f t="shared" si="0"/>
        <v>8.2622950819672134</v>
      </c>
    </row>
    <row r="19" spans="1:22" ht="15.75" thickBot="1">
      <c r="A19" s="58" t="s">
        <v>244</v>
      </c>
      <c r="B19" s="58" t="s">
        <v>245</v>
      </c>
      <c r="C19" s="58"/>
      <c r="D19" s="59" t="s">
        <v>216</v>
      </c>
      <c r="E19" s="35">
        <v>66</v>
      </c>
      <c r="F19" s="35">
        <v>15</v>
      </c>
      <c r="G19" s="35">
        <v>45</v>
      </c>
      <c r="H19" s="57">
        <v>60</v>
      </c>
      <c r="I19" s="35">
        <v>9</v>
      </c>
      <c r="J19" s="35">
        <v>14</v>
      </c>
      <c r="K19" s="35">
        <v>4</v>
      </c>
      <c r="L19" s="35">
        <v>21</v>
      </c>
      <c r="M19" s="35">
        <v>0</v>
      </c>
      <c r="N19" s="35">
        <v>0</v>
      </c>
      <c r="O19" s="35">
        <v>0</v>
      </c>
      <c r="P19" s="35">
        <v>0</v>
      </c>
      <c r="Q19" s="35">
        <v>76</v>
      </c>
      <c r="R19" s="36">
        <v>19.7</v>
      </c>
      <c r="S19" s="37">
        <v>0.78402777777777777</v>
      </c>
      <c r="T19" s="36">
        <v>24</v>
      </c>
      <c r="U19" s="38">
        <v>46.4</v>
      </c>
      <c r="V19" s="30">
        <f t="shared" si="0"/>
        <v>8.5634248042508503</v>
      </c>
    </row>
    <row r="20" spans="1:22" ht="15.75" thickBot="1">
      <c r="A20" s="55" t="s">
        <v>246</v>
      </c>
      <c r="B20" s="55" t="s">
        <v>247</v>
      </c>
      <c r="C20" s="55"/>
      <c r="D20" s="56" t="s">
        <v>219</v>
      </c>
      <c r="E20" s="31">
        <v>63</v>
      </c>
      <c r="F20" s="31">
        <v>24</v>
      </c>
      <c r="G20" s="31">
        <v>34</v>
      </c>
      <c r="H20" s="57">
        <v>58</v>
      </c>
      <c r="I20" s="31">
        <v>9</v>
      </c>
      <c r="J20" s="31">
        <v>40</v>
      </c>
      <c r="K20" s="31">
        <v>9</v>
      </c>
      <c r="L20" s="31">
        <v>23</v>
      </c>
      <c r="M20" s="31">
        <v>0</v>
      </c>
      <c r="N20" s="31">
        <v>0</v>
      </c>
      <c r="O20" s="31">
        <v>2</v>
      </c>
      <c r="P20" s="31">
        <v>1</v>
      </c>
      <c r="Q20" s="31">
        <v>146</v>
      </c>
      <c r="R20" s="32">
        <v>16.399999999999999</v>
      </c>
      <c r="S20" s="33">
        <v>0.79652777777777783</v>
      </c>
      <c r="T20" s="32">
        <v>24.9</v>
      </c>
      <c r="U20" s="34">
        <v>45.9</v>
      </c>
      <c r="V20" s="30">
        <f t="shared" si="0"/>
        <v>8.8061218936070613</v>
      </c>
    </row>
    <row r="21" spans="1:22" ht="15.75" thickBot="1">
      <c r="A21" s="58" t="s">
        <v>248</v>
      </c>
      <c r="B21" s="58" t="s">
        <v>245</v>
      </c>
      <c r="C21" s="58"/>
      <c r="D21" s="59" t="s">
        <v>219</v>
      </c>
      <c r="E21" s="35">
        <v>66</v>
      </c>
      <c r="F21" s="35">
        <v>14</v>
      </c>
      <c r="G21" s="35">
        <v>44</v>
      </c>
      <c r="H21" s="57">
        <v>58</v>
      </c>
      <c r="I21" s="35">
        <v>1</v>
      </c>
      <c r="J21" s="35">
        <v>18</v>
      </c>
      <c r="K21" s="35">
        <v>4</v>
      </c>
      <c r="L21" s="35">
        <v>22</v>
      </c>
      <c r="M21" s="35">
        <v>0</v>
      </c>
      <c r="N21" s="35">
        <v>0</v>
      </c>
      <c r="O21" s="35">
        <v>4</v>
      </c>
      <c r="P21" s="35">
        <v>3</v>
      </c>
      <c r="Q21" s="35">
        <v>173</v>
      </c>
      <c r="R21" s="36">
        <v>8.1</v>
      </c>
      <c r="S21" s="37">
        <v>0.77638888888888891</v>
      </c>
      <c r="T21" s="36">
        <v>23.8</v>
      </c>
      <c r="U21" s="38">
        <v>40</v>
      </c>
      <c r="V21" s="30">
        <f t="shared" si="0"/>
        <v>7.9399321949291801</v>
      </c>
    </row>
    <row r="22" spans="1:22" ht="15.75" thickBot="1">
      <c r="A22" s="55" t="s">
        <v>249</v>
      </c>
      <c r="B22" s="55" t="s">
        <v>250</v>
      </c>
      <c r="C22" s="55"/>
      <c r="D22" s="56" t="s">
        <v>219</v>
      </c>
      <c r="E22" s="31">
        <v>67</v>
      </c>
      <c r="F22" s="31">
        <v>31</v>
      </c>
      <c r="G22" s="31">
        <v>26</v>
      </c>
      <c r="H22" s="57">
        <v>57</v>
      </c>
      <c r="I22" s="31">
        <v>37</v>
      </c>
      <c r="J22" s="31">
        <v>26</v>
      </c>
      <c r="K22" s="31">
        <v>5</v>
      </c>
      <c r="L22" s="31">
        <v>8</v>
      </c>
      <c r="M22" s="31">
        <v>0</v>
      </c>
      <c r="N22" s="31">
        <v>2</v>
      </c>
      <c r="O22" s="31">
        <v>8</v>
      </c>
      <c r="P22" s="31">
        <v>1</v>
      </c>
      <c r="Q22" s="31">
        <v>259</v>
      </c>
      <c r="R22" s="32">
        <v>12</v>
      </c>
      <c r="S22" s="33">
        <v>0.81666666666666676</v>
      </c>
      <c r="T22" s="32">
        <v>26.2</v>
      </c>
      <c r="U22" s="34">
        <v>28.6</v>
      </c>
      <c r="V22" s="30">
        <f t="shared" si="0"/>
        <v>8.1838289506021145</v>
      </c>
    </row>
    <row r="23" spans="1:22" ht="15.75" thickBot="1">
      <c r="A23" s="58" t="s">
        <v>251</v>
      </c>
      <c r="B23" s="58" t="s">
        <v>247</v>
      </c>
      <c r="C23" s="58"/>
      <c r="D23" s="59" t="s">
        <v>216</v>
      </c>
      <c r="E23" s="35">
        <v>66</v>
      </c>
      <c r="F23" s="35">
        <v>22</v>
      </c>
      <c r="G23" s="35">
        <v>35</v>
      </c>
      <c r="H23" s="57">
        <v>57</v>
      </c>
      <c r="I23" s="35">
        <v>-13</v>
      </c>
      <c r="J23" s="35">
        <v>32</v>
      </c>
      <c r="K23" s="35">
        <v>7</v>
      </c>
      <c r="L23" s="35">
        <v>23</v>
      </c>
      <c r="M23" s="35">
        <v>2</v>
      </c>
      <c r="N23" s="35">
        <v>2</v>
      </c>
      <c r="O23" s="35">
        <v>0</v>
      </c>
      <c r="P23" s="35">
        <v>0</v>
      </c>
      <c r="Q23" s="35">
        <v>170</v>
      </c>
      <c r="R23" s="36">
        <v>12.9</v>
      </c>
      <c r="S23" s="37">
        <v>0.8208333333333333</v>
      </c>
      <c r="T23" s="36">
        <v>25.4</v>
      </c>
      <c r="U23" s="38">
        <v>51.3</v>
      </c>
      <c r="V23" s="30">
        <f t="shared" si="0"/>
        <v>8.1306977614266991</v>
      </c>
    </row>
    <row r="24" spans="1:22" ht="15.75" thickBot="1">
      <c r="A24" s="55" t="s">
        <v>252</v>
      </c>
      <c r="B24" s="55" t="s">
        <v>239</v>
      </c>
      <c r="C24" s="55"/>
      <c r="D24" s="56" t="s">
        <v>216</v>
      </c>
      <c r="E24" s="31">
        <v>63</v>
      </c>
      <c r="F24" s="31">
        <v>13</v>
      </c>
      <c r="G24" s="31">
        <v>44</v>
      </c>
      <c r="H24" s="57">
        <v>57</v>
      </c>
      <c r="I24" s="31">
        <v>0</v>
      </c>
      <c r="J24" s="31">
        <v>20</v>
      </c>
      <c r="K24" s="31">
        <v>2</v>
      </c>
      <c r="L24" s="31">
        <v>18</v>
      </c>
      <c r="M24" s="31">
        <v>0</v>
      </c>
      <c r="N24" s="31">
        <v>0</v>
      </c>
      <c r="O24" s="31">
        <v>0</v>
      </c>
      <c r="P24" s="31">
        <v>0</v>
      </c>
      <c r="Q24" s="31">
        <v>101</v>
      </c>
      <c r="R24" s="32">
        <v>12.9</v>
      </c>
      <c r="S24" s="33">
        <v>0.76874999999999993</v>
      </c>
      <c r="T24" s="32">
        <v>25.4</v>
      </c>
      <c r="U24" s="34">
        <v>58.1</v>
      </c>
      <c r="V24" s="30">
        <f t="shared" si="0"/>
        <v>8.3081446633343123</v>
      </c>
    </row>
    <row r="25" spans="1:22" ht="15.75" thickBot="1">
      <c r="A25" s="58" t="s">
        <v>253</v>
      </c>
      <c r="B25" s="58" t="s">
        <v>230</v>
      </c>
      <c r="C25" s="58"/>
      <c r="D25" s="59" t="s">
        <v>226</v>
      </c>
      <c r="E25" s="35">
        <v>68</v>
      </c>
      <c r="F25" s="35">
        <v>25</v>
      </c>
      <c r="G25" s="35">
        <v>31</v>
      </c>
      <c r="H25" s="57">
        <v>56</v>
      </c>
      <c r="I25" s="35">
        <v>34</v>
      </c>
      <c r="J25" s="35">
        <v>16</v>
      </c>
      <c r="K25" s="35">
        <v>2</v>
      </c>
      <c r="L25" s="35">
        <v>11</v>
      </c>
      <c r="M25" s="35">
        <v>0</v>
      </c>
      <c r="N25" s="35">
        <v>0</v>
      </c>
      <c r="O25" s="35">
        <v>2</v>
      </c>
      <c r="P25" s="35">
        <v>0</v>
      </c>
      <c r="Q25" s="35">
        <v>157</v>
      </c>
      <c r="R25" s="36">
        <v>15.9</v>
      </c>
      <c r="S25" s="37">
        <v>0.62361111111111112</v>
      </c>
      <c r="T25" s="36">
        <v>19.5</v>
      </c>
      <c r="U25" s="38">
        <v>0</v>
      </c>
      <c r="V25" s="30">
        <f t="shared" si="0"/>
        <v>7.9462446113056311</v>
      </c>
    </row>
    <row r="26" spans="1:22" ht="15.75" thickBot="1">
      <c r="A26" s="55" t="s">
        <v>254</v>
      </c>
      <c r="B26" s="55" t="s">
        <v>255</v>
      </c>
      <c r="C26" s="55"/>
      <c r="D26" s="56" t="s">
        <v>216</v>
      </c>
      <c r="E26" s="31">
        <v>63</v>
      </c>
      <c r="F26" s="31">
        <v>23</v>
      </c>
      <c r="G26" s="31">
        <v>33</v>
      </c>
      <c r="H26" s="57">
        <v>56</v>
      </c>
      <c r="I26" s="31">
        <v>6</v>
      </c>
      <c r="J26" s="31">
        <v>12</v>
      </c>
      <c r="K26" s="31">
        <v>5</v>
      </c>
      <c r="L26" s="31">
        <v>13</v>
      </c>
      <c r="M26" s="31">
        <v>0</v>
      </c>
      <c r="N26" s="31">
        <v>0</v>
      </c>
      <c r="O26" s="31">
        <v>4</v>
      </c>
      <c r="P26" s="31">
        <v>1</v>
      </c>
      <c r="Q26" s="31">
        <v>126</v>
      </c>
      <c r="R26" s="32">
        <v>18.3</v>
      </c>
      <c r="S26" s="33">
        <v>0.74652777777777779</v>
      </c>
      <c r="T26" s="32">
        <v>25.3</v>
      </c>
      <c r="U26" s="34">
        <v>50</v>
      </c>
      <c r="V26" s="30">
        <f t="shared" si="0"/>
        <v>8.5824282368320723</v>
      </c>
    </row>
    <row r="27" spans="1:22" ht="15.75" thickBot="1">
      <c r="A27" s="58" t="s">
        <v>256</v>
      </c>
      <c r="B27" s="58" t="s">
        <v>257</v>
      </c>
      <c r="C27" s="58"/>
      <c r="D27" s="59" t="s">
        <v>216</v>
      </c>
      <c r="E27" s="35">
        <v>54</v>
      </c>
      <c r="F27" s="35">
        <v>23</v>
      </c>
      <c r="G27" s="35">
        <v>33</v>
      </c>
      <c r="H27" s="57">
        <v>56</v>
      </c>
      <c r="I27" s="35">
        <v>12</v>
      </c>
      <c r="J27" s="35">
        <v>6</v>
      </c>
      <c r="K27" s="35">
        <v>7</v>
      </c>
      <c r="L27" s="35">
        <v>20</v>
      </c>
      <c r="M27" s="35">
        <v>0</v>
      </c>
      <c r="N27" s="35">
        <v>0</v>
      </c>
      <c r="O27" s="35">
        <v>4</v>
      </c>
      <c r="P27" s="35">
        <v>1</v>
      </c>
      <c r="Q27" s="35">
        <v>141</v>
      </c>
      <c r="R27" s="36">
        <v>16.3</v>
      </c>
      <c r="S27" s="37">
        <v>0.79583333333333339</v>
      </c>
      <c r="T27" s="36">
        <v>24.3</v>
      </c>
      <c r="U27" s="38">
        <v>52.6</v>
      </c>
      <c r="V27" s="30">
        <f t="shared" si="0"/>
        <v>9.9113375408714166</v>
      </c>
    </row>
    <row r="28" spans="1:22" ht="15.75" thickBot="1">
      <c r="A28" s="55" t="s">
        <v>258</v>
      </c>
      <c r="B28" s="55" t="s">
        <v>257</v>
      </c>
      <c r="C28" s="55"/>
      <c r="D28" s="56" t="s">
        <v>219</v>
      </c>
      <c r="E28" s="31">
        <v>61</v>
      </c>
      <c r="F28" s="31">
        <v>15</v>
      </c>
      <c r="G28" s="31">
        <v>41</v>
      </c>
      <c r="H28" s="57">
        <v>56</v>
      </c>
      <c r="I28" s="31">
        <v>-1</v>
      </c>
      <c r="J28" s="31">
        <v>26</v>
      </c>
      <c r="K28" s="31">
        <v>3</v>
      </c>
      <c r="L28" s="31">
        <v>24</v>
      </c>
      <c r="M28" s="31">
        <v>0</v>
      </c>
      <c r="N28" s="31">
        <v>0</v>
      </c>
      <c r="O28" s="31">
        <v>3</v>
      </c>
      <c r="P28" s="31">
        <v>1</v>
      </c>
      <c r="Q28" s="31">
        <v>181</v>
      </c>
      <c r="R28" s="32">
        <v>8.3000000000000007</v>
      </c>
      <c r="S28" s="33">
        <v>0.79236111111111107</v>
      </c>
      <c r="T28" s="32">
        <v>23.9</v>
      </c>
      <c r="U28" s="34">
        <v>52.7</v>
      </c>
      <c r="V28" s="30">
        <f t="shared" si="0"/>
        <v>8.3359818388195226</v>
      </c>
    </row>
    <row r="29" spans="1:22" ht="15.75" thickBot="1">
      <c r="A29" s="58" t="s">
        <v>259</v>
      </c>
      <c r="B29" s="58" t="s">
        <v>260</v>
      </c>
      <c r="C29" s="58"/>
      <c r="D29" s="59" t="s">
        <v>219</v>
      </c>
      <c r="E29" s="35">
        <v>67</v>
      </c>
      <c r="F29" s="35">
        <v>23</v>
      </c>
      <c r="G29" s="35">
        <v>32</v>
      </c>
      <c r="H29" s="57">
        <v>55</v>
      </c>
      <c r="I29" s="35">
        <v>14</v>
      </c>
      <c r="J29" s="35">
        <v>68</v>
      </c>
      <c r="K29" s="35">
        <v>8</v>
      </c>
      <c r="L29" s="35">
        <v>15</v>
      </c>
      <c r="M29" s="35">
        <v>0</v>
      </c>
      <c r="N29" s="35">
        <v>0</v>
      </c>
      <c r="O29" s="35">
        <v>5</v>
      </c>
      <c r="P29" s="35">
        <v>1</v>
      </c>
      <c r="Q29" s="35">
        <v>188</v>
      </c>
      <c r="R29" s="36">
        <v>12.2</v>
      </c>
      <c r="S29" s="37">
        <v>0.83680555555555547</v>
      </c>
      <c r="T29" s="36">
        <v>26.8</v>
      </c>
      <c r="U29" s="38">
        <v>35</v>
      </c>
      <c r="V29" s="30">
        <f t="shared" si="0"/>
        <v>7.759799355069867</v>
      </c>
    </row>
    <row r="30" spans="1:22" ht="15.75" thickBot="1">
      <c r="A30" s="55" t="s">
        <v>261</v>
      </c>
      <c r="B30" s="55" t="s">
        <v>239</v>
      </c>
      <c r="C30" s="55"/>
      <c r="D30" s="56" t="s">
        <v>216</v>
      </c>
      <c r="E30" s="31">
        <v>67</v>
      </c>
      <c r="F30" s="31">
        <v>22</v>
      </c>
      <c r="G30" s="31">
        <v>33</v>
      </c>
      <c r="H30" s="57">
        <v>55</v>
      </c>
      <c r="I30" s="31">
        <v>1</v>
      </c>
      <c r="J30" s="31">
        <v>10</v>
      </c>
      <c r="K30" s="31">
        <v>4</v>
      </c>
      <c r="L30" s="31">
        <v>20</v>
      </c>
      <c r="M30" s="31">
        <v>2</v>
      </c>
      <c r="N30" s="31">
        <v>2</v>
      </c>
      <c r="O30" s="31">
        <v>3</v>
      </c>
      <c r="P30" s="31">
        <v>0</v>
      </c>
      <c r="Q30" s="31">
        <v>212</v>
      </c>
      <c r="R30" s="32">
        <v>10.4</v>
      </c>
      <c r="S30" s="33">
        <v>0.80347222222222225</v>
      </c>
      <c r="T30" s="32">
        <v>26.1</v>
      </c>
      <c r="U30" s="34">
        <v>47.4</v>
      </c>
      <c r="V30" s="30">
        <f t="shared" si="0"/>
        <v>7.6883968167805223</v>
      </c>
    </row>
    <row r="31" spans="1:22" ht="15.75" thickBot="1">
      <c r="A31" s="58" t="s">
        <v>262</v>
      </c>
      <c r="B31" s="58" t="s">
        <v>232</v>
      </c>
      <c r="C31" s="58"/>
      <c r="D31" s="59" t="s">
        <v>216</v>
      </c>
      <c r="E31" s="35">
        <v>66</v>
      </c>
      <c r="F31" s="35">
        <v>21</v>
      </c>
      <c r="G31" s="35">
        <v>33</v>
      </c>
      <c r="H31" s="57">
        <v>54</v>
      </c>
      <c r="I31" s="35">
        <v>22</v>
      </c>
      <c r="J31" s="35">
        <v>32</v>
      </c>
      <c r="K31" s="35">
        <v>6</v>
      </c>
      <c r="L31" s="35">
        <v>16</v>
      </c>
      <c r="M31" s="35">
        <v>2</v>
      </c>
      <c r="N31" s="35">
        <v>3</v>
      </c>
      <c r="O31" s="35">
        <v>3</v>
      </c>
      <c r="P31" s="35">
        <v>1</v>
      </c>
      <c r="Q31" s="35">
        <v>161</v>
      </c>
      <c r="R31" s="36">
        <v>13</v>
      </c>
      <c r="S31" s="37">
        <v>0.82152777777777775</v>
      </c>
      <c r="T31" s="36">
        <v>24.7</v>
      </c>
      <c r="U31" s="38">
        <v>56.2</v>
      </c>
      <c r="V31" s="30">
        <f t="shared" si="0"/>
        <v>7.7295449112997936</v>
      </c>
    </row>
    <row r="32" spans="1:22" ht="15.75" thickBot="1">
      <c r="A32" s="60" t="s">
        <v>263</v>
      </c>
      <c r="B32" s="61" t="s">
        <v>228</v>
      </c>
      <c r="C32" s="61"/>
      <c r="D32" s="62" t="s">
        <v>219</v>
      </c>
      <c r="E32" s="39">
        <v>64</v>
      </c>
      <c r="F32" s="39">
        <v>19</v>
      </c>
      <c r="G32" s="39">
        <v>35</v>
      </c>
      <c r="H32" s="63">
        <v>54</v>
      </c>
      <c r="I32" s="39">
        <v>4</v>
      </c>
      <c r="J32" s="39">
        <v>29</v>
      </c>
      <c r="K32" s="39">
        <v>6</v>
      </c>
      <c r="L32" s="39">
        <v>21</v>
      </c>
      <c r="M32" s="39">
        <v>0</v>
      </c>
      <c r="N32" s="39">
        <v>0</v>
      </c>
      <c r="O32" s="39">
        <v>3</v>
      </c>
      <c r="P32" s="39">
        <v>0</v>
      </c>
      <c r="Q32" s="39">
        <v>198</v>
      </c>
      <c r="R32" s="40">
        <v>9.6</v>
      </c>
      <c r="S32" s="41">
        <v>0.84444444444444444</v>
      </c>
      <c r="T32" s="40">
        <v>28.4</v>
      </c>
      <c r="U32" s="42">
        <v>49.9</v>
      </c>
      <c r="V32" s="30">
        <f t="shared" si="0"/>
        <v>7.8140849897189852</v>
      </c>
    </row>
    <row r="33" spans="1:22" ht="15.75" thickBot="1">
      <c r="A33" s="52" t="s">
        <v>264</v>
      </c>
      <c r="B33" s="52" t="s">
        <v>265</v>
      </c>
      <c r="C33" s="52"/>
      <c r="D33" s="53" t="s">
        <v>216</v>
      </c>
      <c r="E33" s="26">
        <v>68</v>
      </c>
      <c r="F33" s="26">
        <v>13</v>
      </c>
      <c r="G33" s="26">
        <v>41</v>
      </c>
      <c r="H33" s="54">
        <v>54</v>
      </c>
      <c r="I33" s="26">
        <v>11</v>
      </c>
      <c r="J33" s="26">
        <v>50</v>
      </c>
      <c r="K33" s="26">
        <v>1</v>
      </c>
      <c r="L33" s="26">
        <v>11</v>
      </c>
      <c r="M33" s="26">
        <v>0</v>
      </c>
      <c r="N33" s="26">
        <v>0</v>
      </c>
      <c r="O33" s="26">
        <v>2</v>
      </c>
      <c r="P33" s="26">
        <v>0</v>
      </c>
      <c r="Q33" s="26">
        <v>82</v>
      </c>
      <c r="R33" s="27">
        <v>15.9</v>
      </c>
      <c r="S33" s="28">
        <v>0.78194444444444444</v>
      </c>
      <c r="T33" s="27">
        <v>22.1</v>
      </c>
      <c r="U33" s="29">
        <v>42.7</v>
      </c>
      <c r="V33" s="30">
        <f t="shared" si="0"/>
        <v>7.4190981967974476</v>
      </c>
    </row>
    <row r="34" spans="1:22" ht="15.75" thickBot="1">
      <c r="A34" s="55" t="s">
        <v>266</v>
      </c>
      <c r="B34" s="55" t="s">
        <v>265</v>
      </c>
      <c r="C34" s="55"/>
      <c r="D34" s="56" t="s">
        <v>216</v>
      </c>
      <c r="E34" s="31">
        <v>68</v>
      </c>
      <c r="F34" s="31">
        <v>21</v>
      </c>
      <c r="G34" s="31">
        <v>32</v>
      </c>
      <c r="H34" s="57">
        <v>53</v>
      </c>
      <c r="I34" s="31">
        <v>14</v>
      </c>
      <c r="J34" s="31">
        <v>22</v>
      </c>
      <c r="K34" s="31">
        <v>5</v>
      </c>
      <c r="L34" s="31">
        <v>17</v>
      </c>
      <c r="M34" s="31">
        <v>0</v>
      </c>
      <c r="N34" s="31">
        <v>0</v>
      </c>
      <c r="O34" s="31">
        <v>5</v>
      </c>
      <c r="P34" s="31">
        <v>1</v>
      </c>
      <c r="Q34" s="31">
        <v>205</v>
      </c>
      <c r="R34" s="32">
        <v>10.199999999999999</v>
      </c>
      <c r="S34" s="33">
        <v>0.71597222222222223</v>
      </c>
      <c r="T34" s="32">
        <v>21.8</v>
      </c>
      <c r="U34" s="34">
        <v>42.8</v>
      </c>
      <c r="V34" s="30">
        <f t="shared" si="0"/>
        <v>7.311255065638548</v>
      </c>
    </row>
    <row r="35" spans="1:22" ht="15.75" thickBot="1">
      <c r="A35" s="58" t="s">
        <v>267</v>
      </c>
      <c r="B35" s="58" t="s">
        <v>236</v>
      </c>
      <c r="C35" s="58"/>
      <c r="D35" s="59" t="s">
        <v>216</v>
      </c>
      <c r="E35" s="35">
        <v>67</v>
      </c>
      <c r="F35" s="35">
        <v>15</v>
      </c>
      <c r="G35" s="35">
        <v>38</v>
      </c>
      <c r="H35" s="57">
        <v>53</v>
      </c>
      <c r="I35" s="35">
        <v>-5</v>
      </c>
      <c r="J35" s="35">
        <v>22</v>
      </c>
      <c r="K35" s="35">
        <v>4</v>
      </c>
      <c r="L35" s="35">
        <v>20</v>
      </c>
      <c r="M35" s="35">
        <v>0</v>
      </c>
      <c r="N35" s="35">
        <v>0</v>
      </c>
      <c r="O35" s="35">
        <v>1</v>
      </c>
      <c r="P35" s="35">
        <v>0</v>
      </c>
      <c r="Q35" s="35">
        <v>167</v>
      </c>
      <c r="R35" s="36">
        <v>9</v>
      </c>
      <c r="S35" s="37">
        <v>0.72430555555555554</v>
      </c>
      <c r="T35" s="36">
        <v>22.7</v>
      </c>
      <c r="U35" s="38">
        <v>53.8</v>
      </c>
      <c r="V35" s="30">
        <f t="shared" si="0"/>
        <v>7.2499820555151091</v>
      </c>
    </row>
    <row r="36" spans="1:22" ht="15.75" thickBot="1">
      <c r="A36" s="55" t="s">
        <v>268</v>
      </c>
      <c r="B36" s="55" t="s">
        <v>269</v>
      </c>
      <c r="C36" s="55"/>
      <c r="D36" s="56" t="s">
        <v>219</v>
      </c>
      <c r="E36" s="31">
        <v>60</v>
      </c>
      <c r="F36" s="31">
        <v>26</v>
      </c>
      <c r="G36" s="31">
        <v>26</v>
      </c>
      <c r="H36" s="57">
        <v>52</v>
      </c>
      <c r="I36" s="31">
        <v>15</v>
      </c>
      <c r="J36" s="31">
        <v>35</v>
      </c>
      <c r="K36" s="31">
        <v>8</v>
      </c>
      <c r="L36" s="31">
        <v>13</v>
      </c>
      <c r="M36" s="31">
        <v>0</v>
      </c>
      <c r="N36" s="31">
        <v>0</v>
      </c>
      <c r="O36" s="31">
        <v>3</v>
      </c>
      <c r="P36" s="31">
        <v>0</v>
      </c>
      <c r="Q36" s="31">
        <v>206</v>
      </c>
      <c r="R36" s="32">
        <v>12.6</v>
      </c>
      <c r="S36" s="33">
        <v>0.80625000000000002</v>
      </c>
      <c r="T36" s="32">
        <v>22.8</v>
      </c>
      <c r="U36" s="34">
        <v>11.1</v>
      </c>
      <c r="V36" s="30">
        <f t="shared" si="0"/>
        <v>8.3248021379381232</v>
      </c>
    </row>
    <row r="37" spans="1:22" ht="15.75" thickBot="1">
      <c r="A37" s="58" t="s">
        <v>270</v>
      </c>
      <c r="B37" s="58" t="s">
        <v>228</v>
      </c>
      <c r="C37" s="58"/>
      <c r="D37" s="59" t="s">
        <v>219</v>
      </c>
      <c r="E37" s="35">
        <v>59</v>
      </c>
      <c r="F37" s="35">
        <v>23</v>
      </c>
      <c r="G37" s="35">
        <v>29</v>
      </c>
      <c r="H37" s="57">
        <v>52</v>
      </c>
      <c r="I37" s="35">
        <v>17</v>
      </c>
      <c r="J37" s="35">
        <v>12</v>
      </c>
      <c r="K37" s="35">
        <v>8</v>
      </c>
      <c r="L37" s="35">
        <v>13</v>
      </c>
      <c r="M37" s="35">
        <v>0</v>
      </c>
      <c r="N37" s="35">
        <v>2</v>
      </c>
      <c r="O37" s="35">
        <v>4</v>
      </c>
      <c r="P37" s="35">
        <v>1</v>
      </c>
      <c r="Q37" s="35">
        <v>144</v>
      </c>
      <c r="R37" s="36">
        <v>16</v>
      </c>
      <c r="S37" s="37">
        <v>0.75902777777777775</v>
      </c>
      <c r="T37" s="36">
        <v>25.4</v>
      </c>
      <c r="U37" s="38">
        <v>46.9</v>
      </c>
      <c r="V37" s="30">
        <f t="shared" si="0"/>
        <v>8.5091745784574631</v>
      </c>
    </row>
    <row r="38" spans="1:22" ht="15.75" thickBot="1">
      <c r="A38" s="55" t="s">
        <v>271</v>
      </c>
      <c r="B38" s="55" t="s">
        <v>230</v>
      </c>
      <c r="C38" s="55"/>
      <c r="D38" s="56" t="s">
        <v>219</v>
      </c>
      <c r="E38" s="31">
        <v>64</v>
      </c>
      <c r="F38" s="31">
        <v>15</v>
      </c>
      <c r="G38" s="31">
        <v>37</v>
      </c>
      <c r="H38" s="57">
        <v>52</v>
      </c>
      <c r="I38" s="31">
        <v>28</v>
      </c>
      <c r="J38" s="31">
        <v>22</v>
      </c>
      <c r="K38" s="31">
        <v>2</v>
      </c>
      <c r="L38" s="31">
        <v>7</v>
      </c>
      <c r="M38" s="31">
        <v>1</v>
      </c>
      <c r="N38" s="31">
        <v>2</v>
      </c>
      <c r="O38" s="31">
        <v>5</v>
      </c>
      <c r="P38" s="31">
        <v>1</v>
      </c>
      <c r="Q38" s="31">
        <v>124</v>
      </c>
      <c r="R38" s="32">
        <v>12.1</v>
      </c>
      <c r="S38" s="33">
        <v>0.7284722222222223</v>
      </c>
      <c r="T38" s="32">
        <v>22.5</v>
      </c>
      <c r="U38" s="34">
        <v>27.6</v>
      </c>
      <c r="V38" s="30">
        <f t="shared" si="0"/>
        <v>7.5500005364288851</v>
      </c>
    </row>
    <row r="39" spans="1:22" ht="15.75" thickBot="1">
      <c r="A39" s="58" t="s">
        <v>272</v>
      </c>
      <c r="B39" s="58" t="s">
        <v>234</v>
      </c>
      <c r="C39" s="58"/>
      <c r="D39" s="59" t="s">
        <v>216</v>
      </c>
      <c r="E39" s="35">
        <v>63</v>
      </c>
      <c r="F39" s="35">
        <v>14</v>
      </c>
      <c r="G39" s="35">
        <v>38</v>
      </c>
      <c r="H39" s="57">
        <v>52</v>
      </c>
      <c r="I39" s="35">
        <v>10</v>
      </c>
      <c r="J39" s="35">
        <v>28</v>
      </c>
      <c r="K39" s="35">
        <v>4</v>
      </c>
      <c r="L39" s="35">
        <v>15</v>
      </c>
      <c r="M39" s="35">
        <v>0</v>
      </c>
      <c r="N39" s="35">
        <v>0</v>
      </c>
      <c r="O39" s="35">
        <v>3</v>
      </c>
      <c r="P39" s="35">
        <v>2</v>
      </c>
      <c r="Q39" s="35">
        <v>128</v>
      </c>
      <c r="R39" s="36">
        <v>10.9</v>
      </c>
      <c r="S39" s="37">
        <v>0.73958333333333337</v>
      </c>
      <c r="T39" s="36">
        <v>24.2</v>
      </c>
      <c r="U39" s="38">
        <v>48.7</v>
      </c>
      <c r="V39" s="30">
        <f t="shared" si="0"/>
        <v>7.6059486844255595</v>
      </c>
    </row>
    <row r="40" spans="1:22" ht="15.75" thickBot="1">
      <c r="A40" s="55" t="s">
        <v>273</v>
      </c>
      <c r="B40" s="55" t="s">
        <v>260</v>
      </c>
      <c r="C40" s="55"/>
      <c r="D40" s="56" t="s">
        <v>216</v>
      </c>
      <c r="E40" s="31">
        <v>65</v>
      </c>
      <c r="F40" s="31">
        <v>24</v>
      </c>
      <c r="G40" s="31">
        <v>27</v>
      </c>
      <c r="H40" s="57">
        <v>51</v>
      </c>
      <c r="I40" s="31">
        <v>10</v>
      </c>
      <c r="J40" s="31">
        <v>18</v>
      </c>
      <c r="K40" s="31">
        <v>9</v>
      </c>
      <c r="L40" s="31">
        <v>18</v>
      </c>
      <c r="M40" s="31">
        <v>1</v>
      </c>
      <c r="N40" s="31">
        <v>1</v>
      </c>
      <c r="O40" s="31">
        <v>3</v>
      </c>
      <c r="P40" s="31">
        <v>1</v>
      </c>
      <c r="Q40" s="31">
        <v>136</v>
      </c>
      <c r="R40" s="32">
        <v>17.600000000000001</v>
      </c>
      <c r="S40" s="33">
        <v>0.83333333333333337</v>
      </c>
      <c r="T40" s="32">
        <v>27</v>
      </c>
      <c r="U40" s="34">
        <v>49.5</v>
      </c>
      <c r="V40" s="30">
        <f t="shared" si="0"/>
        <v>7.6663291139240508</v>
      </c>
    </row>
    <row r="41" spans="1:22" ht="15.75" thickBot="1">
      <c r="A41" s="58" t="s">
        <v>274</v>
      </c>
      <c r="B41" s="58" t="s">
        <v>275</v>
      </c>
      <c r="C41" s="58"/>
      <c r="D41" s="59" t="s">
        <v>226</v>
      </c>
      <c r="E41" s="35">
        <v>67</v>
      </c>
      <c r="F41" s="35">
        <v>23</v>
      </c>
      <c r="G41" s="35">
        <v>28</v>
      </c>
      <c r="H41" s="57">
        <v>51</v>
      </c>
      <c r="I41" s="35">
        <v>-26</v>
      </c>
      <c r="J41" s="35">
        <v>24</v>
      </c>
      <c r="K41" s="35">
        <v>8</v>
      </c>
      <c r="L41" s="35">
        <v>22</v>
      </c>
      <c r="M41" s="35">
        <v>0</v>
      </c>
      <c r="N41" s="35">
        <v>0</v>
      </c>
      <c r="O41" s="35">
        <v>4</v>
      </c>
      <c r="P41" s="35">
        <v>1</v>
      </c>
      <c r="Q41" s="35">
        <v>221</v>
      </c>
      <c r="R41" s="36">
        <v>10.4</v>
      </c>
      <c r="S41" s="37">
        <v>0.7729166666666667</v>
      </c>
      <c r="T41" s="36">
        <v>21.9</v>
      </c>
      <c r="U41" s="38">
        <v>40</v>
      </c>
      <c r="V41" s="30">
        <f t="shared" si="0"/>
        <v>7.2123205557775671</v>
      </c>
    </row>
    <row r="42" spans="1:22" ht="15.75" thickBot="1">
      <c r="A42" s="55" t="s">
        <v>276</v>
      </c>
      <c r="B42" s="55" t="s">
        <v>277</v>
      </c>
      <c r="C42" s="55"/>
      <c r="D42" s="56" t="s">
        <v>216</v>
      </c>
      <c r="E42" s="31">
        <v>66</v>
      </c>
      <c r="F42" s="31">
        <v>23</v>
      </c>
      <c r="G42" s="31">
        <v>28</v>
      </c>
      <c r="H42" s="57">
        <v>51</v>
      </c>
      <c r="I42" s="31">
        <v>7</v>
      </c>
      <c r="J42" s="31">
        <v>26</v>
      </c>
      <c r="K42" s="31">
        <v>7</v>
      </c>
      <c r="L42" s="31">
        <v>12</v>
      </c>
      <c r="M42" s="31">
        <v>1</v>
      </c>
      <c r="N42" s="31">
        <v>1</v>
      </c>
      <c r="O42" s="31">
        <v>4</v>
      </c>
      <c r="P42" s="31">
        <v>0</v>
      </c>
      <c r="Q42" s="31">
        <v>173</v>
      </c>
      <c r="R42" s="32">
        <v>13.3</v>
      </c>
      <c r="S42" s="33">
        <v>0.75277777777777777</v>
      </c>
      <c r="T42" s="32">
        <v>22.3</v>
      </c>
      <c r="U42" s="34">
        <v>55</v>
      </c>
      <c r="V42" s="30">
        <f t="shared" si="0"/>
        <v>7.4094294869127379</v>
      </c>
    </row>
    <row r="43" spans="1:22" ht="15.75" thickBot="1">
      <c r="A43" s="58" t="s">
        <v>278</v>
      </c>
      <c r="B43" s="58" t="s">
        <v>222</v>
      </c>
      <c r="C43" s="58"/>
      <c r="D43" s="59" t="s">
        <v>279</v>
      </c>
      <c r="E43" s="35">
        <v>60</v>
      </c>
      <c r="F43" s="35">
        <v>10</v>
      </c>
      <c r="G43" s="35">
        <v>41</v>
      </c>
      <c r="H43" s="57">
        <v>51</v>
      </c>
      <c r="I43" s="35">
        <v>13</v>
      </c>
      <c r="J43" s="35">
        <v>47</v>
      </c>
      <c r="K43" s="35">
        <v>1</v>
      </c>
      <c r="L43" s="35">
        <v>22</v>
      </c>
      <c r="M43" s="35">
        <v>1</v>
      </c>
      <c r="N43" s="35">
        <v>1</v>
      </c>
      <c r="O43" s="35">
        <v>1</v>
      </c>
      <c r="P43" s="35">
        <v>0</v>
      </c>
      <c r="Q43" s="35">
        <v>171</v>
      </c>
      <c r="R43" s="36">
        <v>5.8</v>
      </c>
      <c r="S43" s="43">
        <v>1.075</v>
      </c>
      <c r="T43" s="36">
        <v>28.7</v>
      </c>
      <c r="U43" s="38">
        <v>0</v>
      </c>
      <c r="V43" s="30">
        <f t="shared" si="0"/>
        <v>7.5333606221858371</v>
      </c>
    </row>
    <row r="44" spans="1:22" ht="15.75" thickBot="1">
      <c r="A44" s="55" t="s">
        <v>280</v>
      </c>
      <c r="B44" s="55" t="s">
        <v>260</v>
      </c>
      <c r="C44" s="55"/>
      <c r="D44" s="56" t="s">
        <v>226</v>
      </c>
      <c r="E44" s="31">
        <v>65</v>
      </c>
      <c r="F44" s="31">
        <v>19</v>
      </c>
      <c r="G44" s="31">
        <v>31</v>
      </c>
      <c r="H44" s="57">
        <v>50</v>
      </c>
      <c r="I44" s="31">
        <v>16</v>
      </c>
      <c r="J44" s="31">
        <v>67</v>
      </c>
      <c r="K44" s="31">
        <v>1</v>
      </c>
      <c r="L44" s="31">
        <v>10</v>
      </c>
      <c r="M44" s="31">
        <v>3</v>
      </c>
      <c r="N44" s="31">
        <v>4</v>
      </c>
      <c r="O44" s="31">
        <v>4</v>
      </c>
      <c r="P44" s="31">
        <v>0</v>
      </c>
      <c r="Q44" s="31">
        <v>196</v>
      </c>
      <c r="R44" s="32">
        <v>9.6999999999999993</v>
      </c>
      <c r="S44" s="33">
        <v>0.81874999999999998</v>
      </c>
      <c r="T44" s="32">
        <v>26.1</v>
      </c>
      <c r="U44" s="34">
        <v>39.4</v>
      </c>
      <c r="V44" s="30">
        <f t="shared" si="0"/>
        <v>7.1848827271864026</v>
      </c>
    </row>
    <row r="45" spans="1:22" ht="15.75" thickBot="1">
      <c r="A45" s="58" t="s">
        <v>281</v>
      </c>
      <c r="B45" s="58" t="s">
        <v>282</v>
      </c>
      <c r="C45" s="58"/>
      <c r="D45" s="59" t="s">
        <v>279</v>
      </c>
      <c r="E45" s="35">
        <v>65</v>
      </c>
      <c r="F45" s="35">
        <v>16</v>
      </c>
      <c r="G45" s="35">
        <v>34</v>
      </c>
      <c r="H45" s="57">
        <v>50</v>
      </c>
      <c r="I45" s="35">
        <v>0</v>
      </c>
      <c r="J45" s="35">
        <v>36</v>
      </c>
      <c r="K45" s="35">
        <v>4</v>
      </c>
      <c r="L45" s="35">
        <v>22</v>
      </c>
      <c r="M45" s="35">
        <v>0</v>
      </c>
      <c r="N45" s="35">
        <v>0</v>
      </c>
      <c r="O45" s="35">
        <v>3</v>
      </c>
      <c r="P45" s="35">
        <v>1</v>
      </c>
      <c r="Q45" s="35">
        <v>234</v>
      </c>
      <c r="R45" s="36">
        <v>6.8</v>
      </c>
      <c r="S45" s="43">
        <v>1.1270833333333334</v>
      </c>
      <c r="T45" s="36">
        <v>26.9</v>
      </c>
      <c r="U45" s="38">
        <v>0</v>
      </c>
      <c r="V45" s="30">
        <f t="shared" si="0"/>
        <v>6.9956208058977349</v>
      </c>
    </row>
    <row r="46" spans="1:22" ht="15.75" thickBot="1">
      <c r="A46" s="55" t="s">
        <v>283</v>
      </c>
      <c r="B46" s="55" t="s">
        <v>277</v>
      </c>
      <c r="C46" s="55"/>
      <c r="D46" s="56" t="s">
        <v>216</v>
      </c>
      <c r="E46" s="31">
        <v>63</v>
      </c>
      <c r="F46" s="31">
        <v>13</v>
      </c>
      <c r="G46" s="31">
        <v>37</v>
      </c>
      <c r="H46" s="57">
        <v>50</v>
      </c>
      <c r="I46" s="31">
        <v>-4</v>
      </c>
      <c r="J46" s="31">
        <v>10</v>
      </c>
      <c r="K46" s="31">
        <v>6</v>
      </c>
      <c r="L46" s="31">
        <v>20</v>
      </c>
      <c r="M46" s="31">
        <v>0</v>
      </c>
      <c r="N46" s="31">
        <v>0</v>
      </c>
      <c r="O46" s="31">
        <v>3</v>
      </c>
      <c r="P46" s="31">
        <v>0</v>
      </c>
      <c r="Q46" s="31">
        <v>103</v>
      </c>
      <c r="R46" s="32">
        <v>12.6</v>
      </c>
      <c r="S46" s="33">
        <v>0.81111111111111101</v>
      </c>
      <c r="T46" s="32">
        <v>23.2</v>
      </c>
      <c r="U46" s="34">
        <v>52</v>
      </c>
      <c r="V46" s="30">
        <f t="shared" si="0"/>
        <v>7.3607870450983803</v>
      </c>
    </row>
    <row r="47" spans="1:22" ht="15.75" thickBot="1">
      <c r="A47" s="58" t="s">
        <v>284</v>
      </c>
      <c r="B47" s="58" t="s">
        <v>282</v>
      </c>
      <c r="C47" s="58"/>
      <c r="D47" s="59" t="s">
        <v>226</v>
      </c>
      <c r="E47" s="35">
        <v>61</v>
      </c>
      <c r="F47" s="35">
        <v>17</v>
      </c>
      <c r="G47" s="35">
        <v>32</v>
      </c>
      <c r="H47" s="57">
        <v>49</v>
      </c>
      <c r="I47" s="35">
        <v>9</v>
      </c>
      <c r="J47" s="35">
        <v>16</v>
      </c>
      <c r="K47" s="35">
        <v>4</v>
      </c>
      <c r="L47" s="35">
        <v>13</v>
      </c>
      <c r="M47" s="35">
        <v>0</v>
      </c>
      <c r="N47" s="35">
        <v>0</v>
      </c>
      <c r="O47" s="35">
        <v>4</v>
      </c>
      <c r="P47" s="35">
        <v>1</v>
      </c>
      <c r="Q47" s="35">
        <v>171</v>
      </c>
      <c r="R47" s="36">
        <v>9.9</v>
      </c>
      <c r="S47" s="37">
        <v>0.73541666666666661</v>
      </c>
      <c r="T47" s="36">
        <v>22.8</v>
      </c>
      <c r="U47" s="38">
        <v>33.299999999999997</v>
      </c>
      <c r="V47" s="30">
        <f t="shared" si="0"/>
        <v>7.4803091148381871</v>
      </c>
    </row>
    <row r="48" spans="1:22" ht="15.75" thickBot="1">
      <c r="A48" s="55" t="s">
        <v>285</v>
      </c>
      <c r="B48" s="55" t="s">
        <v>239</v>
      </c>
      <c r="C48" s="55"/>
      <c r="D48" s="56" t="s">
        <v>279</v>
      </c>
      <c r="E48" s="31">
        <v>67</v>
      </c>
      <c r="F48" s="31">
        <v>16</v>
      </c>
      <c r="G48" s="31">
        <v>33</v>
      </c>
      <c r="H48" s="57">
        <v>49</v>
      </c>
      <c r="I48" s="31">
        <v>-3</v>
      </c>
      <c r="J48" s="31">
        <v>61</v>
      </c>
      <c r="K48" s="31">
        <v>6</v>
      </c>
      <c r="L48" s="31">
        <v>18</v>
      </c>
      <c r="M48" s="31">
        <v>0</v>
      </c>
      <c r="N48" s="31">
        <v>0</v>
      </c>
      <c r="O48" s="31">
        <v>2</v>
      </c>
      <c r="P48" s="31">
        <v>1</v>
      </c>
      <c r="Q48" s="31">
        <v>201</v>
      </c>
      <c r="R48" s="32">
        <v>8</v>
      </c>
      <c r="S48" s="44">
        <v>1.0062499999999999</v>
      </c>
      <c r="T48" s="32">
        <v>28.7</v>
      </c>
      <c r="U48" s="34">
        <v>0</v>
      </c>
      <c r="V48" s="30">
        <f t="shared" si="0"/>
        <v>6.7126183255215519</v>
      </c>
    </row>
    <row r="49" spans="1:22" ht="15.75" thickBot="1">
      <c r="A49" s="58" t="s">
        <v>286</v>
      </c>
      <c r="B49" s="58" t="s">
        <v>250</v>
      </c>
      <c r="C49" s="58"/>
      <c r="D49" s="59" t="s">
        <v>279</v>
      </c>
      <c r="E49" s="35">
        <v>67</v>
      </c>
      <c r="F49" s="35">
        <v>12</v>
      </c>
      <c r="G49" s="35">
        <v>37</v>
      </c>
      <c r="H49" s="57">
        <v>49</v>
      </c>
      <c r="I49" s="35">
        <v>15</v>
      </c>
      <c r="J49" s="35">
        <v>66</v>
      </c>
      <c r="K49" s="35">
        <v>6</v>
      </c>
      <c r="L49" s="35">
        <v>15</v>
      </c>
      <c r="M49" s="35">
        <v>0</v>
      </c>
      <c r="N49" s="35">
        <v>0</v>
      </c>
      <c r="O49" s="35">
        <v>4</v>
      </c>
      <c r="P49" s="35">
        <v>1</v>
      </c>
      <c r="Q49" s="35">
        <v>132</v>
      </c>
      <c r="R49" s="36">
        <v>9.1</v>
      </c>
      <c r="S49" s="43">
        <v>1.0888888888888888</v>
      </c>
      <c r="T49" s="36">
        <v>30.3</v>
      </c>
      <c r="U49" s="38">
        <v>0</v>
      </c>
      <c r="V49" s="30">
        <f t="shared" si="0"/>
        <v>6.6486618798955615</v>
      </c>
    </row>
    <row r="50" spans="1:22" ht="15.75" thickBot="1">
      <c r="A50" s="55" t="s">
        <v>287</v>
      </c>
      <c r="B50" s="55" t="s">
        <v>245</v>
      </c>
      <c r="C50" s="55"/>
      <c r="D50" s="56" t="s">
        <v>226</v>
      </c>
      <c r="E50" s="31">
        <v>63</v>
      </c>
      <c r="F50" s="31">
        <v>25</v>
      </c>
      <c r="G50" s="31">
        <v>23</v>
      </c>
      <c r="H50" s="57">
        <v>48</v>
      </c>
      <c r="I50" s="31">
        <v>-1</v>
      </c>
      <c r="J50" s="31">
        <v>14</v>
      </c>
      <c r="K50" s="31">
        <v>10</v>
      </c>
      <c r="L50" s="31">
        <v>20</v>
      </c>
      <c r="M50" s="31">
        <v>0</v>
      </c>
      <c r="N50" s="31">
        <v>0</v>
      </c>
      <c r="O50" s="31">
        <v>5</v>
      </c>
      <c r="P50" s="31">
        <v>0</v>
      </c>
      <c r="Q50" s="31">
        <v>205</v>
      </c>
      <c r="R50" s="32">
        <v>12.2</v>
      </c>
      <c r="S50" s="33">
        <v>0.69236111111111109</v>
      </c>
      <c r="T50" s="32">
        <v>21.6</v>
      </c>
      <c r="U50" s="34">
        <v>40</v>
      </c>
      <c r="V50" s="30">
        <f t="shared" si="0"/>
        <v>7.3776508171876527</v>
      </c>
    </row>
    <row r="51" spans="1:22" ht="15.75" thickBot="1">
      <c r="A51" s="58" t="s">
        <v>288</v>
      </c>
      <c r="B51" s="58" t="s">
        <v>257</v>
      </c>
      <c r="C51" s="58"/>
      <c r="D51" s="59" t="s">
        <v>219</v>
      </c>
      <c r="E51" s="35">
        <v>65</v>
      </c>
      <c r="F51" s="35">
        <v>25</v>
      </c>
      <c r="G51" s="35">
        <v>23</v>
      </c>
      <c r="H51" s="57">
        <v>48</v>
      </c>
      <c r="I51" s="35">
        <v>11</v>
      </c>
      <c r="J51" s="35">
        <v>22</v>
      </c>
      <c r="K51" s="35">
        <v>8</v>
      </c>
      <c r="L51" s="35">
        <v>17</v>
      </c>
      <c r="M51" s="35">
        <v>0</v>
      </c>
      <c r="N51" s="35">
        <v>0</v>
      </c>
      <c r="O51" s="35">
        <v>7</v>
      </c>
      <c r="P51" s="35">
        <v>0</v>
      </c>
      <c r="Q51" s="35">
        <v>168</v>
      </c>
      <c r="R51" s="36">
        <v>14.9</v>
      </c>
      <c r="S51" s="37">
        <v>0.66597222222222219</v>
      </c>
      <c r="T51" s="36">
        <v>22</v>
      </c>
      <c r="U51" s="38">
        <v>45.4</v>
      </c>
      <c r="V51" s="30">
        <f t="shared" si="0"/>
        <v>7.2381476115441155</v>
      </c>
    </row>
    <row r="52" spans="1:22" ht="15.75" thickBot="1">
      <c r="A52" s="55" t="s">
        <v>289</v>
      </c>
      <c r="B52" s="55" t="s">
        <v>275</v>
      </c>
      <c r="C52" s="55"/>
      <c r="D52" s="56" t="s">
        <v>219</v>
      </c>
      <c r="E52" s="31">
        <v>67</v>
      </c>
      <c r="F52" s="31">
        <v>23</v>
      </c>
      <c r="G52" s="31">
        <v>25</v>
      </c>
      <c r="H52" s="57">
        <v>48</v>
      </c>
      <c r="I52" s="31">
        <v>-25</v>
      </c>
      <c r="J52" s="31">
        <v>35</v>
      </c>
      <c r="K52" s="31">
        <v>8</v>
      </c>
      <c r="L52" s="31">
        <v>17</v>
      </c>
      <c r="M52" s="31">
        <v>1</v>
      </c>
      <c r="N52" s="31">
        <v>1</v>
      </c>
      <c r="O52" s="31">
        <v>4</v>
      </c>
      <c r="P52" s="31">
        <v>1</v>
      </c>
      <c r="Q52" s="31">
        <v>200</v>
      </c>
      <c r="R52" s="32">
        <v>11.5</v>
      </c>
      <c r="S52" s="33">
        <v>0.7909722222222223</v>
      </c>
      <c r="T52" s="32">
        <v>22.6</v>
      </c>
      <c r="U52" s="34">
        <v>40</v>
      </c>
      <c r="V52" s="30">
        <f t="shared" si="0"/>
        <v>6.8666960325346498</v>
      </c>
    </row>
    <row r="53" spans="1:22" ht="15.75" thickBot="1">
      <c r="A53" s="58" t="s">
        <v>290</v>
      </c>
      <c r="B53" s="58" t="s">
        <v>232</v>
      </c>
      <c r="C53" s="58"/>
      <c r="D53" s="59" t="s">
        <v>226</v>
      </c>
      <c r="E53" s="35">
        <v>66</v>
      </c>
      <c r="F53" s="35">
        <v>18</v>
      </c>
      <c r="G53" s="35">
        <v>30</v>
      </c>
      <c r="H53" s="57">
        <v>48</v>
      </c>
      <c r="I53" s="35">
        <v>10</v>
      </c>
      <c r="J53" s="35">
        <v>28</v>
      </c>
      <c r="K53" s="35">
        <v>6</v>
      </c>
      <c r="L53" s="35">
        <v>14</v>
      </c>
      <c r="M53" s="35">
        <v>1</v>
      </c>
      <c r="N53" s="35">
        <v>1</v>
      </c>
      <c r="O53" s="35">
        <v>2</v>
      </c>
      <c r="P53" s="35">
        <v>0</v>
      </c>
      <c r="Q53" s="35">
        <v>198</v>
      </c>
      <c r="R53" s="36">
        <v>9.1</v>
      </c>
      <c r="S53" s="37">
        <v>0.77083333333333337</v>
      </c>
      <c r="T53" s="36">
        <v>25</v>
      </c>
      <c r="U53" s="38">
        <v>75</v>
      </c>
      <c r="V53" s="30">
        <f t="shared" si="0"/>
        <v>6.7873946957878317</v>
      </c>
    </row>
    <row r="54" spans="1:22" ht="15.75" thickBot="1">
      <c r="A54" s="55" t="s">
        <v>291</v>
      </c>
      <c r="B54" s="55" t="s">
        <v>292</v>
      </c>
      <c r="C54" s="55"/>
      <c r="D54" s="56" t="s">
        <v>226</v>
      </c>
      <c r="E54" s="31">
        <v>66</v>
      </c>
      <c r="F54" s="31">
        <v>16</v>
      </c>
      <c r="G54" s="31">
        <v>32</v>
      </c>
      <c r="H54" s="57">
        <v>48</v>
      </c>
      <c r="I54" s="31">
        <v>-19</v>
      </c>
      <c r="J54" s="31">
        <v>24</v>
      </c>
      <c r="K54" s="31">
        <v>4</v>
      </c>
      <c r="L54" s="31">
        <v>16</v>
      </c>
      <c r="M54" s="31">
        <v>0</v>
      </c>
      <c r="N54" s="31">
        <v>0</v>
      </c>
      <c r="O54" s="31">
        <v>0</v>
      </c>
      <c r="P54" s="31">
        <v>0</v>
      </c>
      <c r="Q54" s="31">
        <v>154</v>
      </c>
      <c r="R54" s="32">
        <v>10.4</v>
      </c>
      <c r="S54" s="33">
        <v>0.80347222222222225</v>
      </c>
      <c r="T54" s="32">
        <v>25.1</v>
      </c>
      <c r="U54" s="34">
        <v>0</v>
      </c>
      <c r="V54" s="30">
        <f t="shared" si="0"/>
        <v>6.7780907928521676</v>
      </c>
    </row>
    <row r="55" spans="1:22" ht="15.75" thickBot="1">
      <c r="A55" s="58" t="s">
        <v>293</v>
      </c>
      <c r="B55" s="58" t="s">
        <v>255</v>
      </c>
      <c r="C55" s="58"/>
      <c r="D55" s="59" t="s">
        <v>219</v>
      </c>
      <c r="E55" s="35">
        <v>65</v>
      </c>
      <c r="F55" s="35">
        <v>16</v>
      </c>
      <c r="G55" s="35">
        <v>32</v>
      </c>
      <c r="H55" s="57">
        <v>48</v>
      </c>
      <c r="I55" s="35">
        <v>5</v>
      </c>
      <c r="J55" s="35">
        <v>12</v>
      </c>
      <c r="K55" s="35">
        <v>5</v>
      </c>
      <c r="L55" s="35">
        <v>14</v>
      </c>
      <c r="M55" s="35">
        <v>0</v>
      </c>
      <c r="N55" s="35">
        <v>0</v>
      </c>
      <c r="O55" s="35">
        <v>3</v>
      </c>
      <c r="P55" s="35">
        <v>0</v>
      </c>
      <c r="Q55" s="35">
        <v>130</v>
      </c>
      <c r="R55" s="36">
        <v>12.3</v>
      </c>
      <c r="S55" s="37">
        <v>0.71875</v>
      </c>
      <c r="T55" s="36">
        <v>24.1</v>
      </c>
      <c r="U55" s="38">
        <v>42.8</v>
      </c>
      <c r="V55" s="30">
        <f t="shared" si="0"/>
        <v>6.9477888730385171</v>
      </c>
    </row>
    <row r="56" spans="1:22" ht="15.75" thickBot="1">
      <c r="A56" s="55" t="s">
        <v>294</v>
      </c>
      <c r="B56" s="55" t="s">
        <v>239</v>
      </c>
      <c r="C56" s="55"/>
      <c r="D56" s="56" t="s">
        <v>219</v>
      </c>
      <c r="E56" s="31">
        <v>67</v>
      </c>
      <c r="F56" s="31">
        <v>15</v>
      </c>
      <c r="G56" s="31">
        <v>33</v>
      </c>
      <c r="H56" s="57">
        <v>48</v>
      </c>
      <c r="I56" s="31">
        <v>-15</v>
      </c>
      <c r="J56" s="31">
        <v>8</v>
      </c>
      <c r="K56" s="31">
        <v>7</v>
      </c>
      <c r="L56" s="31">
        <v>22</v>
      </c>
      <c r="M56" s="31">
        <v>0</v>
      </c>
      <c r="N56" s="31">
        <v>0</v>
      </c>
      <c r="O56" s="31">
        <v>3</v>
      </c>
      <c r="P56" s="31">
        <v>0</v>
      </c>
      <c r="Q56" s="31">
        <v>194</v>
      </c>
      <c r="R56" s="32">
        <v>7.7</v>
      </c>
      <c r="S56" s="33">
        <v>0.8222222222222223</v>
      </c>
      <c r="T56" s="32">
        <v>26</v>
      </c>
      <c r="U56" s="34">
        <v>48.8</v>
      </c>
      <c r="V56" s="30">
        <f t="shared" si="0"/>
        <v>6.5745412844036695</v>
      </c>
    </row>
    <row r="57" spans="1:22" ht="15.75" thickBot="1">
      <c r="A57" s="58" t="s">
        <v>295</v>
      </c>
      <c r="B57" s="58" t="s">
        <v>255</v>
      </c>
      <c r="C57" s="58"/>
      <c r="D57" s="59" t="s">
        <v>279</v>
      </c>
      <c r="E57" s="35">
        <v>61</v>
      </c>
      <c r="F57" s="35">
        <v>11</v>
      </c>
      <c r="G57" s="35">
        <v>37</v>
      </c>
      <c r="H57" s="57">
        <v>48</v>
      </c>
      <c r="I57" s="35">
        <v>13</v>
      </c>
      <c r="J57" s="35">
        <v>37</v>
      </c>
      <c r="K57" s="35">
        <v>2</v>
      </c>
      <c r="L57" s="35">
        <v>14</v>
      </c>
      <c r="M57" s="35">
        <v>1</v>
      </c>
      <c r="N57" s="35">
        <v>1</v>
      </c>
      <c r="O57" s="35">
        <v>2</v>
      </c>
      <c r="P57" s="35">
        <v>1</v>
      </c>
      <c r="Q57" s="35">
        <v>157</v>
      </c>
      <c r="R57" s="36">
        <v>7</v>
      </c>
      <c r="S57" s="43">
        <v>1.0486111111111112</v>
      </c>
      <c r="T57" s="36">
        <v>31.3</v>
      </c>
      <c r="U57" s="38">
        <v>0</v>
      </c>
      <c r="V57" s="30">
        <f t="shared" si="0"/>
        <v>7.0670397313933968</v>
      </c>
    </row>
    <row r="58" spans="1:22" ht="15.75" thickBot="1">
      <c r="A58" s="55" t="s">
        <v>296</v>
      </c>
      <c r="B58" s="55" t="s">
        <v>255</v>
      </c>
      <c r="C58" s="55"/>
      <c r="D58" s="56" t="s">
        <v>216</v>
      </c>
      <c r="E58" s="31">
        <v>66</v>
      </c>
      <c r="F58" s="31">
        <v>24</v>
      </c>
      <c r="G58" s="31">
        <v>23</v>
      </c>
      <c r="H58" s="57">
        <v>47</v>
      </c>
      <c r="I58" s="31">
        <v>2</v>
      </c>
      <c r="J58" s="31">
        <v>8</v>
      </c>
      <c r="K58" s="31">
        <v>7</v>
      </c>
      <c r="L58" s="31">
        <v>15</v>
      </c>
      <c r="M58" s="31">
        <v>0</v>
      </c>
      <c r="N58" s="31">
        <v>1</v>
      </c>
      <c r="O58" s="31">
        <v>5</v>
      </c>
      <c r="P58" s="31">
        <v>3</v>
      </c>
      <c r="Q58" s="31">
        <v>145</v>
      </c>
      <c r="R58" s="32">
        <v>16.600000000000001</v>
      </c>
      <c r="S58" s="33">
        <v>0.80763888888888891</v>
      </c>
      <c r="T58" s="32">
        <v>27.2</v>
      </c>
      <c r="U58" s="34">
        <v>50.2</v>
      </c>
      <c r="V58" s="30">
        <f t="shared" si="0"/>
        <v>7.0156647921582485</v>
      </c>
    </row>
    <row r="59" spans="1:22" ht="15.75" thickBot="1">
      <c r="A59" s="58" t="s">
        <v>297</v>
      </c>
      <c r="B59" s="58" t="s">
        <v>230</v>
      </c>
      <c r="C59" s="58"/>
      <c r="D59" s="59" t="s">
        <v>226</v>
      </c>
      <c r="E59" s="35">
        <v>63</v>
      </c>
      <c r="F59" s="35">
        <v>21</v>
      </c>
      <c r="G59" s="35">
        <v>26</v>
      </c>
      <c r="H59" s="57">
        <v>47</v>
      </c>
      <c r="I59" s="35">
        <v>8</v>
      </c>
      <c r="J59" s="35">
        <v>31</v>
      </c>
      <c r="K59" s="35">
        <v>9</v>
      </c>
      <c r="L59" s="35">
        <v>14</v>
      </c>
      <c r="M59" s="35">
        <v>0</v>
      </c>
      <c r="N59" s="35">
        <v>0</v>
      </c>
      <c r="O59" s="35">
        <v>3</v>
      </c>
      <c r="P59" s="35">
        <v>0</v>
      </c>
      <c r="Q59" s="35">
        <v>165</v>
      </c>
      <c r="R59" s="36">
        <v>12.7</v>
      </c>
      <c r="S59" s="37">
        <v>0.75416666666666676</v>
      </c>
      <c r="T59" s="36">
        <v>21.3</v>
      </c>
      <c r="U59" s="38">
        <v>68.8</v>
      </c>
      <c r="V59" s="30">
        <f t="shared" si="0"/>
        <v>7.1587477942618118</v>
      </c>
    </row>
    <row r="60" spans="1:22" ht="15.75" thickBot="1">
      <c r="A60" s="55" t="s">
        <v>298</v>
      </c>
      <c r="B60" s="55" t="s">
        <v>299</v>
      </c>
      <c r="C60" s="55"/>
      <c r="D60" s="56" t="s">
        <v>219</v>
      </c>
      <c r="E60" s="31">
        <v>67</v>
      </c>
      <c r="F60" s="31">
        <v>19</v>
      </c>
      <c r="G60" s="31">
        <v>28</v>
      </c>
      <c r="H60" s="57">
        <v>47</v>
      </c>
      <c r="I60" s="31">
        <v>-3</v>
      </c>
      <c r="J60" s="31">
        <v>69</v>
      </c>
      <c r="K60" s="31">
        <v>6</v>
      </c>
      <c r="L60" s="31">
        <v>14</v>
      </c>
      <c r="M60" s="31">
        <v>0</v>
      </c>
      <c r="N60" s="31">
        <v>0</v>
      </c>
      <c r="O60" s="31">
        <v>2</v>
      </c>
      <c r="P60" s="31">
        <v>0</v>
      </c>
      <c r="Q60" s="31">
        <v>181</v>
      </c>
      <c r="R60" s="32">
        <v>10.5</v>
      </c>
      <c r="S60" s="33">
        <v>0.76250000000000007</v>
      </c>
      <c r="T60" s="32">
        <v>22.5</v>
      </c>
      <c r="U60" s="34">
        <v>36.4</v>
      </c>
      <c r="V60" s="30">
        <f t="shared" si="0"/>
        <v>6.6260837483859065</v>
      </c>
    </row>
    <row r="61" spans="1:22" ht="15.75" thickBot="1">
      <c r="A61" s="58" t="s">
        <v>300</v>
      </c>
      <c r="B61" s="58" t="s">
        <v>301</v>
      </c>
      <c r="C61" s="58"/>
      <c r="D61" s="59" t="s">
        <v>216</v>
      </c>
      <c r="E61" s="35">
        <v>65</v>
      </c>
      <c r="F61" s="35">
        <v>18</v>
      </c>
      <c r="G61" s="35">
        <v>29</v>
      </c>
      <c r="H61" s="57">
        <v>47</v>
      </c>
      <c r="I61" s="35">
        <v>5</v>
      </c>
      <c r="J61" s="35">
        <v>38</v>
      </c>
      <c r="K61" s="35">
        <v>2</v>
      </c>
      <c r="L61" s="35">
        <v>10</v>
      </c>
      <c r="M61" s="35">
        <v>1</v>
      </c>
      <c r="N61" s="35">
        <v>2</v>
      </c>
      <c r="O61" s="35">
        <v>4</v>
      </c>
      <c r="P61" s="35">
        <v>1</v>
      </c>
      <c r="Q61" s="35">
        <v>189</v>
      </c>
      <c r="R61" s="36">
        <v>9.5</v>
      </c>
      <c r="S61" s="37">
        <v>0.74652777777777779</v>
      </c>
      <c r="T61" s="36">
        <v>25.5</v>
      </c>
      <c r="U61" s="38">
        <v>59.6</v>
      </c>
      <c r="V61" s="30">
        <f t="shared" si="0"/>
        <v>6.7760232373910751</v>
      </c>
    </row>
    <row r="62" spans="1:22" ht="15.75" thickBot="1">
      <c r="A62" s="60" t="s">
        <v>302</v>
      </c>
      <c r="B62" s="60" t="s">
        <v>269</v>
      </c>
      <c r="C62" s="60"/>
      <c r="D62" s="64" t="s">
        <v>226</v>
      </c>
      <c r="E62" s="45">
        <v>67</v>
      </c>
      <c r="F62" s="45">
        <v>16</v>
      </c>
      <c r="G62" s="45">
        <v>31</v>
      </c>
      <c r="H62" s="65">
        <v>47</v>
      </c>
      <c r="I62" s="45">
        <v>5</v>
      </c>
      <c r="J62" s="45">
        <v>8</v>
      </c>
      <c r="K62" s="45">
        <v>3</v>
      </c>
      <c r="L62" s="45">
        <v>12</v>
      </c>
      <c r="M62" s="45">
        <v>0</v>
      </c>
      <c r="N62" s="45">
        <v>0</v>
      </c>
      <c r="O62" s="45">
        <v>3</v>
      </c>
      <c r="P62" s="45">
        <v>0</v>
      </c>
      <c r="Q62" s="45">
        <v>216</v>
      </c>
      <c r="R62" s="46">
        <v>7.4</v>
      </c>
      <c r="S62" s="47">
        <v>0.77222222222222225</v>
      </c>
      <c r="T62" s="46">
        <v>22</v>
      </c>
      <c r="U62" s="48">
        <v>43.7</v>
      </c>
      <c r="V62" s="30">
        <f t="shared" si="0"/>
        <v>6.4672514140503319</v>
      </c>
    </row>
    <row r="63" spans="1:22" ht="15.75" thickBot="1">
      <c r="A63" s="52" t="s">
        <v>303</v>
      </c>
      <c r="B63" s="52" t="s">
        <v>265</v>
      </c>
      <c r="C63" s="52"/>
      <c r="D63" s="53" t="s">
        <v>279</v>
      </c>
      <c r="E63" s="26">
        <v>68</v>
      </c>
      <c r="F63" s="26">
        <v>11</v>
      </c>
      <c r="G63" s="26">
        <v>36</v>
      </c>
      <c r="H63" s="54">
        <v>47</v>
      </c>
      <c r="I63" s="26">
        <v>15</v>
      </c>
      <c r="J63" s="26">
        <v>20</v>
      </c>
      <c r="K63" s="26">
        <v>2</v>
      </c>
      <c r="L63" s="26">
        <v>13</v>
      </c>
      <c r="M63" s="26">
        <v>0</v>
      </c>
      <c r="N63" s="26">
        <v>3</v>
      </c>
      <c r="O63" s="26">
        <v>4</v>
      </c>
      <c r="P63" s="26">
        <v>1</v>
      </c>
      <c r="Q63" s="26">
        <v>167</v>
      </c>
      <c r="R63" s="27">
        <v>6.6</v>
      </c>
      <c r="S63" s="49">
        <v>1.1069444444444445</v>
      </c>
      <c r="T63" s="27">
        <v>30.3</v>
      </c>
      <c r="U63" s="29">
        <v>0</v>
      </c>
      <c r="V63" s="30">
        <f t="shared" si="0"/>
        <v>6.210663826195308</v>
      </c>
    </row>
    <row r="64" spans="1:22" ht="15.75" thickBot="1">
      <c r="A64" s="55" t="s">
        <v>304</v>
      </c>
      <c r="B64" s="55" t="s">
        <v>242</v>
      </c>
      <c r="C64" s="55"/>
      <c r="D64" s="56" t="s">
        <v>226</v>
      </c>
      <c r="E64" s="31">
        <v>53</v>
      </c>
      <c r="F64" s="31">
        <v>28</v>
      </c>
      <c r="G64" s="31">
        <v>18</v>
      </c>
      <c r="H64" s="57">
        <v>46</v>
      </c>
      <c r="I64" s="31">
        <v>13</v>
      </c>
      <c r="J64" s="31">
        <v>55</v>
      </c>
      <c r="K64" s="31">
        <v>4</v>
      </c>
      <c r="L64" s="31">
        <v>7</v>
      </c>
      <c r="M64" s="31">
        <v>0</v>
      </c>
      <c r="N64" s="31">
        <v>0</v>
      </c>
      <c r="O64" s="31">
        <v>2</v>
      </c>
      <c r="P64" s="31">
        <v>0</v>
      </c>
      <c r="Q64" s="31">
        <v>156</v>
      </c>
      <c r="R64" s="32">
        <v>17.899999999999999</v>
      </c>
      <c r="S64" s="33">
        <v>0.7597222222222223</v>
      </c>
      <c r="T64" s="32">
        <v>21</v>
      </c>
      <c r="U64" s="34">
        <v>37.5</v>
      </c>
      <c r="V64" s="30">
        <f t="shared" si="0"/>
        <v>8.7202831529180767</v>
      </c>
    </row>
    <row r="65" spans="1:22" ht="15.75" thickBot="1">
      <c r="A65" s="58" t="s">
        <v>305</v>
      </c>
      <c r="B65" s="58" t="s">
        <v>228</v>
      </c>
      <c r="C65" s="58"/>
      <c r="D65" s="59" t="s">
        <v>216</v>
      </c>
      <c r="E65" s="35">
        <v>65</v>
      </c>
      <c r="F65" s="35">
        <v>22</v>
      </c>
      <c r="G65" s="35">
        <v>24</v>
      </c>
      <c r="H65" s="57">
        <v>46</v>
      </c>
      <c r="I65" s="35">
        <v>3</v>
      </c>
      <c r="J65" s="35">
        <v>94</v>
      </c>
      <c r="K65" s="35">
        <v>9</v>
      </c>
      <c r="L65" s="35">
        <v>12</v>
      </c>
      <c r="M65" s="35">
        <v>0</v>
      </c>
      <c r="N65" s="35">
        <v>0</v>
      </c>
      <c r="O65" s="35">
        <v>3</v>
      </c>
      <c r="P65" s="35">
        <v>0</v>
      </c>
      <c r="Q65" s="35">
        <v>154</v>
      </c>
      <c r="R65" s="36">
        <v>14.3</v>
      </c>
      <c r="S65" s="37">
        <v>0.77777777777777779</v>
      </c>
      <c r="T65" s="36">
        <v>27.3</v>
      </c>
      <c r="U65" s="38">
        <v>54.9</v>
      </c>
      <c r="V65" s="30">
        <f t="shared" si="0"/>
        <v>6.880743243243244</v>
      </c>
    </row>
    <row r="66" spans="1:22" ht="15.75" thickBot="1">
      <c r="A66" s="55" t="s">
        <v>306</v>
      </c>
      <c r="B66" s="55" t="s">
        <v>257</v>
      </c>
      <c r="C66" s="55"/>
      <c r="D66" s="56" t="s">
        <v>226</v>
      </c>
      <c r="E66" s="31">
        <v>65</v>
      </c>
      <c r="F66" s="31">
        <v>22</v>
      </c>
      <c r="G66" s="31">
        <v>24</v>
      </c>
      <c r="H66" s="57">
        <v>46</v>
      </c>
      <c r="I66" s="31">
        <v>-7</v>
      </c>
      <c r="J66" s="31">
        <v>22</v>
      </c>
      <c r="K66" s="31">
        <v>12</v>
      </c>
      <c r="L66" s="31">
        <v>21</v>
      </c>
      <c r="M66" s="31">
        <v>0</v>
      </c>
      <c r="N66" s="31">
        <v>0</v>
      </c>
      <c r="O66" s="31">
        <v>4</v>
      </c>
      <c r="P66" s="31">
        <v>1</v>
      </c>
      <c r="Q66" s="31">
        <v>154</v>
      </c>
      <c r="R66" s="32">
        <v>14.3</v>
      </c>
      <c r="S66" s="33">
        <v>0.69236111111111109</v>
      </c>
      <c r="T66" s="32">
        <v>22.2</v>
      </c>
      <c r="U66" s="34">
        <v>11.1</v>
      </c>
      <c r="V66" s="30">
        <f t="shared" si="0"/>
        <v>6.8896899478841824</v>
      </c>
    </row>
    <row r="67" spans="1:22" ht="15.75" thickBot="1">
      <c r="A67" s="58" t="s">
        <v>307</v>
      </c>
      <c r="B67" s="58" t="s">
        <v>299</v>
      </c>
      <c r="C67" s="58"/>
      <c r="D67" s="59" t="s">
        <v>226</v>
      </c>
      <c r="E67" s="35">
        <v>67</v>
      </c>
      <c r="F67" s="35">
        <v>21</v>
      </c>
      <c r="G67" s="35">
        <v>25</v>
      </c>
      <c r="H67" s="57">
        <v>46</v>
      </c>
      <c r="I67" s="35">
        <v>1</v>
      </c>
      <c r="J67" s="35">
        <v>38</v>
      </c>
      <c r="K67" s="35">
        <v>5</v>
      </c>
      <c r="L67" s="35">
        <v>9</v>
      </c>
      <c r="M67" s="35">
        <v>0</v>
      </c>
      <c r="N67" s="35">
        <v>0</v>
      </c>
      <c r="O67" s="35">
        <v>1</v>
      </c>
      <c r="P67" s="35">
        <v>0</v>
      </c>
      <c r="Q67" s="35">
        <v>152</v>
      </c>
      <c r="R67" s="36">
        <v>13.8</v>
      </c>
      <c r="S67" s="37">
        <v>0.74097222222222225</v>
      </c>
      <c r="T67" s="36">
        <v>21.7</v>
      </c>
      <c r="U67" s="38">
        <v>46</v>
      </c>
      <c r="V67" s="30">
        <f t="shared" si="0"/>
        <v>6.6444278142843967</v>
      </c>
    </row>
    <row r="68" spans="1:22" ht="15.75" thickBot="1">
      <c r="A68" s="55" t="s">
        <v>308</v>
      </c>
      <c r="B68" s="55" t="s">
        <v>228</v>
      </c>
      <c r="C68" s="55"/>
      <c r="D68" s="56" t="s">
        <v>226</v>
      </c>
      <c r="E68" s="31">
        <v>58</v>
      </c>
      <c r="F68" s="31">
        <v>18</v>
      </c>
      <c r="G68" s="31">
        <v>28</v>
      </c>
      <c r="H68" s="57">
        <v>46</v>
      </c>
      <c r="I68" s="31">
        <v>10</v>
      </c>
      <c r="J68" s="31">
        <v>31</v>
      </c>
      <c r="K68" s="31">
        <v>3</v>
      </c>
      <c r="L68" s="31">
        <v>12</v>
      </c>
      <c r="M68" s="31">
        <v>0</v>
      </c>
      <c r="N68" s="31">
        <v>0</v>
      </c>
      <c r="O68" s="31">
        <v>4</v>
      </c>
      <c r="P68" s="31">
        <v>1</v>
      </c>
      <c r="Q68" s="31">
        <v>137</v>
      </c>
      <c r="R68" s="32">
        <v>13.1</v>
      </c>
      <c r="S68" s="33">
        <v>0.78472222222222221</v>
      </c>
      <c r="T68" s="32">
        <v>27.1</v>
      </c>
      <c r="U68" s="34">
        <v>18.2</v>
      </c>
      <c r="V68" s="30">
        <f t="shared" ref="V68:V131" si="1">((2.5*F68)+(2.125*G68)+(0.5*R68))/((0.25*E68)+(0.25*(S68)))</f>
        <v>7.5563851151801531</v>
      </c>
    </row>
    <row r="69" spans="1:22" ht="15.75" thickBot="1">
      <c r="A69" s="58" t="s">
        <v>309</v>
      </c>
      <c r="B69" s="58" t="s">
        <v>218</v>
      </c>
      <c r="C69" s="58"/>
      <c r="D69" s="59" t="s">
        <v>279</v>
      </c>
      <c r="E69" s="35">
        <v>67</v>
      </c>
      <c r="F69" s="35">
        <v>10</v>
      </c>
      <c r="G69" s="35">
        <v>36</v>
      </c>
      <c r="H69" s="57">
        <v>46</v>
      </c>
      <c r="I69" s="35">
        <v>12</v>
      </c>
      <c r="J69" s="35">
        <v>24</v>
      </c>
      <c r="K69" s="35">
        <v>2</v>
      </c>
      <c r="L69" s="35">
        <v>11</v>
      </c>
      <c r="M69" s="35">
        <v>1</v>
      </c>
      <c r="N69" s="35">
        <v>1</v>
      </c>
      <c r="O69" s="35">
        <v>1</v>
      </c>
      <c r="P69" s="35">
        <v>0</v>
      </c>
      <c r="Q69" s="35">
        <v>154</v>
      </c>
      <c r="R69" s="36">
        <v>6.5</v>
      </c>
      <c r="S69" s="37">
        <v>0.9604166666666667</v>
      </c>
      <c r="T69" s="36">
        <v>28.7</v>
      </c>
      <c r="U69" s="38">
        <v>0</v>
      </c>
      <c r="V69" s="30">
        <f t="shared" si="1"/>
        <v>6.1653536065724541</v>
      </c>
    </row>
    <row r="70" spans="1:22" ht="15.75" thickBot="1">
      <c r="A70" s="55" t="s">
        <v>310</v>
      </c>
      <c r="B70" s="55" t="s">
        <v>250</v>
      </c>
      <c r="C70" s="55"/>
      <c r="D70" s="56" t="s">
        <v>216</v>
      </c>
      <c r="E70" s="31">
        <v>67</v>
      </c>
      <c r="F70" s="31">
        <v>19</v>
      </c>
      <c r="G70" s="31">
        <v>26</v>
      </c>
      <c r="H70" s="57">
        <v>45</v>
      </c>
      <c r="I70" s="31">
        <v>8</v>
      </c>
      <c r="J70" s="31">
        <v>42</v>
      </c>
      <c r="K70" s="31">
        <v>3</v>
      </c>
      <c r="L70" s="31">
        <v>11</v>
      </c>
      <c r="M70" s="31">
        <v>3</v>
      </c>
      <c r="N70" s="31">
        <v>3</v>
      </c>
      <c r="O70" s="31">
        <v>4</v>
      </c>
      <c r="P70" s="31">
        <v>0</v>
      </c>
      <c r="Q70" s="31">
        <v>196</v>
      </c>
      <c r="R70" s="32">
        <v>9.6999999999999993</v>
      </c>
      <c r="S70" s="33">
        <v>0.7944444444444444</v>
      </c>
      <c r="T70" s="32">
        <v>26.8</v>
      </c>
      <c r="U70" s="34">
        <v>51</v>
      </c>
      <c r="V70" s="30">
        <f t="shared" si="1"/>
        <v>6.348602802589526</v>
      </c>
    </row>
    <row r="71" spans="1:22" ht="15.75" thickBot="1">
      <c r="A71" s="58" t="s">
        <v>311</v>
      </c>
      <c r="B71" s="58" t="s">
        <v>247</v>
      </c>
      <c r="C71" s="58"/>
      <c r="D71" s="59" t="s">
        <v>219</v>
      </c>
      <c r="E71" s="35">
        <v>61</v>
      </c>
      <c r="F71" s="35">
        <v>18</v>
      </c>
      <c r="G71" s="35">
        <v>27</v>
      </c>
      <c r="H71" s="57">
        <v>45</v>
      </c>
      <c r="I71" s="35">
        <v>-12</v>
      </c>
      <c r="J71" s="35">
        <v>88</v>
      </c>
      <c r="K71" s="35">
        <v>7</v>
      </c>
      <c r="L71" s="35">
        <v>14</v>
      </c>
      <c r="M71" s="35">
        <v>0</v>
      </c>
      <c r="N71" s="35">
        <v>0</v>
      </c>
      <c r="O71" s="35">
        <v>0</v>
      </c>
      <c r="P71" s="35">
        <v>0</v>
      </c>
      <c r="Q71" s="35">
        <v>160</v>
      </c>
      <c r="R71" s="36">
        <v>11.3</v>
      </c>
      <c r="S71" s="37">
        <v>0.7319444444444444</v>
      </c>
      <c r="T71" s="36">
        <v>23</v>
      </c>
      <c r="U71" s="38">
        <v>50</v>
      </c>
      <c r="V71" s="30">
        <f t="shared" si="1"/>
        <v>6.9996175219924854</v>
      </c>
    </row>
    <row r="72" spans="1:22" ht="15.75" thickBot="1">
      <c r="A72" s="55" t="s">
        <v>312</v>
      </c>
      <c r="B72" s="55" t="s">
        <v>282</v>
      </c>
      <c r="C72" s="55"/>
      <c r="D72" s="56" t="s">
        <v>216</v>
      </c>
      <c r="E72" s="31">
        <v>65</v>
      </c>
      <c r="F72" s="31">
        <v>16</v>
      </c>
      <c r="G72" s="31">
        <v>29</v>
      </c>
      <c r="H72" s="57">
        <v>45</v>
      </c>
      <c r="I72" s="31">
        <v>-3</v>
      </c>
      <c r="J72" s="31">
        <v>32</v>
      </c>
      <c r="K72" s="31">
        <v>2</v>
      </c>
      <c r="L72" s="31">
        <v>10</v>
      </c>
      <c r="M72" s="31">
        <v>1</v>
      </c>
      <c r="N72" s="31">
        <v>1</v>
      </c>
      <c r="O72" s="31">
        <v>3</v>
      </c>
      <c r="P72" s="31">
        <v>0</v>
      </c>
      <c r="Q72" s="31">
        <v>177</v>
      </c>
      <c r="R72" s="32">
        <v>9</v>
      </c>
      <c r="S72" s="33">
        <v>0.79583333333333339</v>
      </c>
      <c r="T72" s="32">
        <v>23.6</v>
      </c>
      <c r="U72" s="34">
        <v>48.8</v>
      </c>
      <c r="V72" s="30">
        <f t="shared" si="1"/>
        <v>6.4517763282882656</v>
      </c>
    </row>
    <row r="73" spans="1:22" ht="15.75" thickBot="1">
      <c r="A73" s="58" t="s">
        <v>313</v>
      </c>
      <c r="B73" s="58" t="s">
        <v>230</v>
      </c>
      <c r="C73" s="58"/>
      <c r="D73" s="59" t="s">
        <v>216</v>
      </c>
      <c r="E73" s="35">
        <v>68</v>
      </c>
      <c r="F73" s="35">
        <v>11</v>
      </c>
      <c r="G73" s="35">
        <v>34</v>
      </c>
      <c r="H73" s="57">
        <v>45</v>
      </c>
      <c r="I73" s="35">
        <v>-5</v>
      </c>
      <c r="J73" s="35">
        <v>22</v>
      </c>
      <c r="K73" s="35">
        <v>1</v>
      </c>
      <c r="L73" s="35">
        <v>15</v>
      </c>
      <c r="M73" s="35">
        <v>0</v>
      </c>
      <c r="N73" s="35">
        <v>0</v>
      </c>
      <c r="O73" s="35">
        <v>0</v>
      </c>
      <c r="P73" s="35">
        <v>0</v>
      </c>
      <c r="Q73" s="35">
        <v>84</v>
      </c>
      <c r="R73" s="36">
        <v>13.1</v>
      </c>
      <c r="S73" s="37">
        <v>0.79027777777777775</v>
      </c>
      <c r="T73" s="36">
        <v>22.3</v>
      </c>
      <c r="U73" s="38">
        <v>52.9</v>
      </c>
      <c r="V73" s="30">
        <f t="shared" si="1"/>
        <v>6.1811060186961173</v>
      </c>
    </row>
    <row r="74" spans="1:22" ht="15.75" thickBot="1">
      <c r="A74" s="55" t="s">
        <v>314</v>
      </c>
      <c r="B74" s="55" t="s">
        <v>225</v>
      </c>
      <c r="C74" s="55"/>
      <c r="D74" s="56" t="s">
        <v>226</v>
      </c>
      <c r="E74" s="31">
        <v>68</v>
      </c>
      <c r="F74" s="31">
        <v>26</v>
      </c>
      <c r="G74" s="31">
        <v>18</v>
      </c>
      <c r="H74" s="57">
        <v>44</v>
      </c>
      <c r="I74" s="31">
        <v>-3</v>
      </c>
      <c r="J74" s="31">
        <v>52</v>
      </c>
      <c r="K74" s="31">
        <v>13</v>
      </c>
      <c r="L74" s="31">
        <v>21</v>
      </c>
      <c r="M74" s="31">
        <v>0</v>
      </c>
      <c r="N74" s="31">
        <v>0</v>
      </c>
      <c r="O74" s="31">
        <v>6</v>
      </c>
      <c r="P74" s="31">
        <v>0</v>
      </c>
      <c r="Q74" s="31">
        <v>174</v>
      </c>
      <c r="R74" s="32">
        <v>14.9</v>
      </c>
      <c r="S74" s="33">
        <v>0.70486111111111116</v>
      </c>
      <c r="T74" s="32">
        <v>21.4</v>
      </c>
      <c r="U74" s="34">
        <v>80</v>
      </c>
      <c r="V74" s="30">
        <f t="shared" si="1"/>
        <v>6.4449588113407792</v>
      </c>
    </row>
    <row r="75" spans="1:22" ht="15.75" thickBot="1">
      <c r="A75" s="58" t="s">
        <v>315</v>
      </c>
      <c r="B75" s="58" t="s">
        <v>234</v>
      </c>
      <c r="C75" s="58"/>
      <c r="D75" s="59" t="s">
        <v>226</v>
      </c>
      <c r="E75" s="35">
        <v>65</v>
      </c>
      <c r="F75" s="35">
        <v>18</v>
      </c>
      <c r="G75" s="35">
        <v>26</v>
      </c>
      <c r="H75" s="57">
        <v>44</v>
      </c>
      <c r="I75" s="35">
        <v>5</v>
      </c>
      <c r="J75" s="35">
        <v>18</v>
      </c>
      <c r="K75" s="35">
        <v>5</v>
      </c>
      <c r="L75" s="35">
        <v>13</v>
      </c>
      <c r="M75" s="35">
        <v>0</v>
      </c>
      <c r="N75" s="35">
        <v>0</v>
      </c>
      <c r="O75" s="35">
        <v>1</v>
      </c>
      <c r="P75" s="35">
        <v>0</v>
      </c>
      <c r="Q75" s="35">
        <v>127</v>
      </c>
      <c r="R75" s="36">
        <v>14.2</v>
      </c>
      <c r="S75" s="37">
        <v>0.73333333333333339</v>
      </c>
      <c r="T75" s="36">
        <v>23</v>
      </c>
      <c r="U75" s="38">
        <v>45.9</v>
      </c>
      <c r="V75" s="30">
        <f t="shared" si="1"/>
        <v>6.5324543610547661</v>
      </c>
    </row>
    <row r="76" spans="1:22" ht="15.75" thickBot="1">
      <c r="A76" s="55" t="s">
        <v>316</v>
      </c>
      <c r="B76" s="55" t="s">
        <v>215</v>
      </c>
      <c r="C76" s="55"/>
      <c r="D76" s="56" t="s">
        <v>226</v>
      </c>
      <c r="E76" s="31">
        <v>47</v>
      </c>
      <c r="F76" s="31">
        <v>14</v>
      </c>
      <c r="G76" s="31">
        <v>30</v>
      </c>
      <c r="H76" s="57">
        <v>44</v>
      </c>
      <c r="I76" s="31">
        <v>-2</v>
      </c>
      <c r="J76" s="31">
        <v>10</v>
      </c>
      <c r="K76" s="31">
        <v>4</v>
      </c>
      <c r="L76" s="31">
        <v>16</v>
      </c>
      <c r="M76" s="31">
        <v>0</v>
      </c>
      <c r="N76" s="31">
        <v>0</v>
      </c>
      <c r="O76" s="31">
        <v>1</v>
      </c>
      <c r="P76" s="31">
        <v>0</v>
      </c>
      <c r="Q76" s="31">
        <v>157</v>
      </c>
      <c r="R76" s="32">
        <v>8.9</v>
      </c>
      <c r="S76" s="33">
        <v>0.82361111111111107</v>
      </c>
      <c r="T76" s="32">
        <v>22.2</v>
      </c>
      <c r="U76" s="34">
        <v>50.4</v>
      </c>
      <c r="V76" s="30">
        <f t="shared" si="1"/>
        <v>8.6317195713414456</v>
      </c>
    </row>
    <row r="77" spans="1:22" ht="15.75" thickBot="1">
      <c r="A77" s="58" t="s">
        <v>317</v>
      </c>
      <c r="B77" s="58" t="s">
        <v>318</v>
      </c>
      <c r="C77" s="58"/>
      <c r="D77" s="59" t="s">
        <v>279</v>
      </c>
      <c r="E77" s="35">
        <v>65</v>
      </c>
      <c r="F77" s="35">
        <v>13</v>
      </c>
      <c r="G77" s="35">
        <v>31</v>
      </c>
      <c r="H77" s="57">
        <v>44</v>
      </c>
      <c r="I77" s="35">
        <v>-15</v>
      </c>
      <c r="J77" s="35">
        <v>26</v>
      </c>
      <c r="K77" s="35">
        <v>6</v>
      </c>
      <c r="L77" s="35">
        <v>18</v>
      </c>
      <c r="M77" s="35">
        <v>2</v>
      </c>
      <c r="N77" s="35">
        <v>2</v>
      </c>
      <c r="O77" s="35">
        <v>4</v>
      </c>
      <c r="P77" s="35">
        <v>0</v>
      </c>
      <c r="Q77" s="35">
        <v>182</v>
      </c>
      <c r="R77" s="36">
        <v>7.1</v>
      </c>
      <c r="S77" s="43">
        <v>1.007638888888889</v>
      </c>
      <c r="T77" s="36">
        <v>30.4</v>
      </c>
      <c r="U77" s="38">
        <v>0</v>
      </c>
      <c r="V77" s="30">
        <f t="shared" si="1"/>
        <v>6.1765578478921839</v>
      </c>
    </row>
    <row r="78" spans="1:22" ht="15.75" thickBot="1">
      <c r="A78" s="55" t="s">
        <v>319</v>
      </c>
      <c r="B78" s="55" t="s">
        <v>299</v>
      </c>
      <c r="C78" s="55"/>
      <c r="D78" s="56" t="s">
        <v>279</v>
      </c>
      <c r="E78" s="31">
        <v>65</v>
      </c>
      <c r="F78" s="31">
        <v>11</v>
      </c>
      <c r="G78" s="31">
        <v>33</v>
      </c>
      <c r="H78" s="57">
        <v>44</v>
      </c>
      <c r="I78" s="31">
        <v>5</v>
      </c>
      <c r="J78" s="31">
        <v>26</v>
      </c>
      <c r="K78" s="31">
        <v>2</v>
      </c>
      <c r="L78" s="31">
        <v>13</v>
      </c>
      <c r="M78" s="31">
        <v>0</v>
      </c>
      <c r="N78" s="31">
        <v>0</v>
      </c>
      <c r="O78" s="31">
        <v>0</v>
      </c>
      <c r="P78" s="31">
        <v>0</v>
      </c>
      <c r="Q78" s="31">
        <v>121</v>
      </c>
      <c r="R78" s="32">
        <v>9.1</v>
      </c>
      <c r="S78" s="33">
        <v>0.875</v>
      </c>
      <c r="T78" s="32">
        <v>25.2</v>
      </c>
      <c r="U78" s="34">
        <v>0</v>
      </c>
      <c r="V78" s="30">
        <f t="shared" si="1"/>
        <v>6.2041745730550284</v>
      </c>
    </row>
    <row r="79" spans="1:22" ht="15.75" thickBot="1">
      <c r="A79" s="58" t="s">
        <v>320</v>
      </c>
      <c r="B79" s="58" t="s">
        <v>232</v>
      </c>
      <c r="C79" s="58"/>
      <c r="D79" s="59" t="s">
        <v>219</v>
      </c>
      <c r="E79" s="35">
        <v>66</v>
      </c>
      <c r="F79" s="35">
        <v>20</v>
      </c>
      <c r="G79" s="35">
        <v>23</v>
      </c>
      <c r="H79" s="57">
        <v>43</v>
      </c>
      <c r="I79" s="35">
        <v>7</v>
      </c>
      <c r="J79" s="35">
        <v>12</v>
      </c>
      <c r="K79" s="35">
        <v>2</v>
      </c>
      <c r="L79" s="35">
        <v>7</v>
      </c>
      <c r="M79" s="35">
        <v>0</v>
      </c>
      <c r="N79" s="35">
        <v>0</v>
      </c>
      <c r="O79" s="35">
        <v>5</v>
      </c>
      <c r="P79" s="35">
        <v>1</v>
      </c>
      <c r="Q79" s="35">
        <v>156</v>
      </c>
      <c r="R79" s="36">
        <v>12.8</v>
      </c>
      <c r="S79" s="37">
        <v>0.71875</v>
      </c>
      <c r="T79" s="36">
        <v>23</v>
      </c>
      <c r="U79" s="38">
        <v>43.8</v>
      </c>
      <c r="V79" s="30">
        <f t="shared" si="1"/>
        <v>6.3115690866510539</v>
      </c>
    </row>
    <row r="80" spans="1:22" ht="30.75" thickBot="1">
      <c r="A80" s="55" t="s">
        <v>321</v>
      </c>
      <c r="B80" s="55" t="s">
        <v>292</v>
      </c>
      <c r="C80" s="55"/>
      <c r="D80" s="56" t="s">
        <v>216</v>
      </c>
      <c r="E80" s="31">
        <v>65</v>
      </c>
      <c r="F80" s="31">
        <v>19</v>
      </c>
      <c r="G80" s="31">
        <v>24</v>
      </c>
      <c r="H80" s="57">
        <v>43</v>
      </c>
      <c r="I80" s="31">
        <v>-11</v>
      </c>
      <c r="J80" s="31">
        <v>17</v>
      </c>
      <c r="K80" s="31">
        <v>2</v>
      </c>
      <c r="L80" s="31">
        <v>10</v>
      </c>
      <c r="M80" s="31">
        <v>0</v>
      </c>
      <c r="N80" s="31">
        <v>1</v>
      </c>
      <c r="O80" s="31">
        <v>1</v>
      </c>
      <c r="P80" s="31">
        <v>0</v>
      </c>
      <c r="Q80" s="31">
        <v>156</v>
      </c>
      <c r="R80" s="32">
        <v>12.2</v>
      </c>
      <c r="S80" s="33">
        <v>0.87013888888888891</v>
      </c>
      <c r="T80" s="32">
        <v>27.2</v>
      </c>
      <c r="U80" s="34">
        <v>46.1</v>
      </c>
      <c r="V80" s="30">
        <f t="shared" si="1"/>
        <v>6.3518918747957365</v>
      </c>
    </row>
    <row r="81" spans="1:22" ht="15.75" thickBot="1">
      <c r="A81" s="58" t="s">
        <v>322</v>
      </c>
      <c r="B81" s="58" t="s">
        <v>318</v>
      </c>
      <c r="C81" s="58"/>
      <c r="D81" s="59" t="s">
        <v>216</v>
      </c>
      <c r="E81" s="35">
        <v>60</v>
      </c>
      <c r="F81" s="35">
        <v>19</v>
      </c>
      <c r="G81" s="35">
        <v>24</v>
      </c>
      <c r="H81" s="57">
        <v>43</v>
      </c>
      <c r="I81" s="35">
        <v>-10</v>
      </c>
      <c r="J81" s="35">
        <v>35</v>
      </c>
      <c r="K81" s="35">
        <v>7</v>
      </c>
      <c r="L81" s="35">
        <v>16</v>
      </c>
      <c r="M81" s="35">
        <v>0</v>
      </c>
      <c r="N81" s="35">
        <v>0</v>
      </c>
      <c r="O81" s="35">
        <v>3</v>
      </c>
      <c r="P81" s="35">
        <v>0</v>
      </c>
      <c r="Q81" s="35">
        <v>190</v>
      </c>
      <c r="R81" s="36">
        <v>10</v>
      </c>
      <c r="S81" s="37">
        <v>0.78194444444444444</v>
      </c>
      <c r="T81" s="36">
        <v>24.7</v>
      </c>
      <c r="U81" s="38">
        <v>50.4</v>
      </c>
      <c r="V81" s="30">
        <f t="shared" si="1"/>
        <v>6.8112332335534589</v>
      </c>
    </row>
    <row r="82" spans="1:22" ht="15.75" thickBot="1">
      <c r="A82" s="55" t="s">
        <v>323</v>
      </c>
      <c r="B82" s="55" t="s">
        <v>299</v>
      </c>
      <c r="C82" s="55"/>
      <c r="D82" s="56" t="s">
        <v>219</v>
      </c>
      <c r="E82" s="31">
        <v>65</v>
      </c>
      <c r="F82" s="31">
        <v>18</v>
      </c>
      <c r="G82" s="31">
        <v>25</v>
      </c>
      <c r="H82" s="57">
        <v>43</v>
      </c>
      <c r="I82" s="31">
        <v>0</v>
      </c>
      <c r="J82" s="31">
        <v>36</v>
      </c>
      <c r="K82" s="31">
        <v>1</v>
      </c>
      <c r="L82" s="31">
        <v>10</v>
      </c>
      <c r="M82" s="31">
        <v>1</v>
      </c>
      <c r="N82" s="31">
        <v>1</v>
      </c>
      <c r="O82" s="31">
        <v>3</v>
      </c>
      <c r="P82" s="31">
        <v>0</v>
      </c>
      <c r="Q82" s="31">
        <v>85</v>
      </c>
      <c r="R82" s="32">
        <v>21.2</v>
      </c>
      <c r="S82" s="33">
        <v>0.74236111111111114</v>
      </c>
      <c r="T82" s="32">
        <v>23.6</v>
      </c>
      <c r="U82" s="34">
        <v>42.8</v>
      </c>
      <c r="V82" s="30">
        <f t="shared" si="1"/>
        <v>6.6152172305612185</v>
      </c>
    </row>
    <row r="83" spans="1:22" ht="15.75" thickBot="1">
      <c r="A83" s="58" t="s">
        <v>324</v>
      </c>
      <c r="B83" s="58" t="s">
        <v>282</v>
      </c>
      <c r="C83" s="58"/>
      <c r="D83" s="59" t="s">
        <v>226</v>
      </c>
      <c r="E83" s="35">
        <v>63</v>
      </c>
      <c r="F83" s="35">
        <v>16</v>
      </c>
      <c r="G83" s="35">
        <v>27</v>
      </c>
      <c r="H83" s="57">
        <v>43</v>
      </c>
      <c r="I83" s="35">
        <v>12</v>
      </c>
      <c r="J83" s="35">
        <v>12</v>
      </c>
      <c r="K83" s="35">
        <v>2</v>
      </c>
      <c r="L83" s="35">
        <v>8</v>
      </c>
      <c r="M83" s="35">
        <v>1</v>
      </c>
      <c r="N83" s="35">
        <v>1</v>
      </c>
      <c r="O83" s="35">
        <v>3</v>
      </c>
      <c r="P83" s="35">
        <v>0</v>
      </c>
      <c r="Q83" s="35">
        <v>107</v>
      </c>
      <c r="R83" s="36">
        <v>15</v>
      </c>
      <c r="S83" s="37">
        <v>0.68263888888888891</v>
      </c>
      <c r="T83" s="36">
        <v>21.9</v>
      </c>
      <c r="U83" s="38">
        <v>37.5</v>
      </c>
      <c r="V83" s="30">
        <f t="shared" si="1"/>
        <v>6.5873526493135452</v>
      </c>
    </row>
    <row r="84" spans="1:22" ht="15.75" thickBot="1">
      <c r="A84" s="55" t="s">
        <v>325</v>
      </c>
      <c r="B84" s="55" t="s">
        <v>265</v>
      </c>
      <c r="C84" s="55"/>
      <c r="D84" s="56" t="s">
        <v>279</v>
      </c>
      <c r="E84" s="31">
        <v>68</v>
      </c>
      <c r="F84" s="31">
        <v>15</v>
      </c>
      <c r="G84" s="31">
        <v>28</v>
      </c>
      <c r="H84" s="57">
        <v>43</v>
      </c>
      <c r="I84" s="31">
        <v>14</v>
      </c>
      <c r="J84" s="31">
        <v>68</v>
      </c>
      <c r="K84" s="31">
        <v>5</v>
      </c>
      <c r="L84" s="31">
        <v>13</v>
      </c>
      <c r="M84" s="31">
        <v>1</v>
      </c>
      <c r="N84" s="31">
        <v>1</v>
      </c>
      <c r="O84" s="31">
        <v>2</v>
      </c>
      <c r="P84" s="31">
        <v>1</v>
      </c>
      <c r="Q84" s="31">
        <v>200</v>
      </c>
      <c r="R84" s="32">
        <v>7.5</v>
      </c>
      <c r="S84" s="44">
        <v>1.1041666666666667</v>
      </c>
      <c r="T84" s="32">
        <v>30.6</v>
      </c>
      <c r="U84" s="34">
        <v>0</v>
      </c>
      <c r="V84" s="30">
        <f t="shared" si="1"/>
        <v>5.8317757009345792</v>
      </c>
    </row>
    <row r="85" spans="1:22" ht="15.75" thickBot="1">
      <c r="A85" s="58" t="s">
        <v>326</v>
      </c>
      <c r="B85" s="58" t="s">
        <v>215</v>
      </c>
      <c r="C85" s="58"/>
      <c r="D85" s="59" t="s">
        <v>216</v>
      </c>
      <c r="E85" s="35">
        <v>69</v>
      </c>
      <c r="F85" s="35">
        <v>14</v>
      </c>
      <c r="G85" s="35">
        <v>29</v>
      </c>
      <c r="H85" s="57">
        <v>43</v>
      </c>
      <c r="I85" s="35">
        <v>19</v>
      </c>
      <c r="J85" s="35">
        <v>45</v>
      </c>
      <c r="K85" s="35">
        <v>1</v>
      </c>
      <c r="L85" s="35">
        <v>6</v>
      </c>
      <c r="M85" s="35">
        <v>1</v>
      </c>
      <c r="N85" s="35">
        <v>1</v>
      </c>
      <c r="O85" s="35">
        <v>1</v>
      </c>
      <c r="P85" s="35">
        <v>0</v>
      </c>
      <c r="Q85" s="35">
        <v>155</v>
      </c>
      <c r="R85" s="36">
        <v>9</v>
      </c>
      <c r="S85" s="37">
        <v>0.62777777777777777</v>
      </c>
      <c r="T85" s="36">
        <v>20</v>
      </c>
      <c r="U85" s="38">
        <v>45.3</v>
      </c>
      <c r="V85" s="30">
        <f t="shared" si="1"/>
        <v>5.8094630176334476</v>
      </c>
    </row>
    <row r="86" spans="1:22" ht="15.75" thickBot="1">
      <c r="A86" s="55" t="s">
        <v>327</v>
      </c>
      <c r="B86" s="55" t="s">
        <v>234</v>
      </c>
      <c r="C86" s="55"/>
      <c r="D86" s="56" t="s">
        <v>216</v>
      </c>
      <c r="E86" s="31">
        <v>51</v>
      </c>
      <c r="F86" s="31">
        <v>11</v>
      </c>
      <c r="G86" s="31">
        <v>32</v>
      </c>
      <c r="H86" s="57">
        <v>43</v>
      </c>
      <c r="I86" s="31">
        <v>15</v>
      </c>
      <c r="J86" s="31">
        <v>16</v>
      </c>
      <c r="K86" s="31">
        <v>2</v>
      </c>
      <c r="L86" s="31">
        <v>9</v>
      </c>
      <c r="M86" s="31">
        <v>1</v>
      </c>
      <c r="N86" s="31">
        <v>4</v>
      </c>
      <c r="O86" s="31">
        <v>2</v>
      </c>
      <c r="P86" s="31">
        <v>0</v>
      </c>
      <c r="Q86" s="31">
        <v>105</v>
      </c>
      <c r="R86" s="32">
        <v>10.5</v>
      </c>
      <c r="S86" s="33">
        <v>0.76041666666666663</v>
      </c>
      <c r="T86" s="32">
        <v>25.2</v>
      </c>
      <c r="U86" s="34">
        <v>42.4</v>
      </c>
      <c r="V86" s="30">
        <f t="shared" si="1"/>
        <v>7.7858724089353997</v>
      </c>
    </row>
    <row r="87" spans="1:22" ht="15.75" thickBot="1">
      <c r="A87" s="58" t="s">
        <v>328</v>
      </c>
      <c r="B87" s="58" t="s">
        <v>225</v>
      </c>
      <c r="C87" s="58"/>
      <c r="D87" s="59" t="s">
        <v>279</v>
      </c>
      <c r="E87" s="35">
        <v>68</v>
      </c>
      <c r="F87" s="35">
        <v>9</v>
      </c>
      <c r="G87" s="35">
        <v>34</v>
      </c>
      <c r="H87" s="57">
        <v>43</v>
      </c>
      <c r="I87" s="35">
        <v>-9</v>
      </c>
      <c r="J87" s="35">
        <v>32</v>
      </c>
      <c r="K87" s="35">
        <v>4</v>
      </c>
      <c r="L87" s="35">
        <v>25</v>
      </c>
      <c r="M87" s="35">
        <v>0</v>
      </c>
      <c r="N87" s="35">
        <v>0</v>
      </c>
      <c r="O87" s="35">
        <v>0</v>
      </c>
      <c r="P87" s="35">
        <v>0</v>
      </c>
      <c r="Q87" s="35">
        <v>117</v>
      </c>
      <c r="R87" s="36">
        <v>7.7</v>
      </c>
      <c r="S87" s="37">
        <v>0.92638888888888893</v>
      </c>
      <c r="T87" s="36">
        <v>27.5</v>
      </c>
      <c r="U87" s="38">
        <v>0</v>
      </c>
      <c r="V87" s="30">
        <f t="shared" si="1"/>
        <v>5.7220464666411424</v>
      </c>
    </row>
    <row r="88" spans="1:22" ht="15.75" thickBot="1">
      <c r="A88" s="55" t="s">
        <v>329</v>
      </c>
      <c r="B88" s="55" t="s">
        <v>282</v>
      </c>
      <c r="C88" s="55"/>
      <c r="D88" s="56" t="s">
        <v>219</v>
      </c>
      <c r="E88" s="31">
        <v>62</v>
      </c>
      <c r="F88" s="31">
        <v>24</v>
      </c>
      <c r="G88" s="31">
        <v>18</v>
      </c>
      <c r="H88" s="57">
        <v>42</v>
      </c>
      <c r="I88" s="31">
        <v>23</v>
      </c>
      <c r="J88" s="31">
        <v>8</v>
      </c>
      <c r="K88" s="31">
        <v>1</v>
      </c>
      <c r="L88" s="31">
        <v>3</v>
      </c>
      <c r="M88" s="31">
        <v>0</v>
      </c>
      <c r="N88" s="31">
        <v>0</v>
      </c>
      <c r="O88" s="31">
        <v>4</v>
      </c>
      <c r="P88" s="31">
        <v>1</v>
      </c>
      <c r="Q88" s="31">
        <v>156</v>
      </c>
      <c r="R88" s="32">
        <v>15.4</v>
      </c>
      <c r="S88" s="33">
        <v>0.59930555555555554</v>
      </c>
      <c r="T88" s="32">
        <v>19.5</v>
      </c>
      <c r="U88" s="34">
        <v>45.4</v>
      </c>
      <c r="V88" s="30">
        <f t="shared" si="1"/>
        <v>6.7700431536558581</v>
      </c>
    </row>
    <row r="89" spans="1:22" ht="15.75" thickBot="1">
      <c r="A89" s="58" t="s">
        <v>330</v>
      </c>
      <c r="B89" s="58" t="s">
        <v>222</v>
      </c>
      <c r="C89" s="58"/>
      <c r="D89" s="59" t="s">
        <v>226</v>
      </c>
      <c r="E89" s="35">
        <v>53</v>
      </c>
      <c r="F89" s="35">
        <v>22</v>
      </c>
      <c r="G89" s="35">
        <v>20</v>
      </c>
      <c r="H89" s="57">
        <v>42</v>
      </c>
      <c r="I89" s="35">
        <v>12</v>
      </c>
      <c r="J89" s="35">
        <v>28</v>
      </c>
      <c r="K89" s="35">
        <v>6</v>
      </c>
      <c r="L89" s="35">
        <v>15</v>
      </c>
      <c r="M89" s="35">
        <v>0</v>
      </c>
      <c r="N89" s="35">
        <v>0</v>
      </c>
      <c r="O89" s="35">
        <v>4</v>
      </c>
      <c r="P89" s="35">
        <v>1</v>
      </c>
      <c r="Q89" s="35">
        <v>175</v>
      </c>
      <c r="R89" s="36">
        <v>12.6</v>
      </c>
      <c r="S89" s="37">
        <v>0.73125000000000007</v>
      </c>
      <c r="T89" s="36">
        <v>22.9</v>
      </c>
      <c r="U89" s="38">
        <v>16.7</v>
      </c>
      <c r="V89" s="30">
        <f t="shared" si="1"/>
        <v>7.7273467488658829</v>
      </c>
    </row>
    <row r="90" spans="1:22" ht="15.75" thickBot="1">
      <c r="A90" s="55" t="s">
        <v>331</v>
      </c>
      <c r="B90" s="55" t="s">
        <v>299</v>
      </c>
      <c r="C90" s="55"/>
      <c r="D90" s="56" t="s">
        <v>216</v>
      </c>
      <c r="E90" s="31">
        <v>67</v>
      </c>
      <c r="F90" s="31">
        <v>17</v>
      </c>
      <c r="G90" s="31">
        <v>25</v>
      </c>
      <c r="H90" s="57">
        <v>42</v>
      </c>
      <c r="I90" s="31">
        <v>3</v>
      </c>
      <c r="J90" s="31">
        <v>14</v>
      </c>
      <c r="K90" s="31">
        <v>1</v>
      </c>
      <c r="L90" s="31">
        <v>4</v>
      </c>
      <c r="M90" s="31">
        <v>0</v>
      </c>
      <c r="N90" s="31">
        <v>0</v>
      </c>
      <c r="O90" s="31">
        <v>2</v>
      </c>
      <c r="P90" s="31">
        <v>0</v>
      </c>
      <c r="Q90" s="31">
        <v>166</v>
      </c>
      <c r="R90" s="32">
        <v>10.199999999999999</v>
      </c>
      <c r="S90" s="33">
        <v>0.76944444444444438</v>
      </c>
      <c r="T90" s="32">
        <v>22.6</v>
      </c>
      <c r="U90" s="34">
        <v>52.1</v>
      </c>
      <c r="V90" s="30">
        <f t="shared" si="1"/>
        <v>5.945157191457966</v>
      </c>
    </row>
    <row r="91" spans="1:22" ht="15.75" thickBot="1">
      <c r="A91" s="58" t="s">
        <v>332</v>
      </c>
      <c r="B91" s="58" t="s">
        <v>269</v>
      </c>
      <c r="C91" s="58"/>
      <c r="D91" s="59" t="s">
        <v>219</v>
      </c>
      <c r="E91" s="35">
        <v>66</v>
      </c>
      <c r="F91" s="35">
        <v>16</v>
      </c>
      <c r="G91" s="35">
        <v>26</v>
      </c>
      <c r="H91" s="57">
        <v>42</v>
      </c>
      <c r="I91" s="35">
        <v>-9</v>
      </c>
      <c r="J91" s="35">
        <v>29</v>
      </c>
      <c r="K91" s="35">
        <v>5</v>
      </c>
      <c r="L91" s="35">
        <v>14</v>
      </c>
      <c r="M91" s="35">
        <v>0</v>
      </c>
      <c r="N91" s="35">
        <v>0</v>
      </c>
      <c r="O91" s="35">
        <v>1</v>
      </c>
      <c r="P91" s="35">
        <v>0</v>
      </c>
      <c r="Q91" s="35">
        <v>144</v>
      </c>
      <c r="R91" s="36">
        <v>11.1</v>
      </c>
      <c r="S91" s="37">
        <v>0.6875</v>
      </c>
      <c r="T91" s="36">
        <v>20.100000000000001</v>
      </c>
      <c r="U91" s="38">
        <v>47.4</v>
      </c>
      <c r="V91" s="30">
        <f t="shared" si="1"/>
        <v>6.0461105904404873</v>
      </c>
    </row>
    <row r="92" spans="1:22" ht="15.75" thickBot="1">
      <c r="A92" s="60" t="s">
        <v>333</v>
      </c>
      <c r="B92" s="60" t="s">
        <v>260</v>
      </c>
      <c r="C92" s="60"/>
      <c r="D92" s="64" t="s">
        <v>279</v>
      </c>
      <c r="E92" s="45">
        <v>65</v>
      </c>
      <c r="F92" s="45">
        <v>15</v>
      </c>
      <c r="G92" s="45">
        <v>27</v>
      </c>
      <c r="H92" s="65">
        <v>42</v>
      </c>
      <c r="I92" s="45">
        <v>6</v>
      </c>
      <c r="J92" s="45">
        <v>118</v>
      </c>
      <c r="K92" s="45">
        <v>3</v>
      </c>
      <c r="L92" s="45">
        <v>15</v>
      </c>
      <c r="M92" s="45">
        <v>0</v>
      </c>
      <c r="N92" s="45">
        <v>1</v>
      </c>
      <c r="O92" s="45">
        <v>3</v>
      </c>
      <c r="P92" s="45">
        <v>1</v>
      </c>
      <c r="Q92" s="45">
        <v>196</v>
      </c>
      <c r="R92" s="46">
        <v>7.7</v>
      </c>
      <c r="S92" s="47">
        <v>0.94791666666666663</v>
      </c>
      <c r="T92" s="46">
        <v>25</v>
      </c>
      <c r="U92" s="48">
        <v>0</v>
      </c>
      <c r="V92" s="30">
        <f t="shared" si="1"/>
        <v>5.9880587584899692</v>
      </c>
    </row>
    <row r="93" spans="1:22" ht="15.75" thickBot="1">
      <c r="A93" s="52" t="s">
        <v>334</v>
      </c>
      <c r="B93" s="52" t="s">
        <v>242</v>
      </c>
      <c r="C93" s="52"/>
      <c r="D93" s="53" t="s">
        <v>216</v>
      </c>
      <c r="E93" s="26">
        <v>68</v>
      </c>
      <c r="F93" s="26">
        <v>17</v>
      </c>
      <c r="G93" s="26">
        <v>24</v>
      </c>
      <c r="H93" s="54">
        <v>41</v>
      </c>
      <c r="I93" s="26">
        <v>-2</v>
      </c>
      <c r="J93" s="26">
        <v>64</v>
      </c>
      <c r="K93" s="26">
        <v>4</v>
      </c>
      <c r="L93" s="26">
        <v>9</v>
      </c>
      <c r="M93" s="26">
        <v>1</v>
      </c>
      <c r="N93" s="26">
        <v>3</v>
      </c>
      <c r="O93" s="26">
        <v>3</v>
      </c>
      <c r="P93" s="26">
        <v>1</v>
      </c>
      <c r="Q93" s="26">
        <v>179</v>
      </c>
      <c r="R93" s="27">
        <v>9.5</v>
      </c>
      <c r="S93" s="28">
        <v>0.82013888888888886</v>
      </c>
      <c r="T93" s="27">
        <v>24.2</v>
      </c>
      <c r="U93" s="29">
        <v>55.8</v>
      </c>
      <c r="V93" s="30">
        <f t="shared" si="1"/>
        <v>5.7105377342307344</v>
      </c>
    </row>
    <row r="94" spans="1:22" ht="15.75" thickBot="1">
      <c r="A94" s="55" t="s">
        <v>335</v>
      </c>
      <c r="B94" s="55" t="s">
        <v>255</v>
      </c>
      <c r="C94" s="55"/>
      <c r="D94" s="56" t="s">
        <v>279</v>
      </c>
      <c r="E94" s="31">
        <v>65</v>
      </c>
      <c r="F94" s="31">
        <v>12</v>
      </c>
      <c r="G94" s="31">
        <v>29</v>
      </c>
      <c r="H94" s="57">
        <v>41</v>
      </c>
      <c r="I94" s="31">
        <v>-2</v>
      </c>
      <c r="J94" s="31">
        <v>28</v>
      </c>
      <c r="K94" s="31">
        <v>4</v>
      </c>
      <c r="L94" s="31">
        <v>15</v>
      </c>
      <c r="M94" s="31">
        <v>0</v>
      </c>
      <c r="N94" s="31">
        <v>0</v>
      </c>
      <c r="O94" s="31">
        <v>2</v>
      </c>
      <c r="P94" s="31">
        <v>1</v>
      </c>
      <c r="Q94" s="31">
        <v>140</v>
      </c>
      <c r="R94" s="32">
        <v>8.6</v>
      </c>
      <c r="S94" s="44">
        <v>1.0090277777777776</v>
      </c>
      <c r="T94" s="32">
        <v>30.8</v>
      </c>
      <c r="U94" s="34">
        <v>0</v>
      </c>
      <c r="V94" s="30">
        <f t="shared" si="1"/>
        <v>5.8128412569829466</v>
      </c>
    </row>
    <row r="95" spans="1:22" ht="15.75" thickBot="1">
      <c r="A95" s="58" t="s">
        <v>336</v>
      </c>
      <c r="B95" s="58" t="s">
        <v>250</v>
      </c>
      <c r="C95" s="58"/>
      <c r="D95" s="59" t="s">
        <v>216</v>
      </c>
      <c r="E95" s="35">
        <v>67</v>
      </c>
      <c r="F95" s="35">
        <v>11</v>
      </c>
      <c r="G95" s="35">
        <v>30</v>
      </c>
      <c r="H95" s="57">
        <v>41</v>
      </c>
      <c r="I95" s="35">
        <v>22</v>
      </c>
      <c r="J95" s="35">
        <v>18</v>
      </c>
      <c r="K95" s="35">
        <v>2</v>
      </c>
      <c r="L95" s="35">
        <v>9</v>
      </c>
      <c r="M95" s="35">
        <v>0</v>
      </c>
      <c r="N95" s="35">
        <v>0</v>
      </c>
      <c r="O95" s="35">
        <v>4</v>
      </c>
      <c r="P95" s="35">
        <v>2</v>
      </c>
      <c r="Q95" s="35">
        <v>73</v>
      </c>
      <c r="R95" s="36">
        <v>15.1</v>
      </c>
      <c r="S95" s="37">
        <v>0.71875</v>
      </c>
      <c r="T95" s="36">
        <v>22.9</v>
      </c>
      <c r="U95" s="38">
        <v>53.8</v>
      </c>
      <c r="V95" s="30">
        <f t="shared" si="1"/>
        <v>5.8359021688970927</v>
      </c>
    </row>
    <row r="96" spans="1:22" ht="15.75" thickBot="1">
      <c r="A96" s="55" t="s">
        <v>337</v>
      </c>
      <c r="B96" s="66" t="s">
        <v>402</v>
      </c>
      <c r="C96" s="66" t="s">
        <v>433</v>
      </c>
      <c r="D96" s="56" t="s">
        <v>279</v>
      </c>
      <c r="E96" s="31">
        <v>67</v>
      </c>
      <c r="F96" s="31">
        <v>4</v>
      </c>
      <c r="G96" s="31">
        <v>37</v>
      </c>
      <c r="H96" s="57">
        <v>41</v>
      </c>
      <c r="I96" s="31">
        <v>-33</v>
      </c>
      <c r="J96" s="31">
        <v>36</v>
      </c>
      <c r="K96" s="31">
        <v>2</v>
      </c>
      <c r="L96" s="31">
        <v>26</v>
      </c>
      <c r="M96" s="31">
        <v>0</v>
      </c>
      <c r="N96" s="31">
        <v>0</v>
      </c>
      <c r="O96" s="31">
        <v>0</v>
      </c>
      <c r="P96" s="31">
        <v>0</v>
      </c>
      <c r="Q96" s="31">
        <v>192</v>
      </c>
      <c r="R96" s="32">
        <v>2.1</v>
      </c>
      <c r="S96" s="33">
        <v>0.98402777777777783</v>
      </c>
      <c r="T96" s="32">
        <v>27.2</v>
      </c>
      <c r="U96" s="34">
        <v>0</v>
      </c>
      <c r="V96" s="30">
        <f t="shared" si="1"/>
        <v>5.2762393127470704</v>
      </c>
    </row>
    <row r="97" spans="1:22" ht="15.75" thickBot="1">
      <c r="A97" s="58" t="s">
        <v>338</v>
      </c>
      <c r="B97" s="58" t="s">
        <v>339</v>
      </c>
      <c r="C97" s="58"/>
      <c r="D97" s="59" t="s">
        <v>216</v>
      </c>
      <c r="E97" s="35">
        <v>66</v>
      </c>
      <c r="F97" s="35">
        <v>23</v>
      </c>
      <c r="G97" s="35">
        <v>17</v>
      </c>
      <c r="H97" s="57">
        <v>40</v>
      </c>
      <c r="I97" s="35">
        <v>-9</v>
      </c>
      <c r="J97" s="35">
        <v>36</v>
      </c>
      <c r="K97" s="35">
        <v>7</v>
      </c>
      <c r="L97" s="35">
        <v>12</v>
      </c>
      <c r="M97" s="35">
        <v>0</v>
      </c>
      <c r="N97" s="35">
        <v>0</v>
      </c>
      <c r="O97" s="35">
        <v>3</v>
      </c>
      <c r="P97" s="35">
        <v>0</v>
      </c>
      <c r="Q97" s="35">
        <v>191</v>
      </c>
      <c r="R97" s="36">
        <v>12</v>
      </c>
      <c r="S97" s="37">
        <v>0.69236111111111109</v>
      </c>
      <c r="T97" s="36">
        <v>21</v>
      </c>
      <c r="U97" s="38">
        <v>48.7</v>
      </c>
      <c r="V97" s="30">
        <f t="shared" si="1"/>
        <v>5.9751970594666641</v>
      </c>
    </row>
    <row r="98" spans="1:22" ht="15.75" thickBot="1">
      <c r="A98" s="55" t="s">
        <v>340</v>
      </c>
      <c r="B98" s="55" t="s">
        <v>265</v>
      </c>
      <c r="C98" s="55"/>
      <c r="D98" s="56" t="s">
        <v>216</v>
      </c>
      <c r="E98" s="31">
        <v>64</v>
      </c>
      <c r="F98" s="31">
        <v>20</v>
      </c>
      <c r="G98" s="31">
        <v>20</v>
      </c>
      <c r="H98" s="57">
        <v>40</v>
      </c>
      <c r="I98" s="31">
        <v>21</v>
      </c>
      <c r="J98" s="31">
        <v>18</v>
      </c>
      <c r="K98" s="31">
        <v>3</v>
      </c>
      <c r="L98" s="31">
        <v>6</v>
      </c>
      <c r="M98" s="31">
        <v>0</v>
      </c>
      <c r="N98" s="31">
        <v>0</v>
      </c>
      <c r="O98" s="31">
        <v>5</v>
      </c>
      <c r="P98" s="31">
        <v>0</v>
      </c>
      <c r="Q98" s="31">
        <v>145</v>
      </c>
      <c r="R98" s="32">
        <v>13.8</v>
      </c>
      <c r="S98" s="33">
        <v>0.66597222222222219</v>
      </c>
      <c r="T98" s="32">
        <v>20.2</v>
      </c>
      <c r="U98" s="34">
        <v>40.5</v>
      </c>
      <c r="V98" s="30">
        <f t="shared" si="1"/>
        <v>6.1485196361644778</v>
      </c>
    </row>
    <row r="99" spans="1:22" ht="15.75" thickBot="1">
      <c r="A99" s="58" t="s">
        <v>341</v>
      </c>
      <c r="B99" s="58" t="s">
        <v>250</v>
      </c>
      <c r="C99" s="58"/>
      <c r="D99" s="59" t="s">
        <v>226</v>
      </c>
      <c r="E99" s="35">
        <v>67</v>
      </c>
      <c r="F99" s="35">
        <v>19</v>
      </c>
      <c r="G99" s="35">
        <v>21</v>
      </c>
      <c r="H99" s="57">
        <v>40</v>
      </c>
      <c r="I99" s="35">
        <v>21</v>
      </c>
      <c r="J99" s="35">
        <v>22</v>
      </c>
      <c r="K99" s="35">
        <v>3</v>
      </c>
      <c r="L99" s="35">
        <v>7</v>
      </c>
      <c r="M99" s="35">
        <v>0</v>
      </c>
      <c r="N99" s="35">
        <v>0</v>
      </c>
      <c r="O99" s="35">
        <v>5</v>
      </c>
      <c r="P99" s="35">
        <v>0</v>
      </c>
      <c r="Q99" s="35">
        <v>196</v>
      </c>
      <c r="R99" s="36">
        <v>9.6999999999999993</v>
      </c>
      <c r="S99" s="37">
        <v>0.68819444444444444</v>
      </c>
      <c r="T99" s="36">
        <v>23.1</v>
      </c>
      <c r="U99" s="38">
        <v>46.7</v>
      </c>
      <c r="V99" s="30">
        <f t="shared" si="1"/>
        <v>5.7306891280483416</v>
      </c>
    </row>
    <row r="100" spans="1:22" ht="15.75" thickBot="1">
      <c r="A100" s="55" t="s">
        <v>342</v>
      </c>
      <c r="B100" s="55" t="s">
        <v>250</v>
      </c>
      <c r="C100" s="55"/>
      <c r="D100" s="56" t="s">
        <v>216</v>
      </c>
      <c r="E100" s="31">
        <v>65</v>
      </c>
      <c r="F100" s="31">
        <v>19</v>
      </c>
      <c r="G100" s="31">
        <v>21</v>
      </c>
      <c r="H100" s="57">
        <v>40</v>
      </c>
      <c r="I100" s="31">
        <v>9</v>
      </c>
      <c r="J100" s="31">
        <v>25</v>
      </c>
      <c r="K100" s="31">
        <v>2</v>
      </c>
      <c r="L100" s="31">
        <v>10</v>
      </c>
      <c r="M100" s="31">
        <v>0</v>
      </c>
      <c r="N100" s="31">
        <v>0</v>
      </c>
      <c r="O100" s="31">
        <v>1</v>
      </c>
      <c r="P100" s="31">
        <v>0</v>
      </c>
      <c r="Q100" s="31">
        <v>133</v>
      </c>
      <c r="R100" s="32">
        <v>14.3</v>
      </c>
      <c r="S100" s="33">
        <v>0.68472222222222223</v>
      </c>
      <c r="T100" s="32">
        <v>22.8</v>
      </c>
      <c r="U100" s="34">
        <v>47.1</v>
      </c>
      <c r="V100" s="30">
        <f t="shared" si="1"/>
        <v>6.0455458524517374</v>
      </c>
    </row>
    <row r="101" spans="1:22" ht="15.75" thickBot="1">
      <c r="A101" s="58" t="s">
        <v>343</v>
      </c>
      <c r="B101" s="58" t="s">
        <v>277</v>
      </c>
      <c r="C101" s="58"/>
      <c r="D101" s="59" t="s">
        <v>216</v>
      </c>
      <c r="E101" s="35">
        <v>60</v>
      </c>
      <c r="F101" s="35">
        <v>19</v>
      </c>
      <c r="G101" s="35">
        <v>21</v>
      </c>
      <c r="H101" s="57">
        <v>40</v>
      </c>
      <c r="I101" s="35">
        <v>20</v>
      </c>
      <c r="J101" s="35">
        <v>20</v>
      </c>
      <c r="K101" s="35">
        <v>1</v>
      </c>
      <c r="L101" s="35">
        <v>3</v>
      </c>
      <c r="M101" s="35">
        <v>4</v>
      </c>
      <c r="N101" s="35">
        <v>5</v>
      </c>
      <c r="O101" s="35">
        <v>1</v>
      </c>
      <c r="P101" s="35">
        <v>0</v>
      </c>
      <c r="Q101" s="35">
        <v>162</v>
      </c>
      <c r="R101" s="36">
        <v>11.7</v>
      </c>
      <c r="S101" s="37">
        <v>0.6020833333333333</v>
      </c>
      <c r="T101" s="36">
        <v>19.2</v>
      </c>
      <c r="U101" s="38">
        <v>57.1</v>
      </c>
      <c r="V101" s="30">
        <f t="shared" si="1"/>
        <v>6.4667743820688228</v>
      </c>
    </row>
    <row r="102" spans="1:22" ht="15.75" thickBot="1">
      <c r="A102" s="55" t="s">
        <v>344</v>
      </c>
      <c r="B102" s="55" t="s">
        <v>275</v>
      </c>
      <c r="C102" s="55"/>
      <c r="D102" s="56" t="s">
        <v>216</v>
      </c>
      <c r="E102" s="31">
        <v>67</v>
      </c>
      <c r="F102" s="31">
        <v>18</v>
      </c>
      <c r="G102" s="31">
        <v>22</v>
      </c>
      <c r="H102" s="57">
        <v>40</v>
      </c>
      <c r="I102" s="31">
        <v>-24</v>
      </c>
      <c r="J102" s="31">
        <v>16</v>
      </c>
      <c r="K102" s="31">
        <v>10</v>
      </c>
      <c r="L102" s="31">
        <v>16</v>
      </c>
      <c r="M102" s="31">
        <v>2</v>
      </c>
      <c r="N102" s="31">
        <v>2</v>
      </c>
      <c r="O102" s="31">
        <v>3</v>
      </c>
      <c r="P102" s="31">
        <v>0</v>
      </c>
      <c r="Q102" s="31">
        <v>126</v>
      </c>
      <c r="R102" s="32">
        <v>14.3</v>
      </c>
      <c r="S102" s="33">
        <v>0.78541666666666676</v>
      </c>
      <c r="T102" s="32">
        <v>23.6</v>
      </c>
      <c r="U102" s="34">
        <v>51.6</v>
      </c>
      <c r="V102" s="30">
        <f t="shared" si="1"/>
        <v>5.8360635584104257</v>
      </c>
    </row>
    <row r="103" spans="1:22" ht="15.75" thickBot="1">
      <c r="A103" s="58" t="s">
        <v>345</v>
      </c>
      <c r="B103" s="58" t="s">
        <v>234</v>
      </c>
      <c r="C103" s="58"/>
      <c r="D103" s="59" t="s">
        <v>226</v>
      </c>
      <c r="E103" s="35">
        <v>63</v>
      </c>
      <c r="F103" s="35">
        <v>12</v>
      </c>
      <c r="G103" s="35">
        <v>28</v>
      </c>
      <c r="H103" s="57">
        <v>40</v>
      </c>
      <c r="I103" s="35">
        <v>17</v>
      </c>
      <c r="J103" s="35">
        <v>37</v>
      </c>
      <c r="K103" s="35">
        <v>0</v>
      </c>
      <c r="L103" s="35">
        <v>6</v>
      </c>
      <c r="M103" s="35">
        <v>0</v>
      </c>
      <c r="N103" s="35">
        <v>0</v>
      </c>
      <c r="O103" s="35">
        <v>3</v>
      </c>
      <c r="P103" s="35">
        <v>0</v>
      </c>
      <c r="Q103" s="35">
        <v>134</v>
      </c>
      <c r="R103" s="36">
        <v>9</v>
      </c>
      <c r="S103" s="37">
        <v>0.72291666666666676</v>
      </c>
      <c r="T103" s="36">
        <v>23.9</v>
      </c>
      <c r="U103" s="38">
        <v>41.2</v>
      </c>
      <c r="V103" s="30">
        <f t="shared" si="1"/>
        <v>5.900545983587798</v>
      </c>
    </row>
    <row r="104" spans="1:22" ht="15.75" thickBot="1">
      <c r="A104" s="55" t="s">
        <v>346</v>
      </c>
      <c r="B104" s="55" t="s">
        <v>299</v>
      </c>
      <c r="C104" s="55"/>
      <c r="D104" s="56" t="s">
        <v>216</v>
      </c>
      <c r="E104" s="31">
        <v>67</v>
      </c>
      <c r="F104" s="31">
        <v>10</v>
      </c>
      <c r="G104" s="31">
        <v>30</v>
      </c>
      <c r="H104" s="57">
        <v>40</v>
      </c>
      <c r="I104" s="31">
        <v>-4</v>
      </c>
      <c r="J104" s="31">
        <v>12</v>
      </c>
      <c r="K104" s="31">
        <v>2</v>
      </c>
      <c r="L104" s="31">
        <v>10</v>
      </c>
      <c r="M104" s="31">
        <v>0</v>
      </c>
      <c r="N104" s="31">
        <v>1</v>
      </c>
      <c r="O104" s="31">
        <v>1</v>
      </c>
      <c r="P104" s="31">
        <v>1</v>
      </c>
      <c r="Q104" s="31">
        <v>128</v>
      </c>
      <c r="R104" s="32">
        <v>7.8</v>
      </c>
      <c r="S104" s="33">
        <v>0.81527777777777777</v>
      </c>
      <c r="T104" s="32">
        <v>24.6</v>
      </c>
      <c r="U104" s="34">
        <v>53</v>
      </c>
      <c r="V104" s="30">
        <f t="shared" si="1"/>
        <v>5.4648452700350214</v>
      </c>
    </row>
    <row r="105" spans="1:22" ht="15.75" thickBot="1">
      <c r="A105" s="58" t="s">
        <v>347</v>
      </c>
      <c r="B105" s="58" t="s">
        <v>250</v>
      </c>
      <c r="C105" s="58"/>
      <c r="D105" s="59" t="s">
        <v>279</v>
      </c>
      <c r="E105" s="35">
        <v>67</v>
      </c>
      <c r="F105" s="35">
        <v>8</v>
      </c>
      <c r="G105" s="35">
        <v>32</v>
      </c>
      <c r="H105" s="57">
        <v>40</v>
      </c>
      <c r="I105" s="35">
        <v>15</v>
      </c>
      <c r="J105" s="35">
        <v>26</v>
      </c>
      <c r="K105" s="35">
        <v>4</v>
      </c>
      <c r="L105" s="35">
        <v>19</v>
      </c>
      <c r="M105" s="35">
        <v>0</v>
      </c>
      <c r="N105" s="35">
        <v>0</v>
      </c>
      <c r="O105" s="35">
        <v>1</v>
      </c>
      <c r="P105" s="35">
        <v>0</v>
      </c>
      <c r="Q105" s="35">
        <v>113</v>
      </c>
      <c r="R105" s="36">
        <v>7.1</v>
      </c>
      <c r="S105" s="43">
        <v>1.0430555555555556</v>
      </c>
      <c r="T105" s="36">
        <v>29.7</v>
      </c>
      <c r="U105" s="38">
        <v>0</v>
      </c>
      <c r="V105" s="30">
        <f t="shared" si="1"/>
        <v>5.381886468943275</v>
      </c>
    </row>
    <row r="106" spans="1:22" ht="15.75" thickBot="1">
      <c r="A106" s="55" t="s">
        <v>348</v>
      </c>
      <c r="B106" s="55" t="s">
        <v>228</v>
      </c>
      <c r="C106" s="55"/>
      <c r="D106" s="56" t="s">
        <v>279</v>
      </c>
      <c r="E106" s="31">
        <v>49</v>
      </c>
      <c r="F106" s="31">
        <v>8</v>
      </c>
      <c r="G106" s="31">
        <v>32</v>
      </c>
      <c r="H106" s="57">
        <v>40</v>
      </c>
      <c r="I106" s="31">
        <v>18</v>
      </c>
      <c r="J106" s="31">
        <v>38</v>
      </c>
      <c r="K106" s="31">
        <v>4</v>
      </c>
      <c r="L106" s="31">
        <v>24</v>
      </c>
      <c r="M106" s="31">
        <v>0</v>
      </c>
      <c r="N106" s="31">
        <v>0</v>
      </c>
      <c r="O106" s="31">
        <v>1</v>
      </c>
      <c r="P106" s="31">
        <v>0</v>
      </c>
      <c r="Q106" s="31">
        <v>116</v>
      </c>
      <c r="R106" s="32">
        <v>6.9</v>
      </c>
      <c r="S106" s="33">
        <v>0.95416666666666661</v>
      </c>
      <c r="T106" s="32">
        <v>29.6</v>
      </c>
      <c r="U106" s="34">
        <v>0</v>
      </c>
      <c r="V106" s="30">
        <f t="shared" si="1"/>
        <v>7.3227124864459094</v>
      </c>
    </row>
    <row r="107" spans="1:22" ht="15.75" thickBot="1">
      <c r="A107" s="58" t="s">
        <v>349</v>
      </c>
      <c r="B107" s="58" t="s">
        <v>265</v>
      </c>
      <c r="C107" s="58"/>
      <c r="D107" s="59" t="s">
        <v>216</v>
      </c>
      <c r="E107" s="35">
        <v>68</v>
      </c>
      <c r="F107" s="35">
        <v>21</v>
      </c>
      <c r="G107" s="35">
        <v>18</v>
      </c>
      <c r="H107" s="57">
        <v>39</v>
      </c>
      <c r="I107" s="35">
        <v>11</v>
      </c>
      <c r="J107" s="35">
        <v>36</v>
      </c>
      <c r="K107" s="35">
        <v>5</v>
      </c>
      <c r="L107" s="35">
        <v>7</v>
      </c>
      <c r="M107" s="35">
        <v>0</v>
      </c>
      <c r="N107" s="35">
        <v>0</v>
      </c>
      <c r="O107" s="35">
        <v>4</v>
      </c>
      <c r="P107" s="35">
        <v>1</v>
      </c>
      <c r="Q107" s="35">
        <v>212</v>
      </c>
      <c r="R107" s="36">
        <v>9.9</v>
      </c>
      <c r="S107" s="37">
        <v>0.64583333333333337</v>
      </c>
      <c r="T107" s="36">
        <v>20.8</v>
      </c>
      <c r="U107" s="38">
        <v>36</v>
      </c>
      <c r="V107" s="30">
        <f t="shared" si="1"/>
        <v>5.5764491654021251</v>
      </c>
    </row>
    <row r="108" spans="1:22" ht="15.75" thickBot="1">
      <c r="A108" s="55" t="s">
        <v>350</v>
      </c>
      <c r="B108" s="55" t="s">
        <v>215</v>
      </c>
      <c r="C108" s="55"/>
      <c r="D108" s="56" t="s">
        <v>216</v>
      </c>
      <c r="E108" s="31">
        <v>69</v>
      </c>
      <c r="F108" s="31">
        <v>18</v>
      </c>
      <c r="G108" s="31">
        <v>21</v>
      </c>
      <c r="H108" s="57">
        <v>39</v>
      </c>
      <c r="I108" s="31">
        <v>8</v>
      </c>
      <c r="J108" s="31">
        <v>22</v>
      </c>
      <c r="K108" s="31">
        <v>9</v>
      </c>
      <c r="L108" s="31">
        <v>14</v>
      </c>
      <c r="M108" s="31">
        <v>0</v>
      </c>
      <c r="N108" s="31">
        <v>0</v>
      </c>
      <c r="O108" s="31">
        <v>3</v>
      </c>
      <c r="P108" s="31">
        <v>0</v>
      </c>
      <c r="Q108" s="31">
        <v>165</v>
      </c>
      <c r="R108" s="32">
        <v>10.9</v>
      </c>
      <c r="S108" s="33">
        <v>0.6694444444444444</v>
      </c>
      <c r="T108" s="32">
        <v>21</v>
      </c>
      <c r="U108" s="34">
        <v>43.8</v>
      </c>
      <c r="V108" s="30">
        <f t="shared" si="1"/>
        <v>5.458634025756548</v>
      </c>
    </row>
    <row r="109" spans="1:22" ht="15.75" thickBot="1">
      <c r="A109" s="58" t="s">
        <v>351</v>
      </c>
      <c r="B109" s="58" t="s">
        <v>301</v>
      </c>
      <c r="C109" s="58"/>
      <c r="D109" s="59" t="s">
        <v>226</v>
      </c>
      <c r="E109" s="35">
        <v>65</v>
      </c>
      <c r="F109" s="35">
        <v>17</v>
      </c>
      <c r="G109" s="35">
        <v>22</v>
      </c>
      <c r="H109" s="57">
        <v>39</v>
      </c>
      <c r="I109" s="35">
        <v>3</v>
      </c>
      <c r="J109" s="35">
        <v>10</v>
      </c>
      <c r="K109" s="35">
        <v>5</v>
      </c>
      <c r="L109" s="35">
        <v>9</v>
      </c>
      <c r="M109" s="35">
        <v>0</v>
      </c>
      <c r="N109" s="35">
        <v>1</v>
      </c>
      <c r="O109" s="35">
        <v>4</v>
      </c>
      <c r="P109" s="35">
        <v>2</v>
      </c>
      <c r="Q109" s="35">
        <v>135</v>
      </c>
      <c r="R109" s="36">
        <v>12.6</v>
      </c>
      <c r="S109" s="37">
        <v>0.76180555555555562</v>
      </c>
      <c r="T109" s="36">
        <v>23</v>
      </c>
      <c r="U109" s="38">
        <v>50</v>
      </c>
      <c r="V109" s="30">
        <f t="shared" si="1"/>
        <v>5.8118842201970491</v>
      </c>
    </row>
    <row r="110" spans="1:22" ht="15.75" thickBot="1">
      <c r="A110" s="55" t="s">
        <v>352</v>
      </c>
      <c r="B110" s="55" t="s">
        <v>222</v>
      </c>
      <c r="C110" s="55"/>
      <c r="D110" s="56" t="s">
        <v>219</v>
      </c>
      <c r="E110" s="31">
        <v>58</v>
      </c>
      <c r="F110" s="31">
        <v>16</v>
      </c>
      <c r="G110" s="31">
        <v>23</v>
      </c>
      <c r="H110" s="57">
        <v>39</v>
      </c>
      <c r="I110" s="31">
        <v>10</v>
      </c>
      <c r="J110" s="31">
        <v>36</v>
      </c>
      <c r="K110" s="31">
        <v>8</v>
      </c>
      <c r="L110" s="31">
        <v>15</v>
      </c>
      <c r="M110" s="31">
        <v>1</v>
      </c>
      <c r="N110" s="31">
        <v>1</v>
      </c>
      <c r="O110" s="31">
        <v>5</v>
      </c>
      <c r="P110" s="31">
        <v>0</v>
      </c>
      <c r="Q110" s="31">
        <v>135</v>
      </c>
      <c r="R110" s="32">
        <v>11.9</v>
      </c>
      <c r="S110" s="33">
        <v>0.74652777777777779</v>
      </c>
      <c r="T110" s="32">
        <v>23.4</v>
      </c>
      <c r="U110" s="34">
        <v>71.400000000000006</v>
      </c>
      <c r="V110" s="30">
        <f t="shared" si="1"/>
        <v>6.456551805662273</v>
      </c>
    </row>
    <row r="111" spans="1:22" ht="15.75" thickBot="1">
      <c r="A111" s="58" t="s">
        <v>353</v>
      </c>
      <c r="B111" s="58" t="s">
        <v>215</v>
      </c>
      <c r="C111" s="58"/>
      <c r="D111" s="59" t="s">
        <v>216</v>
      </c>
      <c r="E111" s="35">
        <v>69</v>
      </c>
      <c r="F111" s="35">
        <v>12</v>
      </c>
      <c r="G111" s="35">
        <v>27</v>
      </c>
      <c r="H111" s="57">
        <v>39</v>
      </c>
      <c r="I111" s="35">
        <v>10</v>
      </c>
      <c r="J111" s="35">
        <v>10</v>
      </c>
      <c r="K111" s="35">
        <v>3</v>
      </c>
      <c r="L111" s="35">
        <v>16</v>
      </c>
      <c r="M111" s="35">
        <v>1</v>
      </c>
      <c r="N111" s="35">
        <v>3</v>
      </c>
      <c r="O111" s="35">
        <v>4</v>
      </c>
      <c r="P111" s="35">
        <v>0</v>
      </c>
      <c r="Q111" s="35">
        <v>143</v>
      </c>
      <c r="R111" s="36">
        <v>8.4</v>
      </c>
      <c r="S111" s="37">
        <v>0.69236111111111109</v>
      </c>
      <c r="T111" s="36">
        <v>23.5</v>
      </c>
      <c r="U111" s="38">
        <v>47.8</v>
      </c>
      <c r="V111" s="30">
        <f t="shared" si="1"/>
        <v>5.255956236236635</v>
      </c>
    </row>
    <row r="112" spans="1:22" ht="30.75" thickBot="1">
      <c r="A112" s="55" t="s">
        <v>354</v>
      </c>
      <c r="B112" s="55" t="s">
        <v>339</v>
      </c>
      <c r="C112" s="55"/>
      <c r="D112" s="56" t="s">
        <v>219</v>
      </c>
      <c r="E112" s="31">
        <v>63</v>
      </c>
      <c r="F112" s="31">
        <v>11</v>
      </c>
      <c r="G112" s="31">
        <v>28</v>
      </c>
      <c r="H112" s="57">
        <v>39</v>
      </c>
      <c r="I112" s="31">
        <v>3</v>
      </c>
      <c r="J112" s="31">
        <v>30</v>
      </c>
      <c r="K112" s="31">
        <v>0</v>
      </c>
      <c r="L112" s="31">
        <v>8</v>
      </c>
      <c r="M112" s="31">
        <v>0</v>
      </c>
      <c r="N112" s="31">
        <v>0</v>
      </c>
      <c r="O112" s="31">
        <v>0</v>
      </c>
      <c r="P112" s="31">
        <v>0</v>
      </c>
      <c r="Q112" s="31">
        <v>135</v>
      </c>
      <c r="R112" s="32">
        <v>8.1</v>
      </c>
      <c r="S112" s="33">
        <v>0.69027777777777777</v>
      </c>
      <c r="T112" s="32">
        <v>20.7</v>
      </c>
      <c r="U112" s="34">
        <v>16.7</v>
      </c>
      <c r="V112" s="30">
        <f t="shared" si="1"/>
        <v>5.7182981878448214</v>
      </c>
    </row>
    <row r="113" spans="1:22" ht="15.75" thickBot="1">
      <c r="A113" s="58" t="s">
        <v>355</v>
      </c>
      <c r="B113" s="58" t="s">
        <v>301</v>
      </c>
      <c r="C113" s="58"/>
      <c r="D113" s="59" t="s">
        <v>279</v>
      </c>
      <c r="E113" s="35">
        <v>66</v>
      </c>
      <c r="F113" s="35">
        <v>10</v>
      </c>
      <c r="G113" s="35">
        <v>29</v>
      </c>
      <c r="H113" s="57">
        <v>39</v>
      </c>
      <c r="I113" s="35">
        <v>0</v>
      </c>
      <c r="J113" s="35">
        <v>41</v>
      </c>
      <c r="K113" s="35">
        <v>5</v>
      </c>
      <c r="L113" s="35">
        <v>14</v>
      </c>
      <c r="M113" s="35">
        <v>0</v>
      </c>
      <c r="N113" s="35">
        <v>0</v>
      </c>
      <c r="O113" s="35">
        <v>2</v>
      </c>
      <c r="P113" s="35">
        <v>1</v>
      </c>
      <c r="Q113" s="35">
        <v>176</v>
      </c>
      <c r="R113" s="36">
        <v>5.7</v>
      </c>
      <c r="S113" s="37">
        <v>0.89444444444444438</v>
      </c>
      <c r="T113" s="36">
        <v>27.2</v>
      </c>
      <c r="U113" s="38">
        <v>0</v>
      </c>
      <c r="V113" s="30">
        <f t="shared" si="1"/>
        <v>5.3502200813885885</v>
      </c>
    </row>
    <row r="114" spans="1:22" ht="15.75" thickBot="1">
      <c r="A114" s="55" t="s">
        <v>356</v>
      </c>
      <c r="B114" s="55" t="s">
        <v>269</v>
      </c>
      <c r="C114" s="55"/>
      <c r="D114" s="56" t="s">
        <v>216</v>
      </c>
      <c r="E114" s="31">
        <v>67</v>
      </c>
      <c r="F114" s="31">
        <v>10</v>
      </c>
      <c r="G114" s="31">
        <v>29</v>
      </c>
      <c r="H114" s="57">
        <v>39</v>
      </c>
      <c r="I114" s="31">
        <v>-1</v>
      </c>
      <c r="J114" s="31">
        <v>34</v>
      </c>
      <c r="K114" s="31">
        <v>3</v>
      </c>
      <c r="L114" s="31">
        <v>13</v>
      </c>
      <c r="M114" s="31">
        <v>0</v>
      </c>
      <c r="N114" s="31">
        <v>0</v>
      </c>
      <c r="O114" s="31">
        <v>2</v>
      </c>
      <c r="P114" s="31">
        <v>1</v>
      </c>
      <c r="Q114" s="31">
        <v>157</v>
      </c>
      <c r="R114" s="32">
        <v>6.4</v>
      </c>
      <c r="S114" s="33">
        <v>0.81041666666666667</v>
      </c>
      <c r="T114" s="32">
        <v>24.6</v>
      </c>
      <c r="U114" s="34">
        <v>55.4</v>
      </c>
      <c r="V114" s="30">
        <f t="shared" si="1"/>
        <v>5.2985959630096167</v>
      </c>
    </row>
    <row r="115" spans="1:22" ht="15.75" thickBot="1">
      <c r="A115" s="58" t="s">
        <v>357</v>
      </c>
      <c r="B115" s="58" t="s">
        <v>215</v>
      </c>
      <c r="C115" s="58"/>
      <c r="D115" s="59" t="s">
        <v>216</v>
      </c>
      <c r="E115" s="35">
        <v>63</v>
      </c>
      <c r="F115" s="35">
        <v>23</v>
      </c>
      <c r="G115" s="35">
        <v>15</v>
      </c>
      <c r="H115" s="57">
        <v>38</v>
      </c>
      <c r="I115" s="35">
        <v>16</v>
      </c>
      <c r="J115" s="35">
        <v>33</v>
      </c>
      <c r="K115" s="35">
        <v>5</v>
      </c>
      <c r="L115" s="35">
        <v>6</v>
      </c>
      <c r="M115" s="35">
        <v>0</v>
      </c>
      <c r="N115" s="35">
        <v>0</v>
      </c>
      <c r="O115" s="35">
        <v>6</v>
      </c>
      <c r="P115" s="35">
        <v>0</v>
      </c>
      <c r="Q115" s="35">
        <v>164</v>
      </c>
      <c r="R115" s="36">
        <v>14</v>
      </c>
      <c r="S115" s="37">
        <v>0.58819444444444446</v>
      </c>
      <c r="T115" s="36">
        <v>18.5</v>
      </c>
      <c r="U115" s="38">
        <v>0</v>
      </c>
      <c r="V115" s="30">
        <f t="shared" si="1"/>
        <v>6.0624460777354283</v>
      </c>
    </row>
    <row r="116" spans="1:22" ht="15.75" thickBot="1">
      <c r="A116" s="55" t="s">
        <v>358</v>
      </c>
      <c r="B116" s="55" t="s">
        <v>301</v>
      </c>
      <c r="C116" s="55"/>
      <c r="D116" s="56" t="s">
        <v>219</v>
      </c>
      <c r="E116" s="31">
        <v>61</v>
      </c>
      <c r="F116" s="31">
        <v>22</v>
      </c>
      <c r="G116" s="31">
        <v>16</v>
      </c>
      <c r="H116" s="57">
        <v>38</v>
      </c>
      <c r="I116" s="31">
        <v>9</v>
      </c>
      <c r="J116" s="31">
        <v>82</v>
      </c>
      <c r="K116" s="31">
        <v>2</v>
      </c>
      <c r="L116" s="31">
        <v>2</v>
      </c>
      <c r="M116" s="31">
        <v>2</v>
      </c>
      <c r="N116" s="31">
        <v>3</v>
      </c>
      <c r="O116" s="31">
        <v>5</v>
      </c>
      <c r="P116" s="31">
        <v>3</v>
      </c>
      <c r="Q116" s="31">
        <v>150</v>
      </c>
      <c r="R116" s="32">
        <v>14.7</v>
      </c>
      <c r="S116" s="33">
        <v>0.70347222222222217</v>
      </c>
      <c r="T116" s="32">
        <v>23</v>
      </c>
      <c r="U116" s="34">
        <v>40</v>
      </c>
      <c r="V116" s="30">
        <f t="shared" si="1"/>
        <v>6.2460018232361314</v>
      </c>
    </row>
    <row r="117" spans="1:22" ht="15.75" thickBot="1">
      <c r="A117" s="58" t="s">
        <v>359</v>
      </c>
      <c r="B117" s="58" t="s">
        <v>218</v>
      </c>
      <c r="C117" s="58"/>
      <c r="D117" s="59" t="s">
        <v>219</v>
      </c>
      <c r="E117" s="35">
        <v>67</v>
      </c>
      <c r="F117" s="35">
        <v>17</v>
      </c>
      <c r="G117" s="35">
        <v>21</v>
      </c>
      <c r="H117" s="57">
        <v>38</v>
      </c>
      <c r="I117" s="35">
        <v>2</v>
      </c>
      <c r="J117" s="35">
        <v>8</v>
      </c>
      <c r="K117" s="35">
        <v>3</v>
      </c>
      <c r="L117" s="35">
        <v>15</v>
      </c>
      <c r="M117" s="35">
        <v>0</v>
      </c>
      <c r="N117" s="35">
        <v>0</v>
      </c>
      <c r="O117" s="35">
        <v>1</v>
      </c>
      <c r="P117" s="35">
        <v>0</v>
      </c>
      <c r="Q117" s="35">
        <v>117</v>
      </c>
      <c r="R117" s="36">
        <v>14.5</v>
      </c>
      <c r="S117" s="37">
        <v>0.6777777777777777</v>
      </c>
      <c r="T117" s="36">
        <v>19.399999999999999</v>
      </c>
      <c r="U117" s="38">
        <v>38.5</v>
      </c>
      <c r="V117" s="30">
        <f t="shared" si="1"/>
        <v>5.5779018223608601</v>
      </c>
    </row>
    <row r="118" spans="1:22" ht="15.75" thickBot="1">
      <c r="A118" s="55" t="s">
        <v>360</v>
      </c>
      <c r="B118" s="55" t="s">
        <v>299</v>
      </c>
      <c r="C118" s="55"/>
      <c r="D118" s="56" t="s">
        <v>216</v>
      </c>
      <c r="E118" s="31">
        <v>64</v>
      </c>
      <c r="F118" s="31">
        <v>14</v>
      </c>
      <c r="G118" s="31">
        <v>24</v>
      </c>
      <c r="H118" s="57">
        <v>38</v>
      </c>
      <c r="I118" s="31">
        <v>-7</v>
      </c>
      <c r="J118" s="31">
        <v>34</v>
      </c>
      <c r="K118" s="31">
        <v>3</v>
      </c>
      <c r="L118" s="31">
        <v>7</v>
      </c>
      <c r="M118" s="31">
        <v>0</v>
      </c>
      <c r="N118" s="31">
        <v>0</v>
      </c>
      <c r="O118" s="31">
        <v>2</v>
      </c>
      <c r="P118" s="31">
        <v>0</v>
      </c>
      <c r="Q118" s="31">
        <v>192</v>
      </c>
      <c r="R118" s="32">
        <v>7.3</v>
      </c>
      <c r="S118" s="33">
        <v>0.70972222222222225</v>
      </c>
      <c r="T118" s="32">
        <v>21.3</v>
      </c>
      <c r="U118" s="34">
        <v>47</v>
      </c>
      <c r="V118" s="30">
        <f t="shared" si="1"/>
        <v>5.5416711382026573</v>
      </c>
    </row>
    <row r="119" spans="1:22" ht="15.75" thickBot="1">
      <c r="A119" s="58" t="s">
        <v>361</v>
      </c>
      <c r="B119" s="58" t="s">
        <v>228</v>
      </c>
      <c r="C119" s="58"/>
      <c r="D119" s="59" t="s">
        <v>216</v>
      </c>
      <c r="E119" s="35">
        <v>58</v>
      </c>
      <c r="F119" s="35">
        <v>13</v>
      </c>
      <c r="G119" s="35">
        <v>25</v>
      </c>
      <c r="H119" s="57">
        <v>38</v>
      </c>
      <c r="I119" s="35">
        <v>9</v>
      </c>
      <c r="J119" s="35">
        <v>28</v>
      </c>
      <c r="K119" s="35">
        <v>5</v>
      </c>
      <c r="L119" s="35">
        <v>12</v>
      </c>
      <c r="M119" s="35">
        <v>0</v>
      </c>
      <c r="N119" s="35">
        <v>0</v>
      </c>
      <c r="O119" s="35">
        <v>5</v>
      </c>
      <c r="P119" s="35">
        <v>0</v>
      </c>
      <c r="Q119" s="35">
        <v>116</v>
      </c>
      <c r="R119" s="36">
        <v>11.2</v>
      </c>
      <c r="S119" s="37">
        <v>0.72152777777777777</v>
      </c>
      <c r="T119" s="36">
        <v>23.8</v>
      </c>
      <c r="U119" s="38">
        <v>58.6</v>
      </c>
      <c r="V119" s="30">
        <f t="shared" si="1"/>
        <v>6.2140753793209464</v>
      </c>
    </row>
    <row r="120" spans="1:22" ht="15.75" thickBot="1">
      <c r="A120" s="55" t="s">
        <v>362</v>
      </c>
      <c r="B120" s="55" t="s">
        <v>260</v>
      </c>
      <c r="C120" s="55"/>
      <c r="D120" s="56" t="s">
        <v>216</v>
      </c>
      <c r="E120" s="31">
        <v>67</v>
      </c>
      <c r="F120" s="31">
        <v>10</v>
      </c>
      <c r="G120" s="31">
        <v>28</v>
      </c>
      <c r="H120" s="57">
        <v>38</v>
      </c>
      <c r="I120" s="31">
        <v>4</v>
      </c>
      <c r="J120" s="31">
        <v>24</v>
      </c>
      <c r="K120" s="31">
        <v>2</v>
      </c>
      <c r="L120" s="31">
        <v>12</v>
      </c>
      <c r="M120" s="31">
        <v>0</v>
      </c>
      <c r="N120" s="31">
        <v>0</v>
      </c>
      <c r="O120" s="31">
        <v>2</v>
      </c>
      <c r="P120" s="31">
        <v>0</v>
      </c>
      <c r="Q120" s="31">
        <v>134</v>
      </c>
      <c r="R120" s="32">
        <v>7.5</v>
      </c>
      <c r="S120" s="33">
        <v>0.76458333333333339</v>
      </c>
      <c r="T120" s="32">
        <v>23.3</v>
      </c>
      <c r="U120" s="34">
        <v>42.5</v>
      </c>
      <c r="V120" s="30">
        <f t="shared" si="1"/>
        <v>5.2092108094813536</v>
      </c>
    </row>
    <row r="121" spans="1:22" ht="15.75" thickBot="1">
      <c r="A121" s="58" t="s">
        <v>363</v>
      </c>
      <c r="B121" s="58" t="s">
        <v>228</v>
      </c>
      <c r="C121" s="58"/>
      <c r="D121" s="59" t="s">
        <v>216</v>
      </c>
      <c r="E121" s="35">
        <v>59</v>
      </c>
      <c r="F121" s="35">
        <v>10</v>
      </c>
      <c r="G121" s="35">
        <v>28</v>
      </c>
      <c r="H121" s="57">
        <v>38</v>
      </c>
      <c r="I121" s="35">
        <v>18</v>
      </c>
      <c r="J121" s="35">
        <v>40</v>
      </c>
      <c r="K121" s="35">
        <v>1</v>
      </c>
      <c r="L121" s="35">
        <v>6</v>
      </c>
      <c r="M121" s="35">
        <v>1</v>
      </c>
      <c r="N121" s="35">
        <v>2</v>
      </c>
      <c r="O121" s="35">
        <v>1</v>
      </c>
      <c r="P121" s="35">
        <v>0</v>
      </c>
      <c r="Q121" s="35">
        <v>87</v>
      </c>
      <c r="R121" s="36">
        <v>11.5</v>
      </c>
      <c r="S121" s="37">
        <v>0.6875</v>
      </c>
      <c r="T121" s="36">
        <v>24.3</v>
      </c>
      <c r="U121" s="38">
        <v>52.4</v>
      </c>
      <c r="V121" s="30">
        <f t="shared" si="1"/>
        <v>6.0481675392670153</v>
      </c>
    </row>
    <row r="122" spans="1:22" ht="15.75" thickBot="1">
      <c r="A122" s="60" t="s">
        <v>364</v>
      </c>
      <c r="B122" s="60" t="s">
        <v>257</v>
      </c>
      <c r="C122" s="60"/>
      <c r="D122" s="64" t="s">
        <v>279</v>
      </c>
      <c r="E122" s="45">
        <v>65</v>
      </c>
      <c r="F122" s="45">
        <v>8</v>
      </c>
      <c r="G122" s="45">
        <v>30</v>
      </c>
      <c r="H122" s="65">
        <v>38</v>
      </c>
      <c r="I122" s="45">
        <v>1</v>
      </c>
      <c r="J122" s="45">
        <v>34</v>
      </c>
      <c r="K122" s="45">
        <v>3</v>
      </c>
      <c r="L122" s="45">
        <v>21</v>
      </c>
      <c r="M122" s="45">
        <v>0</v>
      </c>
      <c r="N122" s="45">
        <v>0</v>
      </c>
      <c r="O122" s="45">
        <v>1</v>
      </c>
      <c r="P122" s="45">
        <v>1</v>
      </c>
      <c r="Q122" s="45">
        <v>79</v>
      </c>
      <c r="R122" s="46">
        <v>10.1</v>
      </c>
      <c r="S122" s="47">
        <v>0.9916666666666667</v>
      </c>
      <c r="T122" s="46">
        <v>31.9</v>
      </c>
      <c r="U122" s="48">
        <v>100</v>
      </c>
      <c r="V122" s="30">
        <f t="shared" si="1"/>
        <v>5.3824977901250159</v>
      </c>
    </row>
    <row r="123" spans="1:22" ht="15.75" thickBot="1">
      <c r="A123" s="52" t="s">
        <v>365</v>
      </c>
      <c r="B123" s="52" t="s">
        <v>277</v>
      </c>
      <c r="C123" s="52"/>
      <c r="D123" s="53" t="s">
        <v>279</v>
      </c>
      <c r="E123" s="26">
        <v>66</v>
      </c>
      <c r="F123" s="26">
        <v>5</v>
      </c>
      <c r="G123" s="26">
        <v>33</v>
      </c>
      <c r="H123" s="54">
        <v>38</v>
      </c>
      <c r="I123" s="26">
        <v>4</v>
      </c>
      <c r="J123" s="26">
        <v>48</v>
      </c>
      <c r="K123" s="26">
        <v>0</v>
      </c>
      <c r="L123" s="26">
        <v>11</v>
      </c>
      <c r="M123" s="26">
        <v>0</v>
      </c>
      <c r="N123" s="26">
        <v>1</v>
      </c>
      <c r="O123" s="26">
        <v>1</v>
      </c>
      <c r="P123" s="26">
        <v>0</v>
      </c>
      <c r="Q123" s="26">
        <v>177</v>
      </c>
      <c r="R123" s="27">
        <v>2.8</v>
      </c>
      <c r="S123" s="49">
        <v>1.2243055555555555</v>
      </c>
      <c r="T123" s="27">
        <v>33</v>
      </c>
      <c r="U123" s="29">
        <v>0</v>
      </c>
      <c r="V123" s="30">
        <f t="shared" si="1"/>
        <v>4.9996797619908477</v>
      </c>
    </row>
    <row r="124" spans="1:22" ht="15.75" thickBot="1">
      <c r="A124" s="55" t="s">
        <v>366</v>
      </c>
      <c r="B124" s="55" t="s">
        <v>218</v>
      </c>
      <c r="C124" s="55"/>
      <c r="D124" s="56" t="s">
        <v>279</v>
      </c>
      <c r="E124" s="31">
        <v>58</v>
      </c>
      <c r="F124" s="31">
        <v>5</v>
      </c>
      <c r="G124" s="31">
        <v>33</v>
      </c>
      <c r="H124" s="57">
        <v>38</v>
      </c>
      <c r="I124" s="31">
        <v>10</v>
      </c>
      <c r="J124" s="31">
        <v>26</v>
      </c>
      <c r="K124" s="31">
        <v>1</v>
      </c>
      <c r="L124" s="31">
        <v>16</v>
      </c>
      <c r="M124" s="31">
        <v>0</v>
      </c>
      <c r="N124" s="31">
        <v>0</v>
      </c>
      <c r="O124" s="31">
        <v>1</v>
      </c>
      <c r="P124" s="31">
        <v>0</v>
      </c>
      <c r="Q124" s="31">
        <v>126</v>
      </c>
      <c r="R124" s="32">
        <v>4</v>
      </c>
      <c r="S124" s="33">
        <v>0.79999999999999993</v>
      </c>
      <c r="T124" s="32">
        <v>22.3</v>
      </c>
      <c r="U124" s="34">
        <v>0</v>
      </c>
      <c r="V124" s="30">
        <f t="shared" si="1"/>
        <v>5.7568027210884356</v>
      </c>
    </row>
    <row r="125" spans="1:22" ht="15.75" thickBot="1">
      <c r="A125" s="58" t="s">
        <v>367</v>
      </c>
      <c r="B125" s="58" t="s">
        <v>277</v>
      </c>
      <c r="C125" s="58"/>
      <c r="D125" s="59" t="s">
        <v>226</v>
      </c>
      <c r="E125" s="35">
        <v>53</v>
      </c>
      <c r="F125" s="35">
        <v>20</v>
      </c>
      <c r="G125" s="35">
        <v>17</v>
      </c>
      <c r="H125" s="57">
        <v>37</v>
      </c>
      <c r="I125" s="35">
        <v>6</v>
      </c>
      <c r="J125" s="35">
        <v>16</v>
      </c>
      <c r="K125" s="35">
        <v>10</v>
      </c>
      <c r="L125" s="35">
        <v>15</v>
      </c>
      <c r="M125" s="35">
        <v>0</v>
      </c>
      <c r="N125" s="35">
        <v>0</v>
      </c>
      <c r="O125" s="35">
        <v>2</v>
      </c>
      <c r="P125" s="35">
        <v>0</v>
      </c>
      <c r="Q125" s="35">
        <v>128</v>
      </c>
      <c r="R125" s="36">
        <v>15.6</v>
      </c>
      <c r="S125" s="37">
        <v>0.7090277777777777</v>
      </c>
      <c r="T125" s="36">
        <v>20.100000000000001</v>
      </c>
      <c r="U125" s="38">
        <v>100</v>
      </c>
      <c r="V125" s="30">
        <f t="shared" si="1"/>
        <v>6.9950996237441974</v>
      </c>
    </row>
    <row r="126" spans="1:22" ht="15.75" thickBot="1">
      <c r="A126" s="55" t="s">
        <v>368</v>
      </c>
      <c r="B126" s="55" t="s">
        <v>282</v>
      </c>
      <c r="C126" s="55"/>
      <c r="D126" s="56" t="s">
        <v>216</v>
      </c>
      <c r="E126" s="31">
        <v>63</v>
      </c>
      <c r="F126" s="31">
        <v>17</v>
      </c>
      <c r="G126" s="31">
        <v>20</v>
      </c>
      <c r="H126" s="57">
        <v>37</v>
      </c>
      <c r="I126" s="31">
        <v>2</v>
      </c>
      <c r="J126" s="31">
        <v>12</v>
      </c>
      <c r="K126" s="31">
        <v>3</v>
      </c>
      <c r="L126" s="31">
        <v>11</v>
      </c>
      <c r="M126" s="31">
        <v>0</v>
      </c>
      <c r="N126" s="31">
        <v>0</v>
      </c>
      <c r="O126" s="31">
        <v>0</v>
      </c>
      <c r="P126" s="31">
        <v>0</v>
      </c>
      <c r="Q126" s="31">
        <v>118</v>
      </c>
      <c r="R126" s="32">
        <v>14.4</v>
      </c>
      <c r="S126" s="33">
        <v>0.68402777777777779</v>
      </c>
      <c r="T126" s="32">
        <v>22.6</v>
      </c>
      <c r="U126" s="34">
        <v>47.8</v>
      </c>
      <c r="V126" s="30">
        <f t="shared" si="1"/>
        <v>5.791090998309798</v>
      </c>
    </row>
    <row r="127" spans="1:22" ht="15.75" thickBot="1">
      <c r="A127" s="58" t="s">
        <v>369</v>
      </c>
      <c r="B127" s="67" t="s">
        <v>292</v>
      </c>
      <c r="C127" s="67" t="s">
        <v>434</v>
      </c>
      <c r="D127" s="59" t="s">
        <v>219</v>
      </c>
      <c r="E127" s="35">
        <v>66</v>
      </c>
      <c r="F127" s="35">
        <v>15</v>
      </c>
      <c r="G127" s="35">
        <v>22</v>
      </c>
      <c r="H127" s="57">
        <v>37</v>
      </c>
      <c r="I127" s="35">
        <v>-18</v>
      </c>
      <c r="J127" s="35">
        <v>48</v>
      </c>
      <c r="K127" s="35">
        <v>3</v>
      </c>
      <c r="L127" s="35">
        <v>8</v>
      </c>
      <c r="M127" s="35">
        <v>0</v>
      </c>
      <c r="N127" s="35">
        <v>0</v>
      </c>
      <c r="O127" s="35">
        <v>2</v>
      </c>
      <c r="P127" s="35">
        <v>0</v>
      </c>
      <c r="Q127" s="35">
        <v>157</v>
      </c>
      <c r="R127" s="36">
        <v>9.6</v>
      </c>
      <c r="S127" s="37">
        <v>0.72916666666666663</v>
      </c>
      <c r="T127" s="36">
        <v>23.7</v>
      </c>
      <c r="U127" s="38">
        <v>27.3</v>
      </c>
      <c r="V127" s="30">
        <f t="shared" si="1"/>
        <v>5.33799562909772</v>
      </c>
    </row>
    <row r="128" spans="1:22" ht="15.75" thickBot="1">
      <c r="A128" s="55" t="s">
        <v>370</v>
      </c>
      <c r="B128" s="55" t="s">
        <v>301</v>
      </c>
      <c r="C128" s="55"/>
      <c r="D128" s="56" t="s">
        <v>219</v>
      </c>
      <c r="E128" s="31">
        <v>65</v>
      </c>
      <c r="F128" s="31">
        <v>14</v>
      </c>
      <c r="G128" s="31">
        <v>23</v>
      </c>
      <c r="H128" s="57">
        <v>37</v>
      </c>
      <c r="I128" s="31">
        <v>11</v>
      </c>
      <c r="J128" s="31">
        <v>77</v>
      </c>
      <c r="K128" s="31">
        <v>2</v>
      </c>
      <c r="L128" s="31">
        <v>8</v>
      </c>
      <c r="M128" s="31">
        <v>0</v>
      </c>
      <c r="N128" s="31">
        <v>0</v>
      </c>
      <c r="O128" s="31">
        <v>2</v>
      </c>
      <c r="P128" s="31">
        <v>0</v>
      </c>
      <c r="Q128" s="31">
        <v>113</v>
      </c>
      <c r="R128" s="32">
        <v>12.4</v>
      </c>
      <c r="S128" s="33">
        <v>0.69791666666666663</v>
      </c>
      <c r="T128" s="32">
        <v>20.6</v>
      </c>
      <c r="U128" s="34">
        <v>44.3</v>
      </c>
      <c r="V128" s="30">
        <f t="shared" si="1"/>
        <v>5.4841921674330107</v>
      </c>
    </row>
    <row r="129" spans="1:22" ht="15.75" thickBot="1">
      <c r="A129" s="58" t="s">
        <v>371</v>
      </c>
      <c r="B129" s="58" t="s">
        <v>232</v>
      </c>
      <c r="C129" s="58"/>
      <c r="D129" s="59" t="s">
        <v>279</v>
      </c>
      <c r="E129" s="35">
        <v>65</v>
      </c>
      <c r="F129" s="35">
        <v>7</v>
      </c>
      <c r="G129" s="35">
        <v>30</v>
      </c>
      <c r="H129" s="57">
        <v>37</v>
      </c>
      <c r="I129" s="35">
        <v>16</v>
      </c>
      <c r="J129" s="35">
        <v>20</v>
      </c>
      <c r="K129" s="35">
        <v>1</v>
      </c>
      <c r="L129" s="35">
        <v>11</v>
      </c>
      <c r="M129" s="35">
        <v>0</v>
      </c>
      <c r="N129" s="35">
        <v>1</v>
      </c>
      <c r="O129" s="35">
        <v>1</v>
      </c>
      <c r="P129" s="35">
        <v>0</v>
      </c>
      <c r="Q129" s="35">
        <v>137</v>
      </c>
      <c r="R129" s="36">
        <v>5.0999999999999996</v>
      </c>
      <c r="S129" s="43">
        <v>1.070138888888889</v>
      </c>
      <c r="T129" s="36">
        <v>30</v>
      </c>
      <c r="U129" s="38">
        <v>0</v>
      </c>
      <c r="V129" s="30">
        <f t="shared" si="1"/>
        <v>5.0733963275559431</v>
      </c>
    </row>
    <row r="130" spans="1:22" ht="15.75" thickBot="1">
      <c r="A130" s="55" t="s">
        <v>372</v>
      </c>
      <c r="B130" s="55" t="s">
        <v>260</v>
      </c>
      <c r="C130" s="55"/>
      <c r="D130" s="56" t="s">
        <v>216</v>
      </c>
      <c r="E130" s="31">
        <v>56</v>
      </c>
      <c r="F130" s="31">
        <v>18</v>
      </c>
      <c r="G130" s="31">
        <v>18</v>
      </c>
      <c r="H130" s="57">
        <v>36</v>
      </c>
      <c r="I130" s="31">
        <v>3</v>
      </c>
      <c r="J130" s="31">
        <v>36</v>
      </c>
      <c r="K130" s="31">
        <v>5</v>
      </c>
      <c r="L130" s="31">
        <v>11</v>
      </c>
      <c r="M130" s="31">
        <v>0</v>
      </c>
      <c r="N130" s="31">
        <v>0</v>
      </c>
      <c r="O130" s="31">
        <v>2</v>
      </c>
      <c r="P130" s="31">
        <v>1</v>
      </c>
      <c r="Q130" s="31">
        <v>119</v>
      </c>
      <c r="R130" s="32">
        <v>15.1</v>
      </c>
      <c r="S130" s="33">
        <v>0.69305555555555554</v>
      </c>
      <c r="T130" s="32">
        <v>21</v>
      </c>
      <c r="U130" s="34">
        <v>51.8</v>
      </c>
      <c r="V130" s="30">
        <f t="shared" si="1"/>
        <v>6.4064283789411798</v>
      </c>
    </row>
    <row r="131" spans="1:22" ht="15.75" thickBot="1">
      <c r="A131" s="58" t="s">
        <v>373</v>
      </c>
      <c r="B131" s="67" t="s">
        <v>236</v>
      </c>
      <c r="C131" s="67" t="s">
        <v>435</v>
      </c>
      <c r="D131" s="59" t="s">
        <v>219</v>
      </c>
      <c r="E131" s="35">
        <v>61</v>
      </c>
      <c r="F131" s="35">
        <v>18</v>
      </c>
      <c r="G131" s="35">
        <v>18</v>
      </c>
      <c r="H131" s="57">
        <v>36</v>
      </c>
      <c r="I131" s="35">
        <v>4</v>
      </c>
      <c r="J131" s="35">
        <v>14</v>
      </c>
      <c r="K131" s="35">
        <v>2</v>
      </c>
      <c r="L131" s="35">
        <v>8</v>
      </c>
      <c r="M131" s="35">
        <v>1</v>
      </c>
      <c r="N131" s="35">
        <v>1</v>
      </c>
      <c r="O131" s="35">
        <v>0</v>
      </c>
      <c r="P131" s="35">
        <v>0</v>
      </c>
      <c r="Q131" s="35">
        <v>105</v>
      </c>
      <c r="R131" s="36">
        <v>17.100000000000001</v>
      </c>
      <c r="S131" s="37">
        <v>0.60833333333333328</v>
      </c>
      <c r="T131" s="36">
        <v>20.5</v>
      </c>
      <c r="U131" s="38">
        <v>26.7</v>
      </c>
      <c r="V131" s="30">
        <f t="shared" si="1"/>
        <v>5.9602326525091298</v>
      </c>
    </row>
    <row r="132" spans="1:22" ht="15.75" thickBot="1">
      <c r="A132" s="55" t="s">
        <v>374</v>
      </c>
      <c r="B132" s="55" t="s">
        <v>260</v>
      </c>
      <c r="C132" s="55"/>
      <c r="D132" s="56" t="s">
        <v>226</v>
      </c>
      <c r="E132" s="31">
        <v>67</v>
      </c>
      <c r="F132" s="31">
        <v>16</v>
      </c>
      <c r="G132" s="31">
        <v>20</v>
      </c>
      <c r="H132" s="57">
        <v>36</v>
      </c>
      <c r="I132" s="31">
        <v>5</v>
      </c>
      <c r="J132" s="31">
        <v>16</v>
      </c>
      <c r="K132" s="31">
        <v>2</v>
      </c>
      <c r="L132" s="31">
        <v>5</v>
      </c>
      <c r="M132" s="31">
        <v>3</v>
      </c>
      <c r="N132" s="31">
        <v>3</v>
      </c>
      <c r="O132" s="31">
        <v>3</v>
      </c>
      <c r="P132" s="31">
        <v>0</v>
      </c>
      <c r="Q132" s="31">
        <v>164</v>
      </c>
      <c r="R132" s="32">
        <v>9.8000000000000007</v>
      </c>
      <c r="S132" s="33">
        <v>0.71388888888888891</v>
      </c>
      <c r="T132" s="32">
        <v>23.8</v>
      </c>
      <c r="U132" s="34">
        <v>25</v>
      </c>
      <c r="V132" s="30">
        <f t="shared" ref="V132:V182" si="2">((2.5*F132)+(2.125*G132)+(0.5*R132))/((0.25*E132)+(0.25*(S132)))</f>
        <v>5.1628994544037417</v>
      </c>
    </row>
    <row r="133" spans="1:22" ht="15.75" thickBot="1">
      <c r="A133" s="58" t="s">
        <v>375</v>
      </c>
      <c r="B133" s="58" t="s">
        <v>275</v>
      </c>
      <c r="C133" s="58"/>
      <c r="D133" s="59" t="s">
        <v>216</v>
      </c>
      <c r="E133" s="35">
        <v>64</v>
      </c>
      <c r="F133" s="35">
        <v>16</v>
      </c>
      <c r="G133" s="35">
        <v>20</v>
      </c>
      <c r="H133" s="57">
        <v>36</v>
      </c>
      <c r="I133" s="35">
        <v>-5</v>
      </c>
      <c r="J133" s="35">
        <v>22</v>
      </c>
      <c r="K133" s="35">
        <v>2</v>
      </c>
      <c r="L133" s="35">
        <v>6</v>
      </c>
      <c r="M133" s="35">
        <v>1</v>
      </c>
      <c r="N133" s="35">
        <v>1</v>
      </c>
      <c r="O133" s="35">
        <v>1</v>
      </c>
      <c r="P133" s="35">
        <v>0</v>
      </c>
      <c r="Q133" s="35">
        <v>156</v>
      </c>
      <c r="R133" s="36">
        <v>10.3</v>
      </c>
      <c r="S133" s="37">
        <v>0.72986111111111107</v>
      </c>
      <c r="T133" s="36">
        <v>21.9</v>
      </c>
      <c r="U133" s="38">
        <v>45.8</v>
      </c>
      <c r="V133" s="30">
        <f t="shared" si="2"/>
        <v>5.4163564386177603</v>
      </c>
    </row>
    <row r="134" spans="1:22" ht="15.75" thickBot="1">
      <c r="A134" s="55" t="s">
        <v>376</v>
      </c>
      <c r="B134" s="55" t="s">
        <v>215</v>
      </c>
      <c r="C134" s="55"/>
      <c r="D134" s="56" t="s">
        <v>219</v>
      </c>
      <c r="E134" s="31">
        <v>57</v>
      </c>
      <c r="F134" s="31">
        <v>14</v>
      </c>
      <c r="G134" s="31">
        <v>22</v>
      </c>
      <c r="H134" s="57">
        <v>36</v>
      </c>
      <c r="I134" s="31">
        <v>13</v>
      </c>
      <c r="J134" s="31">
        <v>10</v>
      </c>
      <c r="K134" s="31">
        <v>1</v>
      </c>
      <c r="L134" s="31">
        <v>2</v>
      </c>
      <c r="M134" s="31">
        <v>0</v>
      </c>
      <c r="N134" s="31">
        <v>0</v>
      </c>
      <c r="O134" s="31">
        <v>1</v>
      </c>
      <c r="P134" s="31">
        <v>0</v>
      </c>
      <c r="Q134" s="31">
        <v>118</v>
      </c>
      <c r="R134" s="32">
        <v>11.9</v>
      </c>
      <c r="S134" s="33">
        <v>0.68611111111111101</v>
      </c>
      <c r="T134" s="32">
        <v>20.8</v>
      </c>
      <c r="U134" s="34">
        <v>43.5</v>
      </c>
      <c r="V134" s="30">
        <f t="shared" si="2"/>
        <v>6.081186497809024</v>
      </c>
    </row>
    <row r="135" spans="1:22" ht="15.75" thickBot="1">
      <c r="A135" s="58" t="s">
        <v>377</v>
      </c>
      <c r="B135" s="58" t="s">
        <v>225</v>
      </c>
      <c r="C135" s="58"/>
      <c r="D135" s="59" t="s">
        <v>216</v>
      </c>
      <c r="E135" s="35">
        <v>68</v>
      </c>
      <c r="F135" s="35">
        <v>12</v>
      </c>
      <c r="G135" s="35">
        <v>24</v>
      </c>
      <c r="H135" s="57">
        <v>36</v>
      </c>
      <c r="I135" s="35">
        <v>-6</v>
      </c>
      <c r="J135" s="35">
        <v>30</v>
      </c>
      <c r="K135" s="35">
        <v>4</v>
      </c>
      <c r="L135" s="35">
        <v>13</v>
      </c>
      <c r="M135" s="35">
        <v>0</v>
      </c>
      <c r="N135" s="35">
        <v>0</v>
      </c>
      <c r="O135" s="35">
        <v>2</v>
      </c>
      <c r="P135" s="35">
        <v>1</v>
      </c>
      <c r="Q135" s="35">
        <v>124</v>
      </c>
      <c r="R135" s="36">
        <v>9.6999999999999993</v>
      </c>
      <c r="S135" s="37">
        <v>0.7055555555555556</v>
      </c>
      <c r="T135" s="36">
        <v>21.2</v>
      </c>
      <c r="U135" s="38">
        <v>47.6</v>
      </c>
      <c r="V135" s="30">
        <f t="shared" si="2"/>
        <v>4.9981402118541283</v>
      </c>
    </row>
    <row r="136" spans="1:22" ht="15.75" thickBot="1">
      <c r="A136" s="55" t="s">
        <v>378</v>
      </c>
      <c r="B136" s="55" t="s">
        <v>301</v>
      </c>
      <c r="C136" s="55"/>
      <c r="D136" s="56" t="s">
        <v>226</v>
      </c>
      <c r="E136" s="31">
        <v>66</v>
      </c>
      <c r="F136" s="31">
        <v>12</v>
      </c>
      <c r="G136" s="31">
        <v>24</v>
      </c>
      <c r="H136" s="57">
        <v>36</v>
      </c>
      <c r="I136" s="31">
        <v>11</v>
      </c>
      <c r="J136" s="31">
        <v>18</v>
      </c>
      <c r="K136" s="31">
        <v>1</v>
      </c>
      <c r="L136" s="31">
        <v>9</v>
      </c>
      <c r="M136" s="31">
        <v>0</v>
      </c>
      <c r="N136" s="31">
        <v>0</v>
      </c>
      <c r="O136" s="31">
        <v>0</v>
      </c>
      <c r="P136" s="31">
        <v>0</v>
      </c>
      <c r="Q136" s="31">
        <v>118</v>
      </c>
      <c r="R136" s="32">
        <v>10.199999999999999</v>
      </c>
      <c r="S136" s="33">
        <v>0.65555555555555556</v>
      </c>
      <c r="T136" s="32">
        <v>21.2</v>
      </c>
      <c r="U136" s="34">
        <v>33.299999999999997</v>
      </c>
      <c r="V136" s="30">
        <f t="shared" si="2"/>
        <v>5.1668611435239207</v>
      </c>
    </row>
    <row r="137" spans="1:22" ht="15.75" thickBot="1">
      <c r="A137" s="58" t="s">
        <v>379</v>
      </c>
      <c r="B137" s="58" t="s">
        <v>255</v>
      </c>
      <c r="C137" s="58"/>
      <c r="D137" s="59" t="s">
        <v>279</v>
      </c>
      <c r="E137" s="35">
        <v>66</v>
      </c>
      <c r="F137" s="35">
        <v>10</v>
      </c>
      <c r="G137" s="35">
        <v>26</v>
      </c>
      <c r="H137" s="57">
        <v>36</v>
      </c>
      <c r="I137" s="35">
        <v>21</v>
      </c>
      <c r="J137" s="35">
        <v>28</v>
      </c>
      <c r="K137" s="35">
        <v>3</v>
      </c>
      <c r="L137" s="35">
        <v>9</v>
      </c>
      <c r="M137" s="35">
        <v>1</v>
      </c>
      <c r="N137" s="35">
        <v>2</v>
      </c>
      <c r="O137" s="35">
        <v>2</v>
      </c>
      <c r="P137" s="35">
        <v>1</v>
      </c>
      <c r="Q137" s="35">
        <v>110</v>
      </c>
      <c r="R137" s="36">
        <v>9.1</v>
      </c>
      <c r="S137" s="43">
        <v>1.0513888888888889</v>
      </c>
      <c r="T137" s="36">
        <v>31.9</v>
      </c>
      <c r="U137" s="38">
        <v>0</v>
      </c>
      <c r="V137" s="30">
        <f t="shared" si="2"/>
        <v>5.0588064709903264</v>
      </c>
    </row>
    <row r="138" spans="1:22" ht="15.75" thickBot="1">
      <c r="A138" s="55" t="s">
        <v>380</v>
      </c>
      <c r="B138" s="55" t="s">
        <v>236</v>
      </c>
      <c r="C138" s="55"/>
      <c r="D138" s="56" t="s">
        <v>279</v>
      </c>
      <c r="E138" s="31">
        <v>53</v>
      </c>
      <c r="F138" s="31">
        <v>10</v>
      </c>
      <c r="G138" s="31">
        <v>26</v>
      </c>
      <c r="H138" s="57">
        <v>36</v>
      </c>
      <c r="I138" s="31">
        <v>5</v>
      </c>
      <c r="J138" s="31">
        <v>30</v>
      </c>
      <c r="K138" s="31">
        <v>2</v>
      </c>
      <c r="L138" s="31">
        <v>10</v>
      </c>
      <c r="M138" s="31">
        <v>0</v>
      </c>
      <c r="N138" s="31">
        <v>0</v>
      </c>
      <c r="O138" s="31">
        <v>2</v>
      </c>
      <c r="P138" s="31">
        <v>0</v>
      </c>
      <c r="Q138" s="31">
        <v>81</v>
      </c>
      <c r="R138" s="32">
        <v>12.3</v>
      </c>
      <c r="S138" s="33">
        <v>0.90138888888888891</v>
      </c>
      <c r="T138" s="32">
        <v>26.9</v>
      </c>
      <c r="U138" s="34">
        <v>0</v>
      </c>
      <c r="V138" s="30">
        <f t="shared" si="2"/>
        <v>6.4117086242881811</v>
      </c>
    </row>
    <row r="139" spans="1:22" ht="15.75" thickBot="1">
      <c r="A139" s="58" t="s">
        <v>381</v>
      </c>
      <c r="B139" s="58" t="s">
        <v>228</v>
      </c>
      <c r="C139" s="58"/>
      <c r="D139" s="59" t="s">
        <v>279</v>
      </c>
      <c r="E139" s="35">
        <v>66</v>
      </c>
      <c r="F139" s="35">
        <v>6</v>
      </c>
      <c r="G139" s="35">
        <v>30</v>
      </c>
      <c r="H139" s="57">
        <v>36</v>
      </c>
      <c r="I139" s="35">
        <v>-3</v>
      </c>
      <c r="J139" s="35">
        <v>24</v>
      </c>
      <c r="K139" s="35">
        <v>1</v>
      </c>
      <c r="L139" s="35">
        <v>7</v>
      </c>
      <c r="M139" s="35">
        <v>0</v>
      </c>
      <c r="N139" s="35">
        <v>0</v>
      </c>
      <c r="O139" s="35">
        <v>1</v>
      </c>
      <c r="P139" s="35">
        <v>0</v>
      </c>
      <c r="Q139" s="35">
        <v>160</v>
      </c>
      <c r="R139" s="36">
        <v>3.8</v>
      </c>
      <c r="S139" s="43">
        <v>1.0527777777777778</v>
      </c>
      <c r="T139" s="36">
        <v>31.9</v>
      </c>
      <c r="U139" s="38">
        <v>0</v>
      </c>
      <c r="V139" s="30">
        <f t="shared" si="2"/>
        <v>4.8111355068561252</v>
      </c>
    </row>
    <row r="140" spans="1:22" ht="15.75" thickBot="1">
      <c r="A140" s="55" t="s">
        <v>382</v>
      </c>
      <c r="B140" s="55" t="s">
        <v>339</v>
      </c>
      <c r="C140" s="55"/>
      <c r="D140" s="56" t="s">
        <v>219</v>
      </c>
      <c r="E140" s="31">
        <v>65</v>
      </c>
      <c r="F140" s="31">
        <v>6</v>
      </c>
      <c r="G140" s="31">
        <v>30</v>
      </c>
      <c r="H140" s="57">
        <v>36</v>
      </c>
      <c r="I140" s="31">
        <v>-1</v>
      </c>
      <c r="J140" s="31">
        <v>32</v>
      </c>
      <c r="K140" s="31">
        <v>1</v>
      </c>
      <c r="L140" s="31">
        <v>8</v>
      </c>
      <c r="M140" s="31">
        <v>0</v>
      </c>
      <c r="N140" s="31">
        <v>0</v>
      </c>
      <c r="O140" s="31">
        <v>0</v>
      </c>
      <c r="P140" s="31">
        <v>0</v>
      </c>
      <c r="Q140" s="31">
        <v>104</v>
      </c>
      <c r="R140" s="32">
        <v>5.8</v>
      </c>
      <c r="S140" s="33">
        <v>0.69861111111111107</v>
      </c>
      <c r="T140" s="32">
        <v>22.2</v>
      </c>
      <c r="U140" s="34">
        <v>51.8</v>
      </c>
      <c r="V140" s="30">
        <f t="shared" si="2"/>
        <v>4.97118575988838</v>
      </c>
    </row>
    <row r="141" spans="1:22" ht="15.75" thickBot="1">
      <c r="A141" s="58" t="s">
        <v>383</v>
      </c>
      <c r="B141" s="58" t="s">
        <v>265</v>
      </c>
      <c r="C141" s="58"/>
      <c r="D141" s="59" t="s">
        <v>219</v>
      </c>
      <c r="E141" s="35">
        <v>62</v>
      </c>
      <c r="F141" s="35">
        <v>22</v>
      </c>
      <c r="G141" s="35">
        <v>13</v>
      </c>
      <c r="H141" s="57">
        <v>35</v>
      </c>
      <c r="I141" s="35">
        <v>14</v>
      </c>
      <c r="J141" s="35">
        <v>55</v>
      </c>
      <c r="K141" s="35">
        <v>3</v>
      </c>
      <c r="L141" s="35">
        <v>4</v>
      </c>
      <c r="M141" s="35">
        <v>0</v>
      </c>
      <c r="N141" s="35">
        <v>0</v>
      </c>
      <c r="O141" s="35">
        <v>6</v>
      </c>
      <c r="P141" s="35">
        <v>2</v>
      </c>
      <c r="Q141" s="35">
        <v>202</v>
      </c>
      <c r="R141" s="36">
        <v>10.9</v>
      </c>
      <c r="S141" s="37">
        <v>0.75069444444444444</v>
      </c>
      <c r="T141" s="36">
        <v>21.9</v>
      </c>
      <c r="U141" s="38">
        <v>41.2</v>
      </c>
      <c r="V141" s="30">
        <f t="shared" si="2"/>
        <v>5.6142804971171199</v>
      </c>
    </row>
    <row r="142" spans="1:22" ht="15.75" thickBot="1">
      <c r="A142" s="55" t="s">
        <v>384</v>
      </c>
      <c r="B142" s="55" t="s">
        <v>257</v>
      </c>
      <c r="C142" s="55"/>
      <c r="D142" s="56" t="s">
        <v>219</v>
      </c>
      <c r="E142" s="31">
        <v>58</v>
      </c>
      <c r="F142" s="31">
        <v>17</v>
      </c>
      <c r="G142" s="31">
        <v>18</v>
      </c>
      <c r="H142" s="57">
        <v>35</v>
      </c>
      <c r="I142" s="31">
        <v>6</v>
      </c>
      <c r="J142" s="31">
        <v>45</v>
      </c>
      <c r="K142" s="31">
        <v>6</v>
      </c>
      <c r="L142" s="31">
        <v>11</v>
      </c>
      <c r="M142" s="31">
        <v>0</v>
      </c>
      <c r="N142" s="31">
        <v>0</v>
      </c>
      <c r="O142" s="31">
        <v>4</v>
      </c>
      <c r="P142" s="31">
        <v>1</v>
      </c>
      <c r="Q142" s="31">
        <v>118</v>
      </c>
      <c r="R142" s="32">
        <v>14.4</v>
      </c>
      <c r="S142" s="33">
        <v>0.7368055555555556</v>
      </c>
      <c r="T142" s="32">
        <v>23.7</v>
      </c>
      <c r="U142" s="34">
        <v>50</v>
      </c>
      <c r="V142" s="30">
        <f t="shared" si="2"/>
        <v>5.9894302502926191</v>
      </c>
    </row>
    <row r="143" spans="1:22" ht="15.75" thickBot="1">
      <c r="A143" s="58" t="s">
        <v>385</v>
      </c>
      <c r="B143" s="58" t="s">
        <v>265</v>
      </c>
      <c r="C143" s="58"/>
      <c r="D143" s="59" t="s">
        <v>216</v>
      </c>
      <c r="E143" s="35">
        <v>47</v>
      </c>
      <c r="F143" s="35">
        <v>16</v>
      </c>
      <c r="G143" s="35">
        <v>19</v>
      </c>
      <c r="H143" s="57">
        <v>35</v>
      </c>
      <c r="I143" s="35">
        <v>10</v>
      </c>
      <c r="J143" s="35">
        <v>30</v>
      </c>
      <c r="K143" s="35">
        <v>6</v>
      </c>
      <c r="L143" s="35">
        <v>8</v>
      </c>
      <c r="M143" s="35">
        <v>1</v>
      </c>
      <c r="N143" s="35">
        <v>1</v>
      </c>
      <c r="O143" s="35">
        <v>1</v>
      </c>
      <c r="P143" s="35">
        <v>0</v>
      </c>
      <c r="Q143" s="35">
        <v>92</v>
      </c>
      <c r="R143" s="36">
        <v>17.399999999999999</v>
      </c>
      <c r="S143" s="37">
        <v>0.7597222222222223</v>
      </c>
      <c r="T143" s="36">
        <v>24.4</v>
      </c>
      <c r="U143" s="38">
        <v>52.6</v>
      </c>
      <c r="V143" s="30">
        <f t="shared" si="2"/>
        <v>7.4602611452002208</v>
      </c>
    </row>
    <row r="144" spans="1:22" ht="15.75" thickBot="1">
      <c r="A144" s="55" t="s">
        <v>386</v>
      </c>
      <c r="B144" s="55" t="s">
        <v>387</v>
      </c>
      <c r="C144" s="55"/>
      <c r="D144" s="56" t="s">
        <v>216</v>
      </c>
      <c r="E144" s="31">
        <v>60</v>
      </c>
      <c r="F144" s="31">
        <v>14</v>
      </c>
      <c r="G144" s="31">
        <v>21</v>
      </c>
      <c r="H144" s="57">
        <v>35</v>
      </c>
      <c r="I144" s="31">
        <v>-2</v>
      </c>
      <c r="J144" s="31">
        <v>16</v>
      </c>
      <c r="K144" s="31">
        <v>4</v>
      </c>
      <c r="L144" s="31">
        <v>13</v>
      </c>
      <c r="M144" s="31">
        <v>0</v>
      </c>
      <c r="N144" s="31">
        <v>1</v>
      </c>
      <c r="O144" s="31">
        <v>3</v>
      </c>
      <c r="P144" s="31">
        <v>0</v>
      </c>
      <c r="Q144" s="31">
        <v>95</v>
      </c>
      <c r="R144" s="32">
        <v>14.7</v>
      </c>
      <c r="S144" s="33">
        <v>0.75624999999999998</v>
      </c>
      <c r="T144" s="32">
        <v>24.2</v>
      </c>
      <c r="U144" s="34">
        <v>52.4</v>
      </c>
      <c r="V144" s="30">
        <f t="shared" si="2"/>
        <v>5.726159860096697</v>
      </c>
    </row>
    <row r="145" spans="1:22" ht="15.75" thickBot="1">
      <c r="A145" s="58" t="s">
        <v>388</v>
      </c>
      <c r="B145" s="58" t="s">
        <v>230</v>
      </c>
      <c r="C145" s="58"/>
      <c r="D145" s="59" t="s">
        <v>216</v>
      </c>
      <c r="E145" s="35">
        <v>60</v>
      </c>
      <c r="F145" s="35">
        <v>14</v>
      </c>
      <c r="G145" s="35">
        <v>21</v>
      </c>
      <c r="H145" s="57">
        <v>35</v>
      </c>
      <c r="I145" s="35">
        <v>8</v>
      </c>
      <c r="J145" s="35">
        <v>28</v>
      </c>
      <c r="K145" s="35">
        <v>1</v>
      </c>
      <c r="L145" s="35">
        <v>3</v>
      </c>
      <c r="M145" s="35">
        <v>1</v>
      </c>
      <c r="N145" s="35">
        <v>1</v>
      </c>
      <c r="O145" s="35">
        <v>4</v>
      </c>
      <c r="P145" s="35">
        <v>0</v>
      </c>
      <c r="Q145" s="35">
        <v>101</v>
      </c>
      <c r="R145" s="36">
        <v>13.9</v>
      </c>
      <c r="S145" s="37">
        <v>0.68055555555555547</v>
      </c>
      <c r="T145" s="36">
        <v>20.100000000000001</v>
      </c>
      <c r="U145" s="38">
        <v>43.5</v>
      </c>
      <c r="V145" s="30">
        <f t="shared" si="2"/>
        <v>5.7069352254520487</v>
      </c>
    </row>
    <row r="146" spans="1:22" ht="15.75" thickBot="1">
      <c r="A146" s="55" t="s">
        <v>389</v>
      </c>
      <c r="B146" s="66" t="s">
        <v>402</v>
      </c>
      <c r="C146" s="66" t="s">
        <v>436</v>
      </c>
      <c r="D146" s="56" t="s">
        <v>216</v>
      </c>
      <c r="E146" s="31">
        <v>66</v>
      </c>
      <c r="F146" s="31">
        <v>13</v>
      </c>
      <c r="G146" s="31">
        <v>22</v>
      </c>
      <c r="H146" s="57">
        <v>35</v>
      </c>
      <c r="I146" s="31">
        <v>-23</v>
      </c>
      <c r="J146" s="31">
        <v>34</v>
      </c>
      <c r="K146" s="31">
        <v>6</v>
      </c>
      <c r="L146" s="31">
        <v>13</v>
      </c>
      <c r="M146" s="31">
        <v>0</v>
      </c>
      <c r="N146" s="31">
        <v>0</v>
      </c>
      <c r="O146" s="31">
        <v>1</v>
      </c>
      <c r="P146" s="31">
        <v>0</v>
      </c>
      <c r="Q146" s="31">
        <v>88</v>
      </c>
      <c r="R146" s="32">
        <v>14.8</v>
      </c>
      <c r="S146" s="33">
        <v>0.78263888888888899</v>
      </c>
      <c r="T146" s="32">
        <v>25.6</v>
      </c>
      <c r="U146" s="34">
        <v>55.7</v>
      </c>
      <c r="V146" s="30">
        <f t="shared" si="2"/>
        <v>5.1899716118834949</v>
      </c>
    </row>
    <row r="147" spans="1:22" ht="15.75" thickBot="1">
      <c r="A147" s="58" t="s">
        <v>390</v>
      </c>
      <c r="B147" s="58" t="s">
        <v>301</v>
      </c>
      <c r="C147" s="58"/>
      <c r="D147" s="59" t="s">
        <v>216</v>
      </c>
      <c r="E147" s="35">
        <v>66</v>
      </c>
      <c r="F147" s="35">
        <v>10</v>
      </c>
      <c r="G147" s="35">
        <v>25</v>
      </c>
      <c r="H147" s="57">
        <v>35</v>
      </c>
      <c r="I147" s="35">
        <v>8</v>
      </c>
      <c r="J147" s="35">
        <v>20</v>
      </c>
      <c r="K147" s="35">
        <v>4</v>
      </c>
      <c r="L147" s="35">
        <v>7</v>
      </c>
      <c r="M147" s="35">
        <v>0</v>
      </c>
      <c r="N147" s="35">
        <v>0</v>
      </c>
      <c r="O147" s="35">
        <v>2</v>
      </c>
      <c r="P147" s="35">
        <v>0</v>
      </c>
      <c r="Q147" s="35">
        <v>136</v>
      </c>
      <c r="R147" s="36">
        <v>7.4</v>
      </c>
      <c r="S147" s="37">
        <v>0.69305555555555554</v>
      </c>
      <c r="T147" s="36">
        <v>20.6</v>
      </c>
      <c r="U147" s="38">
        <v>49.3</v>
      </c>
      <c r="V147" s="30">
        <f t="shared" si="2"/>
        <v>4.907557425185864</v>
      </c>
    </row>
    <row r="148" spans="1:22" ht="15.75" thickBot="1">
      <c r="A148" s="55" t="s">
        <v>391</v>
      </c>
      <c r="B148" s="66" t="s">
        <v>275</v>
      </c>
      <c r="C148" s="66" t="s">
        <v>437</v>
      </c>
      <c r="D148" s="56" t="s">
        <v>279</v>
      </c>
      <c r="E148" s="31">
        <v>65</v>
      </c>
      <c r="F148" s="31">
        <v>6</v>
      </c>
      <c r="G148" s="31">
        <v>29</v>
      </c>
      <c r="H148" s="57">
        <v>35</v>
      </c>
      <c r="I148" s="31">
        <v>-5</v>
      </c>
      <c r="J148" s="31">
        <v>26</v>
      </c>
      <c r="K148" s="31">
        <v>4</v>
      </c>
      <c r="L148" s="31">
        <v>16</v>
      </c>
      <c r="M148" s="31">
        <v>0</v>
      </c>
      <c r="N148" s="31">
        <v>0</v>
      </c>
      <c r="O148" s="31">
        <v>0</v>
      </c>
      <c r="P148" s="31">
        <v>0</v>
      </c>
      <c r="Q148" s="31">
        <v>106</v>
      </c>
      <c r="R148" s="32">
        <v>5.7</v>
      </c>
      <c r="S148" s="33">
        <v>0.86319444444444438</v>
      </c>
      <c r="T148" s="32">
        <v>26.9</v>
      </c>
      <c r="U148" s="34">
        <v>0</v>
      </c>
      <c r="V148" s="30">
        <f t="shared" si="2"/>
        <v>4.8266714464957872</v>
      </c>
    </row>
    <row r="149" spans="1:22" ht="15.75" thickBot="1">
      <c r="A149" s="58" t="s">
        <v>392</v>
      </c>
      <c r="B149" s="58" t="s">
        <v>387</v>
      </c>
      <c r="C149" s="58"/>
      <c r="D149" s="59" t="s">
        <v>219</v>
      </c>
      <c r="E149" s="35">
        <v>55</v>
      </c>
      <c r="F149" s="35">
        <v>24</v>
      </c>
      <c r="G149" s="35">
        <v>10</v>
      </c>
      <c r="H149" s="57">
        <v>34</v>
      </c>
      <c r="I149" s="35">
        <v>2</v>
      </c>
      <c r="J149" s="35">
        <v>24</v>
      </c>
      <c r="K149" s="35">
        <v>8</v>
      </c>
      <c r="L149" s="35">
        <v>9</v>
      </c>
      <c r="M149" s="35">
        <v>1</v>
      </c>
      <c r="N149" s="35">
        <v>1</v>
      </c>
      <c r="O149" s="35">
        <v>8</v>
      </c>
      <c r="P149" s="35">
        <v>0</v>
      </c>
      <c r="Q149" s="35">
        <v>122</v>
      </c>
      <c r="R149" s="36">
        <v>19.7</v>
      </c>
      <c r="S149" s="37">
        <v>0.76388888888888884</v>
      </c>
      <c r="T149" s="36">
        <v>23.7</v>
      </c>
      <c r="U149" s="38">
        <v>42.4</v>
      </c>
      <c r="V149" s="30">
        <f t="shared" si="2"/>
        <v>6.5346948941469485</v>
      </c>
    </row>
    <row r="150" spans="1:22" ht="15.75" thickBot="1">
      <c r="A150" s="55" t="s">
        <v>393</v>
      </c>
      <c r="B150" s="55" t="s">
        <v>218</v>
      </c>
      <c r="C150" s="55"/>
      <c r="D150" s="56" t="s">
        <v>226</v>
      </c>
      <c r="E150" s="31">
        <v>67</v>
      </c>
      <c r="F150" s="31">
        <v>18</v>
      </c>
      <c r="G150" s="31">
        <v>16</v>
      </c>
      <c r="H150" s="57">
        <v>34</v>
      </c>
      <c r="I150" s="31">
        <v>8</v>
      </c>
      <c r="J150" s="31">
        <v>43</v>
      </c>
      <c r="K150" s="31">
        <v>8</v>
      </c>
      <c r="L150" s="31">
        <v>13</v>
      </c>
      <c r="M150" s="31">
        <v>1</v>
      </c>
      <c r="N150" s="31">
        <v>1</v>
      </c>
      <c r="O150" s="31">
        <v>3</v>
      </c>
      <c r="P150" s="31">
        <v>0</v>
      </c>
      <c r="Q150" s="31">
        <v>115</v>
      </c>
      <c r="R150" s="32">
        <v>15.7</v>
      </c>
      <c r="S150" s="33">
        <v>0.72152777777777777</v>
      </c>
      <c r="T150" s="32">
        <v>22.3</v>
      </c>
      <c r="U150" s="34">
        <v>57.7</v>
      </c>
      <c r="V150" s="30">
        <f t="shared" si="2"/>
        <v>5.1298311098350062</v>
      </c>
    </row>
    <row r="151" spans="1:22" ht="15.75" thickBot="1">
      <c r="A151" s="58" t="s">
        <v>394</v>
      </c>
      <c r="B151" s="58" t="s">
        <v>234</v>
      </c>
      <c r="C151" s="58"/>
      <c r="D151" s="59" t="s">
        <v>219</v>
      </c>
      <c r="E151" s="35">
        <v>63</v>
      </c>
      <c r="F151" s="35">
        <v>17</v>
      </c>
      <c r="G151" s="35">
        <v>17</v>
      </c>
      <c r="H151" s="57">
        <v>34</v>
      </c>
      <c r="I151" s="35">
        <v>13</v>
      </c>
      <c r="J151" s="35">
        <v>86</v>
      </c>
      <c r="K151" s="35">
        <v>7</v>
      </c>
      <c r="L151" s="35">
        <v>8</v>
      </c>
      <c r="M151" s="35">
        <v>0</v>
      </c>
      <c r="N151" s="35">
        <v>0</v>
      </c>
      <c r="O151" s="35">
        <v>4</v>
      </c>
      <c r="P151" s="35">
        <v>0</v>
      </c>
      <c r="Q151" s="35">
        <v>146</v>
      </c>
      <c r="R151" s="36">
        <v>11.6</v>
      </c>
      <c r="S151" s="37">
        <v>0.64861111111111114</v>
      </c>
      <c r="T151" s="36">
        <v>21.9</v>
      </c>
      <c r="U151" s="38">
        <v>45</v>
      </c>
      <c r="V151" s="30">
        <f t="shared" si="2"/>
        <v>5.3056931503262268</v>
      </c>
    </row>
    <row r="152" spans="1:22" ht="15.75" thickBot="1">
      <c r="A152" s="60" t="s">
        <v>395</v>
      </c>
      <c r="B152" s="60" t="s">
        <v>396</v>
      </c>
      <c r="C152" s="60"/>
      <c r="D152" s="64" t="s">
        <v>216</v>
      </c>
      <c r="E152" s="45">
        <v>64</v>
      </c>
      <c r="F152" s="45">
        <v>16</v>
      </c>
      <c r="G152" s="45">
        <v>18</v>
      </c>
      <c r="H152" s="65">
        <v>34</v>
      </c>
      <c r="I152" s="45">
        <v>-20</v>
      </c>
      <c r="J152" s="45">
        <v>37</v>
      </c>
      <c r="K152" s="45">
        <v>5</v>
      </c>
      <c r="L152" s="45">
        <v>12</v>
      </c>
      <c r="M152" s="45">
        <v>1</v>
      </c>
      <c r="N152" s="45">
        <v>1</v>
      </c>
      <c r="O152" s="45">
        <v>1</v>
      </c>
      <c r="P152" s="45">
        <v>0</v>
      </c>
      <c r="Q152" s="45">
        <v>148</v>
      </c>
      <c r="R152" s="46">
        <v>10.8</v>
      </c>
      <c r="S152" s="47">
        <v>0.77777777777777779</v>
      </c>
      <c r="T152" s="46">
        <v>21.7</v>
      </c>
      <c r="U152" s="48">
        <v>36.6</v>
      </c>
      <c r="V152" s="30">
        <f t="shared" si="2"/>
        <v>5.1653516295025739</v>
      </c>
    </row>
    <row r="153" spans="1:22" ht="15.75" thickBot="1">
      <c r="A153" s="52" t="s">
        <v>397</v>
      </c>
      <c r="B153" s="52" t="s">
        <v>242</v>
      </c>
      <c r="C153" s="52"/>
      <c r="D153" s="53" t="s">
        <v>279</v>
      </c>
      <c r="E153" s="26">
        <v>57</v>
      </c>
      <c r="F153" s="26">
        <v>12</v>
      </c>
      <c r="G153" s="26">
        <v>22</v>
      </c>
      <c r="H153" s="54">
        <v>34</v>
      </c>
      <c r="I153" s="26">
        <v>6</v>
      </c>
      <c r="J153" s="26">
        <v>34</v>
      </c>
      <c r="K153" s="26">
        <v>7</v>
      </c>
      <c r="L153" s="26">
        <v>17</v>
      </c>
      <c r="M153" s="26">
        <v>1</v>
      </c>
      <c r="N153" s="26">
        <v>1</v>
      </c>
      <c r="O153" s="26">
        <v>1</v>
      </c>
      <c r="P153" s="26">
        <v>0</v>
      </c>
      <c r="Q153" s="26">
        <v>95</v>
      </c>
      <c r="R153" s="27">
        <v>12.6</v>
      </c>
      <c r="S153" s="28">
        <v>0.90277777777777779</v>
      </c>
      <c r="T153" s="27">
        <v>25.8</v>
      </c>
      <c r="U153" s="29">
        <v>50</v>
      </c>
      <c r="V153" s="30">
        <f t="shared" si="2"/>
        <v>5.7372031662269123</v>
      </c>
    </row>
    <row r="154" spans="1:22" ht="15.75" thickBot="1">
      <c r="A154" s="55" t="s">
        <v>398</v>
      </c>
      <c r="B154" s="55" t="s">
        <v>339</v>
      </c>
      <c r="C154" s="55"/>
      <c r="D154" s="56" t="s">
        <v>279</v>
      </c>
      <c r="E154" s="31">
        <v>65</v>
      </c>
      <c r="F154" s="31">
        <v>11</v>
      </c>
      <c r="G154" s="31">
        <v>23</v>
      </c>
      <c r="H154" s="57">
        <v>34</v>
      </c>
      <c r="I154" s="31">
        <v>7</v>
      </c>
      <c r="J154" s="31">
        <v>28</v>
      </c>
      <c r="K154" s="31">
        <v>5</v>
      </c>
      <c r="L154" s="31">
        <v>10</v>
      </c>
      <c r="M154" s="31">
        <v>0</v>
      </c>
      <c r="N154" s="31">
        <v>0</v>
      </c>
      <c r="O154" s="31">
        <v>4</v>
      </c>
      <c r="P154" s="31">
        <v>0</v>
      </c>
      <c r="Q154" s="31">
        <v>139</v>
      </c>
      <c r="R154" s="32">
        <v>7.9</v>
      </c>
      <c r="S154" s="33">
        <v>0.93055555555555547</v>
      </c>
      <c r="T154" s="32">
        <v>24.7</v>
      </c>
      <c r="U154" s="34">
        <v>0</v>
      </c>
      <c r="V154" s="30">
        <f t="shared" si="2"/>
        <v>4.8733094586054353</v>
      </c>
    </row>
    <row r="155" spans="1:22" ht="15.75" thickBot="1">
      <c r="A155" s="58" t="s">
        <v>399</v>
      </c>
      <c r="B155" s="58" t="s">
        <v>230</v>
      </c>
      <c r="C155" s="58"/>
      <c r="D155" s="59" t="s">
        <v>279</v>
      </c>
      <c r="E155" s="35">
        <v>68</v>
      </c>
      <c r="F155" s="35">
        <v>6</v>
      </c>
      <c r="G155" s="35">
        <v>28</v>
      </c>
      <c r="H155" s="57">
        <v>34</v>
      </c>
      <c r="I155" s="35">
        <v>22</v>
      </c>
      <c r="J155" s="35">
        <v>22</v>
      </c>
      <c r="K155" s="35">
        <v>2</v>
      </c>
      <c r="L155" s="35">
        <v>12</v>
      </c>
      <c r="M155" s="35">
        <v>0</v>
      </c>
      <c r="N155" s="35">
        <v>0</v>
      </c>
      <c r="O155" s="35">
        <v>0</v>
      </c>
      <c r="P155" s="35">
        <v>0</v>
      </c>
      <c r="Q155" s="35">
        <v>108</v>
      </c>
      <c r="R155" s="36">
        <v>5.6</v>
      </c>
      <c r="S155" s="37">
        <v>0.9159722222222223</v>
      </c>
      <c r="T155" s="36">
        <v>26</v>
      </c>
      <c r="U155" s="38">
        <v>0</v>
      </c>
      <c r="V155" s="30">
        <f t="shared" si="2"/>
        <v>4.4866232025715691</v>
      </c>
    </row>
    <row r="156" spans="1:22" ht="15.75" thickBot="1">
      <c r="A156" s="55" t="s">
        <v>400</v>
      </c>
      <c r="B156" s="55" t="s">
        <v>269</v>
      </c>
      <c r="C156" s="55"/>
      <c r="D156" s="56" t="s">
        <v>226</v>
      </c>
      <c r="E156" s="31">
        <v>66</v>
      </c>
      <c r="F156" s="31">
        <v>21</v>
      </c>
      <c r="G156" s="31">
        <v>12</v>
      </c>
      <c r="H156" s="57">
        <v>33</v>
      </c>
      <c r="I156" s="31">
        <v>-1</v>
      </c>
      <c r="J156" s="31">
        <v>24</v>
      </c>
      <c r="K156" s="31">
        <v>5</v>
      </c>
      <c r="L156" s="31">
        <v>7</v>
      </c>
      <c r="M156" s="31">
        <v>1</v>
      </c>
      <c r="N156" s="31">
        <v>1</v>
      </c>
      <c r="O156" s="31">
        <v>4</v>
      </c>
      <c r="P156" s="31">
        <v>0</v>
      </c>
      <c r="Q156" s="31">
        <v>125</v>
      </c>
      <c r="R156" s="32">
        <v>16.8</v>
      </c>
      <c r="S156" s="33">
        <v>0.59861111111111109</v>
      </c>
      <c r="T156" s="32">
        <v>19.7</v>
      </c>
      <c r="U156" s="34">
        <v>28.6</v>
      </c>
      <c r="V156" s="30">
        <f t="shared" si="2"/>
        <v>5.1892974077704324</v>
      </c>
    </row>
    <row r="157" spans="1:22" ht="30.75" thickBot="1">
      <c r="A157" s="58" t="s">
        <v>401</v>
      </c>
      <c r="B157" s="58" t="s">
        <v>402</v>
      </c>
      <c r="C157" s="58"/>
      <c r="D157" s="59" t="s">
        <v>279</v>
      </c>
      <c r="E157" s="35">
        <v>67</v>
      </c>
      <c r="F157" s="35">
        <v>17</v>
      </c>
      <c r="G157" s="35">
        <v>16</v>
      </c>
      <c r="H157" s="57">
        <v>33</v>
      </c>
      <c r="I157" s="35">
        <v>-22</v>
      </c>
      <c r="J157" s="35">
        <v>34</v>
      </c>
      <c r="K157" s="35">
        <v>9</v>
      </c>
      <c r="L157" s="35">
        <v>16</v>
      </c>
      <c r="M157" s="35">
        <v>1</v>
      </c>
      <c r="N157" s="35">
        <v>1</v>
      </c>
      <c r="O157" s="35">
        <v>7</v>
      </c>
      <c r="P157" s="35">
        <v>3</v>
      </c>
      <c r="Q157" s="35">
        <v>214</v>
      </c>
      <c r="R157" s="36">
        <v>7.9</v>
      </c>
      <c r="S157" s="43">
        <v>1.0381944444444444</v>
      </c>
      <c r="T157" s="36">
        <v>29.3</v>
      </c>
      <c r="U157" s="38">
        <v>0</v>
      </c>
      <c r="V157" s="30">
        <f t="shared" si="2"/>
        <v>4.7296963511099772</v>
      </c>
    </row>
    <row r="158" spans="1:22" ht="15.75" thickBot="1">
      <c r="A158" s="55" t="s">
        <v>403</v>
      </c>
      <c r="B158" s="55" t="s">
        <v>236</v>
      </c>
      <c r="C158" s="55"/>
      <c r="D158" s="56" t="s">
        <v>279</v>
      </c>
      <c r="E158" s="31">
        <v>61</v>
      </c>
      <c r="F158" s="31">
        <v>16</v>
      </c>
      <c r="G158" s="31">
        <v>17</v>
      </c>
      <c r="H158" s="57">
        <v>33</v>
      </c>
      <c r="I158" s="31">
        <v>-10</v>
      </c>
      <c r="J158" s="31">
        <v>32</v>
      </c>
      <c r="K158" s="31">
        <v>6</v>
      </c>
      <c r="L158" s="31">
        <v>12</v>
      </c>
      <c r="M158" s="31">
        <v>2</v>
      </c>
      <c r="N158" s="31">
        <v>2</v>
      </c>
      <c r="O158" s="31">
        <v>2</v>
      </c>
      <c r="P158" s="31">
        <v>0</v>
      </c>
      <c r="Q158" s="31">
        <v>110</v>
      </c>
      <c r="R158" s="32">
        <v>14.5</v>
      </c>
      <c r="S158" s="33">
        <v>0.96319444444444446</v>
      </c>
      <c r="T158" s="32">
        <v>30.3</v>
      </c>
      <c r="U158" s="34">
        <v>0</v>
      </c>
      <c r="V158" s="30">
        <f t="shared" si="2"/>
        <v>5.3822273527071403</v>
      </c>
    </row>
    <row r="159" spans="1:22" ht="15.75" thickBot="1">
      <c r="A159" s="58" t="s">
        <v>404</v>
      </c>
      <c r="B159" s="58" t="s">
        <v>277</v>
      </c>
      <c r="C159" s="58"/>
      <c r="D159" s="59" t="s">
        <v>226</v>
      </c>
      <c r="E159" s="35">
        <v>65</v>
      </c>
      <c r="F159" s="35">
        <v>16</v>
      </c>
      <c r="G159" s="35">
        <v>17</v>
      </c>
      <c r="H159" s="57">
        <v>33</v>
      </c>
      <c r="I159" s="35">
        <v>2</v>
      </c>
      <c r="J159" s="35">
        <v>25</v>
      </c>
      <c r="K159" s="35">
        <v>4</v>
      </c>
      <c r="L159" s="35">
        <v>12</v>
      </c>
      <c r="M159" s="35">
        <v>0</v>
      </c>
      <c r="N159" s="35">
        <v>0</v>
      </c>
      <c r="O159" s="35">
        <v>2</v>
      </c>
      <c r="P159" s="35">
        <v>0</v>
      </c>
      <c r="Q159" s="35">
        <v>138</v>
      </c>
      <c r="R159" s="36">
        <v>11.6</v>
      </c>
      <c r="S159" s="37">
        <v>0.65486111111111112</v>
      </c>
      <c r="T159" s="36">
        <v>19.399999999999999</v>
      </c>
      <c r="U159" s="38">
        <v>50</v>
      </c>
      <c r="V159" s="30">
        <f t="shared" si="2"/>
        <v>4.9912526575209162</v>
      </c>
    </row>
    <row r="160" spans="1:22" ht="15.75" thickBot="1">
      <c r="A160" s="55" t="s">
        <v>405</v>
      </c>
      <c r="B160" s="55" t="s">
        <v>318</v>
      </c>
      <c r="C160" s="55"/>
      <c r="D160" s="56" t="s">
        <v>216</v>
      </c>
      <c r="E160" s="31">
        <v>64</v>
      </c>
      <c r="F160" s="31">
        <v>14</v>
      </c>
      <c r="G160" s="31">
        <v>19</v>
      </c>
      <c r="H160" s="57">
        <v>33</v>
      </c>
      <c r="I160" s="31">
        <v>-16</v>
      </c>
      <c r="J160" s="31">
        <v>12</v>
      </c>
      <c r="K160" s="31">
        <v>4</v>
      </c>
      <c r="L160" s="31">
        <v>13</v>
      </c>
      <c r="M160" s="31">
        <v>0</v>
      </c>
      <c r="N160" s="31">
        <v>0</v>
      </c>
      <c r="O160" s="31">
        <v>4</v>
      </c>
      <c r="P160" s="31">
        <v>1</v>
      </c>
      <c r="Q160" s="31">
        <v>137</v>
      </c>
      <c r="R160" s="32">
        <v>10.199999999999999</v>
      </c>
      <c r="S160" s="33">
        <v>0.68125000000000002</v>
      </c>
      <c r="T160" s="32">
        <v>22.6</v>
      </c>
      <c r="U160" s="34">
        <v>51.4</v>
      </c>
      <c r="V160" s="30">
        <f t="shared" si="2"/>
        <v>4.976712725867233</v>
      </c>
    </row>
    <row r="161" spans="1:22" ht="15.75" thickBot="1">
      <c r="A161" s="58" t="s">
        <v>406</v>
      </c>
      <c r="B161" s="58" t="s">
        <v>230</v>
      </c>
      <c r="C161" s="58"/>
      <c r="D161" s="59" t="s">
        <v>279</v>
      </c>
      <c r="E161" s="35">
        <v>48</v>
      </c>
      <c r="F161" s="35">
        <v>9</v>
      </c>
      <c r="G161" s="35">
        <v>24</v>
      </c>
      <c r="H161" s="57">
        <v>33</v>
      </c>
      <c r="I161" s="35">
        <v>11</v>
      </c>
      <c r="J161" s="35">
        <v>36</v>
      </c>
      <c r="K161" s="35">
        <v>3</v>
      </c>
      <c r="L161" s="35">
        <v>9</v>
      </c>
      <c r="M161" s="35">
        <v>0</v>
      </c>
      <c r="N161" s="35">
        <v>0</v>
      </c>
      <c r="O161" s="35">
        <v>1</v>
      </c>
      <c r="P161" s="35">
        <v>1</v>
      </c>
      <c r="Q161" s="35">
        <v>96</v>
      </c>
      <c r="R161" s="36">
        <v>9.4</v>
      </c>
      <c r="S161" s="37">
        <v>0.9375</v>
      </c>
      <c r="T161" s="36">
        <v>25.9</v>
      </c>
      <c r="U161" s="38">
        <v>0</v>
      </c>
      <c r="V161" s="30">
        <f t="shared" si="2"/>
        <v>6.3918263090676888</v>
      </c>
    </row>
    <row r="162" spans="1:22" ht="15.75" thickBot="1">
      <c r="A162" s="55" t="s">
        <v>407</v>
      </c>
      <c r="B162" s="55" t="s">
        <v>402</v>
      </c>
      <c r="C162" s="55"/>
      <c r="D162" s="56" t="s">
        <v>216</v>
      </c>
      <c r="E162" s="31">
        <v>66</v>
      </c>
      <c r="F162" s="31">
        <v>12</v>
      </c>
      <c r="G162" s="31">
        <v>20</v>
      </c>
      <c r="H162" s="57">
        <v>32</v>
      </c>
      <c r="I162" s="31">
        <v>-26</v>
      </c>
      <c r="J162" s="31">
        <v>28</v>
      </c>
      <c r="K162" s="31">
        <v>5</v>
      </c>
      <c r="L162" s="31">
        <v>11</v>
      </c>
      <c r="M162" s="31">
        <v>0</v>
      </c>
      <c r="N162" s="31">
        <v>0</v>
      </c>
      <c r="O162" s="31">
        <v>0</v>
      </c>
      <c r="P162" s="31">
        <v>0</v>
      </c>
      <c r="Q162" s="31">
        <v>148</v>
      </c>
      <c r="R162" s="32">
        <v>8.1</v>
      </c>
      <c r="S162" s="33">
        <v>0.70694444444444438</v>
      </c>
      <c r="T162" s="32">
        <v>21.7</v>
      </c>
      <c r="U162" s="34">
        <v>47.8</v>
      </c>
      <c r="V162" s="30">
        <f t="shared" si="2"/>
        <v>4.5902267380124506</v>
      </c>
    </row>
    <row r="163" spans="1:22" ht="15.75" thickBot="1">
      <c r="A163" s="58" t="s">
        <v>408</v>
      </c>
      <c r="B163" s="67" t="s">
        <v>387</v>
      </c>
      <c r="C163" s="67" t="s">
        <v>438</v>
      </c>
      <c r="D163" s="59" t="s">
        <v>226</v>
      </c>
      <c r="E163" s="35">
        <v>61</v>
      </c>
      <c r="F163" s="35">
        <v>12</v>
      </c>
      <c r="G163" s="35">
        <v>20</v>
      </c>
      <c r="H163" s="57">
        <v>32</v>
      </c>
      <c r="I163" s="35">
        <v>-9</v>
      </c>
      <c r="J163" s="35">
        <v>42</v>
      </c>
      <c r="K163" s="35">
        <v>2</v>
      </c>
      <c r="L163" s="35">
        <v>7</v>
      </c>
      <c r="M163" s="35">
        <v>0</v>
      </c>
      <c r="N163" s="35">
        <v>0</v>
      </c>
      <c r="O163" s="35">
        <v>3</v>
      </c>
      <c r="P163" s="35">
        <v>1</v>
      </c>
      <c r="Q163" s="35">
        <v>130</v>
      </c>
      <c r="R163" s="36">
        <v>9.1999999999999993</v>
      </c>
      <c r="S163" s="37">
        <v>0.73888888888888893</v>
      </c>
      <c r="T163" s="36">
        <v>22.1</v>
      </c>
      <c r="U163" s="38">
        <v>0</v>
      </c>
      <c r="V163" s="30">
        <f t="shared" si="2"/>
        <v>4.9952308107621706</v>
      </c>
    </row>
    <row r="164" spans="1:22" ht="15.75" thickBot="1">
      <c r="A164" s="55" t="s">
        <v>409</v>
      </c>
      <c r="B164" s="55" t="s">
        <v>301</v>
      </c>
      <c r="C164" s="55"/>
      <c r="D164" s="56" t="s">
        <v>279</v>
      </c>
      <c r="E164" s="31">
        <v>62</v>
      </c>
      <c r="F164" s="31">
        <v>11</v>
      </c>
      <c r="G164" s="31">
        <v>21</v>
      </c>
      <c r="H164" s="57">
        <v>32</v>
      </c>
      <c r="I164" s="31">
        <v>10</v>
      </c>
      <c r="J164" s="31">
        <v>16</v>
      </c>
      <c r="K164" s="31">
        <v>2</v>
      </c>
      <c r="L164" s="31">
        <v>11</v>
      </c>
      <c r="M164" s="31">
        <v>0</v>
      </c>
      <c r="N164" s="31">
        <v>0</v>
      </c>
      <c r="O164" s="31">
        <v>0</v>
      </c>
      <c r="P164" s="31">
        <v>0</v>
      </c>
      <c r="Q164" s="31">
        <v>152</v>
      </c>
      <c r="R164" s="32">
        <v>7.2</v>
      </c>
      <c r="S164" s="33">
        <v>0.79791666666666661</v>
      </c>
      <c r="T164" s="32">
        <v>24.4</v>
      </c>
      <c r="U164" s="34">
        <v>0</v>
      </c>
      <c r="V164" s="30">
        <f t="shared" si="2"/>
        <v>4.8234084198653084</v>
      </c>
    </row>
    <row r="165" spans="1:22" ht="15.75" thickBot="1">
      <c r="A165" s="58" t="s">
        <v>410</v>
      </c>
      <c r="B165" s="58" t="s">
        <v>339</v>
      </c>
      <c r="C165" s="58"/>
      <c r="D165" s="59" t="s">
        <v>226</v>
      </c>
      <c r="E165" s="35">
        <v>64</v>
      </c>
      <c r="F165" s="35">
        <v>11</v>
      </c>
      <c r="G165" s="35">
        <v>21</v>
      </c>
      <c r="H165" s="57">
        <v>32</v>
      </c>
      <c r="I165" s="35">
        <v>8</v>
      </c>
      <c r="J165" s="35">
        <v>16</v>
      </c>
      <c r="K165" s="35">
        <v>4</v>
      </c>
      <c r="L165" s="35">
        <v>8</v>
      </c>
      <c r="M165" s="35">
        <v>0</v>
      </c>
      <c r="N165" s="35">
        <v>0</v>
      </c>
      <c r="O165" s="35">
        <v>3</v>
      </c>
      <c r="P165" s="35">
        <v>1</v>
      </c>
      <c r="Q165" s="35">
        <v>127</v>
      </c>
      <c r="R165" s="36">
        <v>8.6999999999999993</v>
      </c>
      <c r="S165" s="37">
        <v>0.65486111111111112</v>
      </c>
      <c r="T165" s="36">
        <v>19.399999999999999</v>
      </c>
      <c r="U165" s="38">
        <v>56</v>
      </c>
      <c r="V165" s="30">
        <f t="shared" si="2"/>
        <v>4.7312761135516572</v>
      </c>
    </row>
    <row r="166" spans="1:22" ht="15.75" thickBot="1">
      <c r="A166" s="55" t="s">
        <v>411</v>
      </c>
      <c r="B166" s="66" t="s">
        <v>255</v>
      </c>
      <c r="C166" s="66" t="s">
        <v>439</v>
      </c>
      <c r="D166" s="56" t="s">
        <v>219</v>
      </c>
      <c r="E166" s="31">
        <v>56</v>
      </c>
      <c r="F166" s="31">
        <v>11</v>
      </c>
      <c r="G166" s="31">
        <v>21</v>
      </c>
      <c r="H166" s="57">
        <v>32</v>
      </c>
      <c r="I166" s="31">
        <v>3</v>
      </c>
      <c r="J166" s="31">
        <v>39</v>
      </c>
      <c r="K166" s="31">
        <v>3</v>
      </c>
      <c r="L166" s="31">
        <v>10</v>
      </c>
      <c r="M166" s="31">
        <v>0</v>
      </c>
      <c r="N166" s="31">
        <v>0</v>
      </c>
      <c r="O166" s="31">
        <v>1</v>
      </c>
      <c r="P166" s="31">
        <v>0</v>
      </c>
      <c r="Q166" s="31">
        <v>94</v>
      </c>
      <c r="R166" s="32">
        <v>11.7</v>
      </c>
      <c r="S166" s="33">
        <v>0.68541666666666667</v>
      </c>
      <c r="T166" s="32">
        <v>23.4</v>
      </c>
      <c r="U166" s="34">
        <v>37.5</v>
      </c>
      <c r="V166" s="30">
        <f t="shared" si="2"/>
        <v>5.5022970340696089</v>
      </c>
    </row>
    <row r="167" spans="1:22" ht="15.75" thickBot="1">
      <c r="A167" s="58" t="s">
        <v>412</v>
      </c>
      <c r="B167" s="58" t="s">
        <v>232</v>
      </c>
      <c r="C167" s="58"/>
      <c r="D167" s="59" t="s">
        <v>219</v>
      </c>
      <c r="E167" s="35">
        <v>52</v>
      </c>
      <c r="F167" s="35">
        <v>10</v>
      </c>
      <c r="G167" s="35">
        <v>22</v>
      </c>
      <c r="H167" s="57">
        <v>32</v>
      </c>
      <c r="I167" s="35">
        <v>-12</v>
      </c>
      <c r="J167" s="35">
        <v>33</v>
      </c>
      <c r="K167" s="35">
        <v>7</v>
      </c>
      <c r="L167" s="35">
        <v>13</v>
      </c>
      <c r="M167" s="35">
        <v>0</v>
      </c>
      <c r="N167" s="35">
        <v>0</v>
      </c>
      <c r="O167" s="35">
        <v>1</v>
      </c>
      <c r="P167" s="35">
        <v>1</v>
      </c>
      <c r="Q167" s="35">
        <v>182</v>
      </c>
      <c r="R167" s="36">
        <v>5.5</v>
      </c>
      <c r="S167" s="37">
        <v>0.70624999999999993</v>
      </c>
      <c r="T167" s="36">
        <v>20.5</v>
      </c>
      <c r="U167" s="38">
        <v>43.2</v>
      </c>
      <c r="V167" s="30">
        <f t="shared" si="2"/>
        <v>5.6539784181192934</v>
      </c>
    </row>
    <row r="168" spans="1:22" ht="15.75" thickBot="1">
      <c r="A168" s="55" t="s">
        <v>413</v>
      </c>
      <c r="B168" s="55" t="s">
        <v>232</v>
      </c>
      <c r="C168" s="55"/>
      <c r="D168" s="56" t="s">
        <v>216</v>
      </c>
      <c r="E168" s="31">
        <v>63</v>
      </c>
      <c r="F168" s="31">
        <v>9</v>
      </c>
      <c r="G168" s="31">
        <v>23</v>
      </c>
      <c r="H168" s="57">
        <v>32</v>
      </c>
      <c r="I168" s="31">
        <v>2</v>
      </c>
      <c r="J168" s="31">
        <v>10</v>
      </c>
      <c r="K168" s="31">
        <v>1</v>
      </c>
      <c r="L168" s="31">
        <v>6</v>
      </c>
      <c r="M168" s="31">
        <v>0</v>
      </c>
      <c r="N168" s="31">
        <v>0</v>
      </c>
      <c r="O168" s="31">
        <v>1</v>
      </c>
      <c r="P168" s="31">
        <v>0</v>
      </c>
      <c r="Q168" s="31">
        <v>165</v>
      </c>
      <c r="R168" s="32">
        <v>5.5</v>
      </c>
      <c r="S168" s="33">
        <v>0.61319444444444449</v>
      </c>
      <c r="T168" s="32">
        <v>18.3</v>
      </c>
      <c r="U168" s="34">
        <v>48.9</v>
      </c>
      <c r="V168" s="30">
        <f t="shared" si="2"/>
        <v>4.6609827189065856</v>
      </c>
    </row>
    <row r="169" spans="1:22" ht="15.75" thickBot="1">
      <c r="A169" s="58" t="s">
        <v>414</v>
      </c>
      <c r="B169" s="58" t="s">
        <v>277</v>
      </c>
      <c r="C169" s="58"/>
      <c r="D169" s="59" t="s">
        <v>279</v>
      </c>
      <c r="E169" s="35">
        <v>60</v>
      </c>
      <c r="F169" s="35">
        <v>7</v>
      </c>
      <c r="G169" s="35">
        <v>25</v>
      </c>
      <c r="H169" s="57">
        <v>32</v>
      </c>
      <c r="I169" s="35">
        <v>-5</v>
      </c>
      <c r="J169" s="35">
        <v>18</v>
      </c>
      <c r="K169" s="35">
        <v>3</v>
      </c>
      <c r="L169" s="35">
        <v>12</v>
      </c>
      <c r="M169" s="35">
        <v>0</v>
      </c>
      <c r="N169" s="35">
        <v>0</v>
      </c>
      <c r="O169" s="35">
        <v>3</v>
      </c>
      <c r="P169" s="35">
        <v>0</v>
      </c>
      <c r="Q169" s="35">
        <v>143</v>
      </c>
      <c r="R169" s="36">
        <v>4.9000000000000004</v>
      </c>
      <c r="S169" s="37">
        <v>0.96250000000000002</v>
      </c>
      <c r="T169" s="36">
        <v>29.7</v>
      </c>
      <c r="U169" s="38">
        <v>0</v>
      </c>
      <c r="V169" s="30">
        <f t="shared" si="2"/>
        <v>4.7947508714373592</v>
      </c>
    </row>
    <row r="170" spans="1:22" ht="15.75" thickBot="1">
      <c r="A170" s="55" t="s">
        <v>415</v>
      </c>
      <c r="B170" s="55" t="s">
        <v>215</v>
      </c>
      <c r="C170" s="55"/>
      <c r="D170" s="56" t="s">
        <v>279</v>
      </c>
      <c r="E170" s="31">
        <v>59</v>
      </c>
      <c r="F170" s="31">
        <v>7</v>
      </c>
      <c r="G170" s="31">
        <v>25</v>
      </c>
      <c r="H170" s="57">
        <v>32</v>
      </c>
      <c r="I170" s="31">
        <v>17</v>
      </c>
      <c r="J170" s="31">
        <v>10</v>
      </c>
      <c r="K170" s="31">
        <v>4</v>
      </c>
      <c r="L170" s="31">
        <v>14</v>
      </c>
      <c r="M170" s="31">
        <v>0</v>
      </c>
      <c r="N170" s="31">
        <v>1</v>
      </c>
      <c r="O170" s="31">
        <v>1</v>
      </c>
      <c r="P170" s="31">
        <v>1</v>
      </c>
      <c r="Q170" s="31">
        <v>158</v>
      </c>
      <c r="R170" s="32">
        <v>4.4000000000000004</v>
      </c>
      <c r="S170" s="33">
        <v>0.90069444444444446</v>
      </c>
      <c r="T170" s="32">
        <v>25.5</v>
      </c>
      <c r="U170" s="34">
        <v>100</v>
      </c>
      <c r="V170" s="30">
        <f t="shared" si="2"/>
        <v>4.8630487960397417</v>
      </c>
    </row>
    <row r="171" spans="1:22" ht="15.75" thickBot="1">
      <c r="A171" s="58" t="s">
        <v>416</v>
      </c>
      <c r="B171" s="58" t="s">
        <v>269</v>
      </c>
      <c r="C171" s="58"/>
      <c r="D171" s="59" t="s">
        <v>279</v>
      </c>
      <c r="E171" s="35">
        <v>63</v>
      </c>
      <c r="F171" s="35">
        <v>2</v>
      </c>
      <c r="G171" s="35">
        <v>30</v>
      </c>
      <c r="H171" s="57">
        <v>32</v>
      </c>
      <c r="I171" s="35">
        <v>1</v>
      </c>
      <c r="J171" s="35">
        <v>36</v>
      </c>
      <c r="K171" s="35">
        <v>1</v>
      </c>
      <c r="L171" s="35">
        <v>10</v>
      </c>
      <c r="M171" s="35">
        <v>0</v>
      </c>
      <c r="N171" s="35">
        <v>1</v>
      </c>
      <c r="O171" s="35">
        <v>1</v>
      </c>
      <c r="P171" s="35">
        <v>0</v>
      </c>
      <c r="Q171" s="35">
        <v>122</v>
      </c>
      <c r="R171" s="36">
        <v>1.6</v>
      </c>
      <c r="S171" s="43">
        <v>1.2118055555555556</v>
      </c>
      <c r="T171" s="36">
        <v>31.3</v>
      </c>
      <c r="U171" s="38">
        <v>0</v>
      </c>
      <c r="V171" s="30">
        <f t="shared" si="2"/>
        <v>4.3325366354836961</v>
      </c>
    </row>
    <row r="172" spans="1:22" ht="15.75" thickBot="1">
      <c r="A172" s="55" t="s">
        <v>417</v>
      </c>
      <c r="B172" s="55" t="s">
        <v>232</v>
      </c>
      <c r="C172" s="55"/>
      <c r="D172" s="56" t="s">
        <v>219</v>
      </c>
      <c r="E172" s="31">
        <v>46</v>
      </c>
      <c r="F172" s="31">
        <v>13</v>
      </c>
      <c r="G172" s="31">
        <v>18</v>
      </c>
      <c r="H172" s="57">
        <v>31</v>
      </c>
      <c r="I172" s="31">
        <v>13</v>
      </c>
      <c r="J172" s="31">
        <v>29</v>
      </c>
      <c r="K172" s="31">
        <v>2</v>
      </c>
      <c r="L172" s="31">
        <v>4</v>
      </c>
      <c r="M172" s="31">
        <v>0</v>
      </c>
      <c r="N172" s="31">
        <v>0</v>
      </c>
      <c r="O172" s="31">
        <v>1</v>
      </c>
      <c r="P172" s="31">
        <v>0</v>
      </c>
      <c r="Q172" s="31">
        <v>102</v>
      </c>
      <c r="R172" s="32">
        <v>12.7</v>
      </c>
      <c r="S172" s="33">
        <v>0.67222222222222217</v>
      </c>
      <c r="T172" s="32">
        <v>20</v>
      </c>
      <c r="U172" s="34">
        <v>29.8</v>
      </c>
      <c r="V172" s="30">
        <f t="shared" si="2"/>
        <v>6.6077847875252935</v>
      </c>
    </row>
    <row r="173" spans="1:22" ht="15.75" thickBot="1">
      <c r="A173" s="58" t="s">
        <v>418</v>
      </c>
      <c r="B173" s="58" t="s">
        <v>257</v>
      </c>
      <c r="C173" s="58"/>
      <c r="D173" s="59" t="s">
        <v>216</v>
      </c>
      <c r="E173" s="35">
        <v>65</v>
      </c>
      <c r="F173" s="35">
        <v>11</v>
      </c>
      <c r="G173" s="35">
        <v>20</v>
      </c>
      <c r="H173" s="57">
        <v>31</v>
      </c>
      <c r="I173" s="35">
        <v>-1</v>
      </c>
      <c r="J173" s="35">
        <v>14</v>
      </c>
      <c r="K173" s="35">
        <v>5</v>
      </c>
      <c r="L173" s="35">
        <v>10</v>
      </c>
      <c r="M173" s="35">
        <v>0</v>
      </c>
      <c r="N173" s="35">
        <v>0</v>
      </c>
      <c r="O173" s="35">
        <v>0</v>
      </c>
      <c r="P173" s="35">
        <v>0</v>
      </c>
      <c r="Q173" s="35">
        <v>99</v>
      </c>
      <c r="R173" s="36">
        <v>11.1</v>
      </c>
      <c r="S173" s="37">
        <v>0.64652777777777781</v>
      </c>
      <c r="T173" s="36">
        <v>22.3</v>
      </c>
      <c r="U173" s="38">
        <v>52</v>
      </c>
      <c r="V173" s="30">
        <f t="shared" si="2"/>
        <v>4.6034422570373739</v>
      </c>
    </row>
    <row r="174" spans="1:22" ht="15.75" thickBot="1">
      <c r="A174" s="55" t="s">
        <v>419</v>
      </c>
      <c r="B174" s="55" t="s">
        <v>242</v>
      </c>
      <c r="C174" s="55"/>
      <c r="D174" s="56" t="s">
        <v>226</v>
      </c>
      <c r="E174" s="31">
        <v>67</v>
      </c>
      <c r="F174" s="31">
        <v>10</v>
      </c>
      <c r="G174" s="31">
        <v>21</v>
      </c>
      <c r="H174" s="57">
        <v>31</v>
      </c>
      <c r="I174" s="31">
        <v>9</v>
      </c>
      <c r="J174" s="31">
        <v>22</v>
      </c>
      <c r="K174" s="31">
        <v>2</v>
      </c>
      <c r="L174" s="31">
        <v>4</v>
      </c>
      <c r="M174" s="31">
        <v>1</v>
      </c>
      <c r="N174" s="31">
        <v>3</v>
      </c>
      <c r="O174" s="31">
        <v>0</v>
      </c>
      <c r="P174" s="31">
        <v>0</v>
      </c>
      <c r="Q174" s="31">
        <v>150</v>
      </c>
      <c r="R174" s="32">
        <v>6.7</v>
      </c>
      <c r="S174" s="33">
        <v>0.65347222222222223</v>
      </c>
      <c r="T174" s="32">
        <v>21.1</v>
      </c>
      <c r="U174" s="34">
        <v>45.4</v>
      </c>
      <c r="V174" s="30">
        <f t="shared" si="2"/>
        <v>4.314634421736586</v>
      </c>
    </row>
    <row r="175" spans="1:22" ht="15.75" thickBot="1">
      <c r="A175" s="58" t="s">
        <v>420</v>
      </c>
      <c r="B175" s="58" t="s">
        <v>242</v>
      </c>
      <c r="C175" s="58"/>
      <c r="D175" s="59" t="s">
        <v>219</v>
      </c>
      <c r="E175" s="35">
        <v>56</v>
      </c>
      <c r="F175" s="35">
        <v>21</v>
      </c>
      <c r="G175" s="35">
        <v>9</v>
      </c>
      <c r="H175" s="57">
        <v>30</v>
      </c>
      <c r="I175" s="35">
        <v>13</v>
      </c>
      <c r="J175" s="35">
        <v>35</v>
      </c>
      <c r="K175" s="35">
        <v>4</v>
      </c>
      <c r="L175" s="35">
        <v>4</v>
      </c>
      <c r="M175" s="35">
        <v>0</v>
      </c>
      <c r="N175" s="35">
        <v>0</v>
      </c>
      <c r="O175" s="35">
        <v>8</v>
      </c>
      <c r="P175" s="35">
        <v>0</v>
      </c>
      <c r="Q175" s="35">
        <v>126</v>
      </c>
      <c r="R175" s="36">
        <v>16.7</v>
      </c>
      <c r="S175" s="37">
        <v>0.6020833333333333</v>
      </c>
      <c r="T175" s="36">
        <v>18.600000000000001</v>
      </c>
      <c r="U175" s="38">
        <v>47</v>
      </c>
      <c r="V175" s="30">
        <f t="shared" si="2"/>
        <v>5.651735433766425</v>
      </c>
    </row>
    <row r="176" spans="1:22" ht="15.75" thickBot="1">
      <c r="A176" s="55" t="s">
        <v>421</v>
      </c>
      <c r="B176" s="55" t="s">
        <v>396</v>
      </c>
      <c r="C176" s="55"/>
      <c r="D176" s="56" t="s">
        <v>216</v>
      </c>
      <c r="E176" s="31">
        <v>61</v>
      </c>
      <c r="F176" s="31">
        <v>15</v>
      </c>
      <c r="G176" s="31">
        <v>15</v>
      </c>
      <c r="H176" s="57">
        <v>30</v>
      </c>
      <c r="I176" s="31">
        <v>-16</v>
      </c>
      <c r="J176" s="31">
        <v>25</v>
      </c>
      <c r="K176" s="31">
        <v>1</v>
      </c>
      <c r="L176" s="31">
        <v>4</v>
      </c>
      <c r="M176" s="31">
        <v>3</v>
      </c>
      <c r="N176" s="31">
        <v>3</v>
      </c>
      <c r="O176" s="31">
        <v>1</v>
      </c>
      <c r="P176" s="31">
        <v>0</v>
      </c>
      <c r="Q176" s="31">
        <v>115</v>
      </c>
      <c r="R176" s="32">
        <v>13</v>
      </c>
      <c r="S176" s="33">
        <v>0.7944444444444444</v>
      </c>
      <c r="T176" s="32">
        <v>23.7</v>
      </c>
      <c r="U176" s="34">
        <v>44</v>
      </c>
      <c r="V176" s="30">
        <f t="shared" si="2"/>
        <v>4.9114447541130986</v>
      </c>
    </row>
    <row r="177" spans="1:22" ht="15.75" thickBot="1">
      <c r="A177" s="58" t="s">
        <v>422</v>
      </c>
      <c r="B177" s="58" t="s">
        <v>236</v>
      </c>
      <c r="C177" s="58"/>
      <c r="D177" s="59" t="s">
        <v>216</v>
      </c>
      <c r="E177" s="35">
        <v>63</v>
      </c>
      <c r="F177" s="35">
        <v>15</v>
      </c>
      <c r="G177" s="35">
        <v>15</v>
      </c>
      <c r="H177" s="57">
        <v>30</v>
      </c>
      <c r="I177" s="35">
        <v>-2</v>
      </c>
      <c r="J177" s="35">
        <v>18</v>
      </c>
      <c r="K177" s="35">
        <v>2</v>
      </c>
      <c r="L177" s="35">
        <v>4</v>
      </c>
      <c r="M177" s="35">
        <v>2</v>
      </c>
      <c r="N177" s="35">
        <v>3</v>
      </c>
      <c r="O177" s="35">
        <v>3</v>
      </c>
      <c r="P177" s="35">
        <v>1</v>
      </c>
      <c r="Q177" s="35">
        <v>122</v>
      </c>
      <c r="R177" s="36">
        <v>12.3</v>
      </c>
      <c r="S177" s="37">
        <v>0.71319444444444446</v>
      </c>
      <c r="T177" s="36">
        <v>24.7</v>
      </c>
      <c r="U177" s="38">
        <v>50.7</v>
      </c>
      <c r="V177" s="30">
        <f t="shared" si="2"/>
        <v>4.7415610319683479</v>
      </c>
    </row>
    <row r="178" spans="1:22" ht="15.75" thickBot="1">
      <c r="A178" s="55" t="s">
        <v>423</v>
      </c>
      <c r="B178" s="55" t="s">
        <v>234</v>
      </c>
      <c r="C178" s="55"/>
      <c r="D178" s="56" t="s">
        <v>226</v>
      </c>
      <c r="E178" s="31">
        <v>62</v>
      </c>
      <c r="F178" s="31">
        <v>13</v>
      </c>
      <c r="G178" s="31">
        <v>17</v>
      </c>
      <c r="H178" s="57">
        <v>30</v>
      </c>
      <c r="I178" s="31">
        <v>9</v>
      </c>
      <c r="J178" s="31">
        <v>20</v>
      </c>
      <c r="K178" s="31">
        <v>1</v>
      </c>
      <c r="L178" s="31">
        <v>3</v>
      </c>
      <c r="M178" s="31">
        <v>1</v>
      </c>
      <c r="N178" s="31">
        <v>1</v>
      </c>
      <c r="O178" s="31">
        <v>1</v>
      </c>
      <c r="P178" s="31">
        <v>0</v>
      </c>
      <c r="Q178" s="31">
        <v>80</v>
      </c>
      <c r="R178" s="32">
        <v>16.3</v>
      </c>
      <c r="S178" s="33">
        <v>0.52569444444444446</v>
      </c>
      <c r="T178" s="32">
        <v>18.399999999999999</v>
      </c>
      <c r="U178" s="34">
        <v>37.4</v>
      </c>
      <c r="V178" s="30">
        <f t="shared" si="2"/>
        <v>4.9115807945622354</v>
      </c>
    </row>
    <row r="179" spans="1:22" ht="15.75" thickBot="1">
      <c r="A179" s="58" t="s">
        <v>424</v>
      </c>
      <c r="B179" s="58" t="s">
        <v>402</v>
      </c>
      <c r="C179" s="58"/>
      <c r="D179" s="59" t="s">
        <v>226</v>
      </c>
      <c r="E179" s="35">
        <v>65</v>
      </c>
      <c r="F179" s="35">
        <v>12</v>
      </c>
      <c r="G179" s="35">
        <v>18</v>
      </c>
      <c r="H179" s="57">
        <v>30</v>
      </c>
      <c r="I179" s="35">
        <v>-20</v>
      </c>
      <c r="J179" s="35">
        <v>48</v>
      </c>
      <c r="K179" s="35">
        <v>4</v>
      </c>
      <c r="L179" s="35">
        <v>9</v>
      </c>
      <c r="M179" s="35">
        <v>0</v>
      </c>
      <c r="N179" s="35">
        <v>0</v>
      </c>
      <c r="O179" s="35">
        <v>0</v>
      </c>
      <c r="P179" s="35">
        <v>0</v>
      </c>
      <c r="Q179" s="35">
        <v>151</v>
      </c>
      <c r="R179" s="36">
        <v>7.9</v>
      </c>
      <c r="S179" s="37">
        <v>0.77708333333333324</v>
      </c>
      <c r="T179" s="36">
        <v>23.7</v>
      </c>
      <c r="U179" s="38">
        <v>22.2</v>
      </c>
      <c r="V179" s="30">
        <f t="shared" si="2"/>
        <v>4.3905868938650112</v>
      </c>
    </row>
    <row r="180" spans="1:22" ht="15.75" thickBot="1">
      <c r="A180" s="55" t="s">
        <v>425</v>
      </c>
      <c r="B180" s="66" t="s">
        <v>396</v>
      </c>
      <c r="C180" s="66" t="s">
        <v>440</v>
      </c>
      <c r="D180" s="56" t="s">
        <v>226</v>
      </c>
      <c r="E180" s="31">
        <v>61</v>
      </c>
      <c r="F180" s="31">
        <v>12</v>
      </c>
      <c r="G180" s="31">
        <v>18</v>
      </c>
      <c r="H180" s="57">
        <v>30</v>
      </c>
      <c r="I180" s="31">
        <v>-20</v>
      </c>
      <c r="J180" s="31">
        <v>41</v>
      </c>
      <c r="K180" s="31">
        <v>3</v>
      </c>
      <c r="L180" s="31">
        <v>7</v>
      </c>
      <c r="M180" s="31">
        <v>0</v>
      </c>
      <c r="N180" s="31">
        <v>1</v>
      </c>
      <c r="O180" s="31">
        <v>1</v>
      </c>
      <c r="P180" s="31">
        <v>0</v>
      </c>
      <c r="Q180" s="31">
        <v>115</v>
      </c>
      <c r="R180" s="32">
        <v>10.4</v>
      </c>
      <c r="S180" s="33">
        <v>0.67222222222222217</v>
      </c>
      <c r="T180" s="32">
        <v>20.3</v>
      </c>
      <c r="U180" s="34">
        <v>49.4</v>
      </c>
      <c r="V180" s="30">
        <f t="shared" si="2"/>
        <v>4.7638951445815696</v>
      </c>
    </row>
    <row r="181" spans="1:22" ht="15.75" thickBot="1">
      <c r="A181" s="58" t="s">
        <v>426</v>
      </c>
      <c r="B181" s="67" t="s">
        <v>275</v>
      </c>
      <c r="C181" s="67" t="s">
        <v>437</v>
      </c>
      <c r="D181" s="59" t="s">
        <v>216</v>
      </c>
      <c r="E181" s="35">
        <v>67</v>
      </c>
      <c r="F181" s="35">
        <v>11</v>
      </c>
      <c r="G181" s="35">
        <v>19</v>
      </c>
      <c r="H181" s="57">
        <v>30</v>
      </c>
      <c r="I181" s="35">
        <v>3</v>
      </c>
      <c r="J181" s="35">
        <v>12</v>
      </c>
      <c r="K181" s="35">
        <v>0</v>
      </c>
      <c r="L181" s="35">
        <v>2</v>
      </c>
      <c r="M181" s="35">
        <v>1</v>
      </c>
      <c r="N181" s="35">
        <v>2</v>
      </c>
      <c r="O181" s="35">
        <v>1</v>
      </c>
      <c r="P181" s="35">
        <v>0</v>
      </c>
      <c r="Q181" s="35">
        <v>124</v>
      </c>
      <c r="R181" s="36">
        <v>8.9</v>
      </c>
      <c r="S181" s="37">
        <v>0.60763888888888895</v>
      </c>
      <c r="T181" s="36">
        <v>18.600000000000001</v>
      </c>
      <c r="U181" s="38">
        <v>46.7</v>
      </c>
      <c r="V181" s="30">
        <f t="shared" si="2"/>
        <v>4.2791022546350987</v>
      </c>
    </row>
    <row r="182" spans="1:22">
      <c r="A182" s="60" t="s">
        <v>427</v>
      </c>
      <c r="B182" s="60" t="s">
        <v>292</v>
      </c>
      <c r="C182" s="60"/>
      <c r="D182" s="64" t="s">
        <v>219</v>
      </c>
      <c r="E182" s="45">
        <v>42</v>
      </c>
      <c r="F182" s="45">
        <v>11</v>
      </c>
      <c r="G182" s="45">
        <v>19</v>
      </c>
      <c r="H182" s="65">
        <v>30</v>
      </c>
      <c r="I182" s="45">
        <v>-6</v>
      </c>
      <c r="J182" s="45">
        <v>32</v>
      </c>
      <c r="K182" s="45">
        <v>3</v>
      </c>
      <c r="L182" s="45">
        <v>6</v>
      </c>
      <c r="M182" s="45">
        <v>0</v>
      </c>
      <c r="N182" s="45">
        <v>0</v>
      </c>
      <c r="O182" s="45">
        <v>0</v>
      </c>
      <c r="P182" s="45">
        <v>0</v>
      </c>
      <c r="Q182" s="45">
        <v>127</v>
      </c>
      <c r="R182" s="46">
        <v>8.6999999999999993</v>
      </c>
      <c r="S182" s="47">
        <v>0.81111111111111101</v>
      </c>
      <c r="T182" s="46">
        <v>25</v>
      </c>
      <c r="U182" s="48">
        <v>28.6</v>
      </c>
      <c r="V182" s="30">
        <f t="shared" si="2"/>
        <v>6.7482481183493377</v>
      </c>
    </row>
    <row r="183" spans="1:22">
      <c r="G183" s="17"/>
      <c r="K183" s="17"/>
    </row>
    <row r="184" spans="1:22">
      <c r="G184" s="17"/>
      <c r="K184" s="17"/>
    </row>
    <row r="185" spans="1:22">
      <c r="G185" s="17"/>
      <c r="K185" s="17"/>
    </row>
    <row r="186" spans="1:22">
      <c r="G186" s="17"/>
      <c r="K186" s="17"/>
    </row>
    <row r="187" spans="1:22">
      <c r="G187" s="17"/>
      <c r="K187" s="17"/>
    </row>
    <row r="188" spans="1:22">
      <c r="G188" s="17"/>
      <c r="K188" s="17"/>
    </row>
    <row r="189" spans="1:22">
      <c r="G189" s="17"/>
      <c r="K189" s="17"/>
    </row>
    <row r="190" spans="1:22">
      <c r="G190" s="17"/>
      <c r="K190" s="17"/>
    </row>
    <row r="191" spans="1:22">
      <c r="G191" s="17"/>
      <c r="K191" s="17"/>
    </row>
    <row r="192" spans="1:22">
      <c r="G192" s="17"/>
      <c r="K192" s="17"/>
    </row>
    <row r="193" spans="7:11">
      <c r="G193" s="17"/>
      <c r="K193" s="17"/>
    </row>
    <row r="194" spans="7:11">
      <c r="G194" s="17"/>
      <c r="K194" s="17"/>
    </row>
    <row r="195" spans="7:11">
      <c r="G195" s="17"/>
      <c r="K195" s="17"/>
    </row>
    <row r="196" spans="7:11">
      <c r="G196" s="17"/>
      <c r="K196" s="17"/>
    </row>
    <row r="197" spans="7:11">
      <c r="G197" s="17"/>
      <c r="K197" s="17"/>
    </row>
    <row r="198" spans="7:11">
      <c r="G198" s="17"/>
      <c r="K198" s="17"/>
    </row>
    <row r="199" spans="7:11">
      <c r="G199" s="17"/>
      <c r="K199" s="17"/>
    </row>
    <row r="200" spans="7:11">
      <c r="G200" s="17"/>
      <c r="K200" s="17"/>
    </row>
    <row r="201" spans="7:11">
      <c r="G201" s="17"/>
      <c r="K201" s="17"/>
    </row>
    <row r="202" spans="7:11">
      <c r="G202" s="17"/>
      <c r="K202" s="17"/>
    </row>
    <row r="203" spans="7:11">
      <c r="G203" s="17"/>
      <c r="K203" s="17"/>
    </row>
    <row r="204" spans="7:11">
      <c r="G204" s="17"/>
      <c r="K204" s="17"/>
    </row>
    <row r="205" spans="7:11">
      <c r="G205" s="17"/>
      <c r="K205" s="17"/>
    </row>
    <row r="206" spans="7:11">
      <c r="G206" s="17"/>
      <c r="K206" s="17"/>
    </row>
    <row r="207" spans="7:11">
      <c r="G207" s="17"/>
      <c r="K207" s="17"/>
    </row>
    <row r="208" spans="7:11">
      <c r="G208" s="17"/>
      <c r="K208" s="17"/>
    </row>
    <row r="209" spans="7:11">
      <c r="G209" s="17"/>
      <c r="K209" s="17"/>
    </row>
    <row r="210" spans="7:11">
      <c r="G210" s="17"/>
      <c r="K210" s="17"/>
    </row>
    <row r="211" spans="7:11">
      <c r="G211" s="17"/>
      <c r="K211" s="17"/>
    </row>
    <row r="212" spans="7:11">
      <c r="G212" s="17"/>
      <c r="K212" s="17"/>
    </row>
    <row r="213" spans="7:11">
      <c r="G213" s="17"/>
      <c r="K213" s="17"/>
    </row>
    <row r="214" spans="7:11">
      <c r="G214" s="17"/>
      <c r="K214" s="17"/>
    </row>
    <row r="215" spans="7:11">
      <c r="G215" s="17"/>
      <c r="K215" s="17"/>
    </row>
    <row r="216" spans="7:11">
      <c r="G216" s="17"/>
      <c r="K216" s="17"/>
    </row>
    <row r="217" spans="7:11">
      <c r="G217" s="17"/>
      <c r="K217" s="17"/>
    </row>
    <row r="218" spans="7:11">
      <c r="G218" s="17"/>
      <c r="K218" s="17"/>
    </row>
    <row r="219" spans="7:11">
      <c r="G219" s="17"/>
      <c r="K219" s="17"/>
    </row>
    <row r="220" spans="7:11">
      <c r="G220" s="17"/>
      <c r="K220" s="17"/>
    </row>
    <row r="221" spans="7:11">
      <c r="G221" s="17"/>
      <c r="K221" s="17"/>
    </row>
    <row r="222" spans="7:11">
      <c r="G222" s="17"/>
      <c r="K222" s="17"/>
    </row>
    <row r="223" spans="7:11">
      <c r="G223" s="17"/>
      <c r="K223" s="17"/>
    </row>
    <row r="224" spans="7:11">
      <c r="G224" s="17"/>
      <c r="K224" s="17"/>
    </row>
    <row r="225" spans="7:11">
      <c r="G225" s="17"/>
      <c r="K225" s="17"/>
    </row>
    <row r="226" spans="7:11">
      <c r="G226" s="17"/>
      <c r="K226" s="17"/>
    </row>
    <row r="227" spans="7:11">
      <c r="G227" s="17"/>
      <c r="K227" s="17"/>
    </row>
    <row r="228" spans="7:11">
      <c r="G228" s="17"/>
      <c r="K228" s="17"/>
    </row>
    <row r="229" spans="7:11">
      <c r="G229" s="17"/>
      <c r="K229" s="17"/>
    </row>
    <row r="230" spans="7:11">
      <c r="G230" s="17"/>
      <c r="K230" s="17"/>
    </row>
    <row r="231" spans="7:11">
      <c r="G231" s="17"/>
      <c r="K231" s="17"/>
    </row>
    <row r="232" spans="7:11">
      <c r="G232" s="17"/>
      <c r="K232" s="17"/>
    </row>
    <row r="233" spans="7:11">
      <c r="G233" s="17"/>
      <c r="K233" s="17"/>
    </row>
    <row r="234" spans="7:11">
      <c r="G234" s="17"/>
      <c r="K234" s="17"/>
    </row>
    <row r="235" spans="7:11">
      <c r="G235" s="17"/>
      <c r="K235" s="17"/>
    </row>
    <row r="236" spans="7:11">
      <c r="G236" s="17"/>
      <c r="K236" s="17"/>
    </row>
    <row r="237" spans="7:11">
      <c r="G237" s="17"/>
      <c r="K237" s="17"/>
    </row>
    <row r="238" spans="7:11">
      <c r="G238" s="17"/>
      <c r="K238" s="17"/>
    </row>
    <row r="239" spans="7:11">
      <c r="G239" s="17"/>
      <c r="K239" s="17"/>
    </row>
    <row r="240" spans="7:11">
      <c r="G240" s="17"/>
      <c r="K240" s="17"/>
    </row>
    <row r="241" spans="7:11">
      <c r="G241" s="17"/>
      <c r="K241" s="17"/>
    </row>
    <row r="242" spans="7:11">
      <c r="G242" s="17"/>
      <c r="K242" s="17"/>
    </row>
    <row r="243" spans="7:11">
      <c r="G243" s="17"/>
      <c r="K243" s="17"/>
    </row>
    <row r="244" spans="7:11">
      <c r="G244" s="17"/>
      <c r="K244" s="17"/>
    </row>
    <row r="245" spans="7:11">
      <c r="G245" s="17"/>
      <c r="K245" s="17"/>
    </row>
    <row r="246" spans="7:11">
      <c r="G246" s="17"/>
      <c r="K246" s="17"/>
    </row>
    <row r="247" spans="7:11">
      <c r="G247" s="17"/>
      <c r="K247" s="17"/>
    </row>
    <row r="248" spans="7:11">
      <c r="G248" s="17"/>
      <c r="K248" s="17"/>
    </row>
    <row r="249" spans="7:11">
      <c r="G249" s="17"/>
      <c r="K249" s="17"/>
    </row>
    <row r="250" spans="7:11">
      <c r="G250" s="17"/>
      <c r="K250" s="17"/>
    </row>
    <row r="251" spans="7:11">
      <c r="G251" s="17"/>
      <c r="K251" s="17"/>
    </row>
    <row r="252" spans="7:11">
      <c r="G252" s="17"/>
      <c r="K252" s="17"/>
    </row>
    <row r="253" spans="7:11">
      <c r="G253" s="17"/>
      <c r="K253" s="17"/>
    </row>
    <row r="254" spans="7:11">
      <c r="G254" s="17"/>
      <c r="K254" s="17"/>
    </row>
    <row r="255" spans="7:11">
      <c r="G255" s="17"/>
      <c r="K255" s="17"/>
    </row>
    <row r="256" spans="7:11">
      <c r="G256" s="17"/>
      <c r="K256" s="17"/>
    </row>
    <row r="257" spans="7:11">
      <c r="G257" s="17"/>
      <c r="K257" s="17"/>
    </row>
    <row r="258" spans="7:11">
      <c r="G258" s="17"/>
      <c r="K258" s="17"/>
    </row>
    <row r="259" spans="7:11">
      <c r="G259" s="17"/>
      <c r="K259" s="17"/>
    </row>
    <row r="260" spans="7:11">
      <c r="G260" s="17"/>
      <c r="K260" s="17"/>
    </row>
    <row r="261" spans="7:11">
      <c r="G261" s="17"/>
      <c r="K261" s="17"/>
    </row>
    <row r="262" spans="7:11">
      <c r="G262" s="17"/>
      <c r="K262" s="17"/>
    </row>
    <row r="263" spans="7:11">
      <c r="G263" s="17"/>
      <c r="K263" s="17"/>
    </row>
    <row r="264" spans="7:11">
      <c r="G264" s="17"/>
      <c r="K264" s="17"/>
    </row>
    <row r="265" spans="7:11">
      <c r="G265" s="17"/>
      <c r="K265" s="17"/>
    </row>
    <row r="266" spans="7:11">
      <c r="G266" s="17"/>
      <c r="K266" s="17"/>
    </row>
    <row r="267" spans="7:11">
      <c r="G267" s="17"/>
      <c r="K267" s="17"/>
    </row>
    <row r="268" spans="7:11">
      <c r="G268" s="17"/>
      <c r="K268" s="17"/>
    </row>
    <row r="269" spans="7:11">
      <c r="G269" s="17"/>
      <c r="K269" s="17"/>
    </row>
    <row r="270" spans="7:11">
      <c r="G270" s="17"/>
      <c r="K270" s="17"/>
    </row>
    <row r="271" spans="7:11">
      <c r="G271" s="17"/>
      <c r="K271" s="17"/>
    </row>
    <row r="272" spans="7:11">
      <c r="G272" s="17"/>
      <c r="K272" s="17"/>
    </row>
    <row r="273" spans="7:11">
      <c r="G273" s="17"/>
      <c r="K273" s="17"/>
    </row>
    <row r="274" spans="7:11">
      <c r="G274" s="17"/>
      <c r="K274" s="17"/>
    </row>
    <row r="275" spans="7:11">
      <c r="G275" s="17"/>
      <c r="K275" s="17"/>
    </row>
    <row r="276" spans="7:11">
      <c r="G276" s="17"/>
      <c r="K276" s="17"/>
    </row>
    <row r="277" spans="7:11">
      <c r="G277" s="17"/>
      <c r="K277" s="17"/>
    </row>
    <row r="278" spans="7:11">
      <c r="G278" s="17"/>
      <c r="K278" s="17"/>
    </row>
    <row r="279" spans="7:11">
      <c r="G279" s="17"/>
      <c r="K279" s="17"/>
    </row>
    <row r="280" spans="7:11">
      <c r="G280" s="17"/>
      <c r="K280" s="17"/>
    </row>
    <row r="281" spans="7:11">
      <c r="G281" s="17"/>
      <c r="K281" s="17"/>
    </row>
    <row r="282" spans="7:11">
      <c r="G282" s="17"/>
      <c r="K282" s="17"/>
    </row>
    <row r="283" spans="7:11">
      <c r="G283" s="17"/>
      <c r="K283" s="17"/>
    </row>
    <row r="284" spans="7:11">
      <c r="G284" s="17"/>
      <c r="K284" s="17"/>
    </row>
    <row r="285" spans="7:11">
      <c r="G285" s="17"/>
      <c r="K285" s="17"/>
    </row>
    <row r="286" spans="7:11">
      <c r="G286" s="17"/>
      <c r="K286" s="17"/>
    </row>
    <row r="287" spans="7:11">
      <c r="G287" s="17"/>
      <c r="K287" s="17"/>
    </row>
    <row r="288" spans="7:11">
      <c r="G288" s="17"/>
      <c r="K288" s="17"/>
    </row>
    <row r="289" spans="7:11">
      <c r="G289" s="17"/>
      <c r="K289" s="17"/>
    </row>
    <row r="290" spans="7:11">
      <c r="G290" s="17"/>
      <c r="K290" s="17"/>
    </row>
    <row r="291" spans="7:11">
      <c r="G291" s="17"/>
      <c r="K291" s="17"/>
    </row>
    <row r="292" spans="7:11">
      <c r="G292" s="17"/>
      <c r="K292" s="17"/>
    </row>
    <row r="293" spans="7:11">
      <c r="G293" s="17"/>
      <c r="K293" s="17"/>
    </row>
    <row r="294" spans="7:11">
      <c r="G294" s="17"/>
      <c r="K294" s="17"/>
    </row>
    <row r="295" spans="7:11">
      <c r="G295" s="17"/>
      <c r="K295" s="17"/>
    </row>
    <row r="296" spans="7:11">
      <c r="G296" s="17"/>
      <c r="K296" s="17"/>
    </row>
    <row r="297" spans="7:11">
      <c r="G297" s="17"/>
      <c r="K297" s="17"/>
    </row>
    <row r="298" spans="7:11">
      <c r="G298" s="17"/>
      <c r="K298" s="17"/>
    </row>
    <row r="299" spans="7:11">
      <c r="G299" s="17"/>
      <c r="K299" s="17"/>
    </row>
    <row r="300" spans="7:11">
      <c r="G300" s="17"/>
      <c r="K300" s="17"/>
    </row>
    <row r="301" spans="7:11">
      <c r="G301" s="17"/>
      <c r="K301" s="17"/>
    </row>
    <row r="302" spans="7:11">
      <c r="G302" s="17"/>
      <c r="K302" s="17"/>
    </row>
    <row r="303" spans="7:11">
      <c r="G303" s="17"/>
      <c r="K303" s="17"/>
    </row>
    <row r="304" spans="7:11">
      <c r="G304" s="17"/>
      <c r="K304" s="17"/>
    </row>
    <row r="305" spans="7:11">
      <c r="G305" s="17"/>
      <c r="K305" s="17"/>
    </row>
    <row r="306" spans="7:11">
      <c r="G306" s="17"/>
      <c r="K306" s="17"/>
    </row>
    <row r="307" spans="7:11">
      <c r="G307" s="17"/>
      <c r="K307" s="17"/>
    </row>
    <row r="308" spans="7:11">
      <c r="G308" s="17"/>
      <c r="K308" s="17"/>
    </row>
    <row r="309" spans="7:11">
      <c r="G309" s="17"/>
      <c r="K309" s="17"/>
    </row>
    <row r="310" spans="7:11">
      <c r="G310" s="17"/>
      <c r="K310" s="17"/>
    </row>
    <row r="311" spans="7:11">
      <c r="G311" s="17"/>
      <c r="K311" s="17"/>
    </row>
    <row r="312" spans="7:11">
      <c r="G312" s="17"/>
      <c r="K312" s="17"/>
    </row>
    <row r="313" spans="7:11">
      <c r="G313" s="17"/>
      <c r="K313" s="17"/>
    </row>
    <row r="314" spans="7:11">
      <c r="G314" s="17"/>
      <c r="K314" s="17"/>
    </row>
    <row r="315" spans="7:11">
      <c r="G315" s="17"/>
      <c r="K315" s="17"/>
    </row>
    <row r="316" spans="7:11">
      <c r="G316" s="17"/>
      <c r="K316" s="17"/>
    </row>
    <row r="317" spans="7:11">
      <c r="G317" s="17"/>
      <c r="K317" s="17"/>
    </row>
    <row r="318" spans="7:11">
      <c r="G318" s="17"/>
      <c r="K318" s="17"/>
    </row>
    <row r="319" spans="7:11">
      <c r="G319" s="17"/>
      <c r="K319" s="17"/>
    </row>
    <row r="320" spans="7:11">
      <c r="G320" s="17"/>
      <c r="K320" s="17"/>
    </row>
    <row r="321" spans="7:11">
      <c r="G321" s="17"/>
      <c r="K321" s="17"/>
    </row>
    <row r="322" spans="7:11">
      <c r="G322" s="17"/>
      <c r="K322" s="17"/>
    </row>
    <row r="323" spans="7:11">
      <c r="G323" s="17"/>
      <c r="K323" s="17"/>
    </row>
    <row r="324" spans="7:11">
      <c r="G324" s="17"/>
      <c r="K324" s="17"/>
    </row>
    <row r="325" spans="7:11">
      <c r="G325" s="17"/>
      <c r="K325" s="17"/>
    </row>
    <row r="326" spans="7:11">
      <c r="G326" s="17"/>
      <c r="K326" s="17"/>
    </row>
    <row r="327" spans="7:11">
      <c r="G327" s="17"/>
      <c r="K327" s="17"/>
    </row>
    <row r="328" spans="7:11">
      <c r="G328" s="17"/>
      <c r="K328" s="17"/>
    </row>
    <row r="329" spans="7:11">
      <c r="G329" s="17"/>
      <c r="K329" s="17"/>
    </row>
    <row r="330" spans="7:11">
      <c r="G330" s="17"/>
      <c r="K330" s="17"/>
    </row>
    <row r="331" spans="7:11">
      <c r="G331" s="17"/>
      <c r="K331" s="17"/>
    </row>
    <row r="332" spans="7:11">
      <c r="G332" s="17"/>
      <c r="K332" s="17"/>
    </row>
    <row r="333" spans="7:11">
      <c r="G333" s="17"/>
      <c r="K333" s="17"/>
    </row>
    <row r="334" spans="7:11">
      <c r="G334" s="17"/>
      <c r="K334" s="17"/>
    </row>
    <row r="335" spans="7:11">
      <c r="G335" s="17"/>
      <c r="K335" s="17"/>
    </row>
    <row r="336" spans="7:11">
      <c r="G336" s="17"/>
      <c r="K336" s="17"/>
    </row>
    <row r="337" spans="7:11">
      <c r="G337" s="17"/>
      <c r="K337" s="17"/>
    </row>
    <row r="338" spans="7:11">
      <c r="G338" s="17"/>
      <c r="K338" s="17"/>
    </row>
    <row r="339" spans="7:11">
      <c r="G339" s="17"/>
      <c r="K339" s="17"/>
    </row>
    <row r="340" spans="7:11">
      <c r="G340" s="17"/>
      <c r="K340" s="17"/>
    </row>
    <row r="341" spans="7:11">
      <c r="G341" s="17"/>
      <c r="K341" s="17"/>
    </row>
    <row r="342" spans="7:11">
      <c r="G342" s="17"/>
      <c r="K342" s="17"/>
    </row>
    <row r="343" spans="7:11">
      <c r="G343" s="17"/>
      <c r="K343" s="17"/>
    </row>
    <row r="344" spans="7:11">
      <c r="G344" s="17"/>
      <c r="K344" s="17"/>
    </row>
    <row r="345" spans="7:11">
      <c r="G345" s="17"/>
      <c r="K345" s="17"/>
    </row>
    <row r="346" spans="7:11">
      <c r="G346" s="17"/>
      <c r="K346" s="17"/>
    </row>
    <row r="347" spans="7:11">
      <c r="G347" s="17"/>
      <c r="K347" s="17"/>
    </row>
    <row r="348" spans="7:11">
      <c r="G348" s="17"/>
      <c r="K348" s="17"/>
    </row>
    <row r="349" spans="7:11">
      <c r="G349" s="17"/>
      <c r="K349" s="17"/>
    </row>
    <row r="350" spans="7:11">
      <c r="G350" s="17"/>
      <c r="K350" s="17"/>
    </row>
    <row r="351" spans="7:11">
      <c r="G351" s="17"/>
      <c r="K351" s="17"/>
    </row>
    <row r="352" spans="7:11">
      <c r="G352" s="17"/>
      <c r="K352" s="17"/>
    </row>
    <row r="353" spans="7:11">
      <c r="G353" s="17"/>
      <c r="K353" s="17"/>
    </row>
    <row r="354" spans="7:11">
      <c r="G354" s="17"/>
      <c r="K354" s="17"/>
    </row>
    <row r="355" spans="7:11">
      <c r="G355" s="17"/>
      <c r="K355" s="17"/>
    </row>
    <row r="356" spans="7:11">
      <c r="G356" s="17"/>
      <c r="K356" s="17"/>
    </row>
    <row r="357" spans="7:11">
      <c r="G357" s="17"/>
      <c r="K357" s="17"/>
    </row>
    <row r="358" spans="7:11">
      <c r="G358" s="17"/>
      <c r="K358" s="17"/>
    </row>
    <row r="359" spans="7:11">
      <c r="G359" s="17"/>
      <c r="K359" s="17"/>
    </row>
    <row r="360" spans="7:11">
      <c r="G360" s="17"/>
      <c r="K360" s="17"/>
    </row>
    <row r="361" spans="7:11">
      <c r="G361" s="17"/>
      <c r="K361" s="17"/>
    </row>
    <row r="362" spans="7:11">
      <c r="G362" s="17"/>
      <c r="K362" s="17"/>
    </row>
    <row r="363" spans="7:11">
      <c r="G363" s="17"/>
      <c r="K363" s="17"/>
    </row>
    <row r="364" spans="7:11">
      <c r="G364" s="17"/>
      <c r="K364" s="17"/>
    </row>
    <row r="365" spans="7:11">
      <c r="G365" s="17"/>
      <c r="K365" s="17"/>
    </row>
    <row r="366" spans="7:11">
      <c r="G366" s="17"/>
      <c r="K366" s="17"/>
    </row>
    <row r="367" spans="7:11">
      <c r="G367" s="17"/>
      <c r="K367" s="17"/>
    </row>
    <row r="368" spans="7:11">
      <c r="G368" s="17"/>
      <c r="K368" s="17"/>
    </row>
    <row r="369" spans="7:11">
      <c r="G369" s="17"/>
      <c r="K369" s="17"/>
    </row>
    <row r="370" spans="7:11">
      <c r="G370" s="17"/>
      <c r="K370" s="17"/>
    </row>
    <row r="371" spans="7:11">
      <c r="G371" s="17"/>
      <c r="K371" s="17"/>
    </row>
    <row r="372" spans="7:11">
      <c r="G372" s="17"/>
      <c r="K372" s="17"/>
    </row>
    <row r="373" spans="7:11">
      <c r="G373" s="17"/>
      <c r="K373" s="17"/>
    </row>
    <row r="374" spans="7:11">
      <c r="G374" s="17"/>
      <c r="K374" s="17"/>
    </row>
    <row r="375" spans="7:11">
      <c r="G375" s="17"/>
      <c r="K375" s="17"/>
    </row>
    <row r="376" spans="7:11">
      <c r="G376" s="17"/>
      <c r="K376" s="17"/>
    </row>
    <row r="377" spans="7:11">
      <c r="G377" s="17"/>
      <c r="K377" s="17"/>
    </row>
    <row r="378" spans="7:11">
      <c r="G378" s="17"/>
      <c r="K378" s="17"/>
    </row>
    <row r="379" spans="7:11">
      <c r="G379" s="17"/>
      <c r="K379" s="17"/>
    </row>
    <row r="380" spans="7:11">
      <c r="G380" s="17"/>
      <c r="K380" s="17"/>
    </row>
    <row r="381" spans="7:11">
      <c r="G381" s="17"/>
      <c r="K381" s="17"/>
    </row>
    <row r="382" spans="7:11">
      <c r="G382" s="17"/>
      <c r="K382" s="17"/>
    </row>
    <row r="383" spans="7:11">
      <c r="G383" s="17"/>
      <c r="K383" s="17"/>
    </row>
    <row r="384" spans="7:11">
      <c r="G384" s="17"/>
      <c r="K384" s="17"/>
    </row>
    <row r="385" spans="7:11">
      <c r="G385" s="17"/>
      <c r="K385" s="17"/>
    </row>
    <row r="386" spans="7:11">
      <c r="G386" s="17"/>
      <c r="K386" s="17"/>
    </row>
    <row r="387" spans="7:11">
      <c r="G387" s="17"/>
      <c r="K387" s="17"/>
    </row>
    <row r="388" spans="7:11">
      <c r="G388" s="17"/>
      <c r="K388" s="17"/>
    </row>
    <row r="389" spans="7:11">
      <c r="G389" s="17"/>
      <c r="K389" s="17"/>
    </row>
    <row r="390" spans="7:11">
      <c r="G390" s="17"/>
      <c r="K390" s="17"/>
    </row>
    <row r="391" spans="7:11">
      <c r="G391" s="17"/>
      <c r="K391" s="17"/>
    </row>
    <row r="392" spans="7:11">
      <c r="G392" s="17"/>
      <c r="K392" s="17"/>
    </row>
    <row r="393" spans="7:11">
      <c r="G393" s="17"/>
      <c r="K393" s="17"/>
    </row>
    <row r="394" spans="7:11">
      <c r="G394" s="17"/>
      <c r="K394" s="17"/>
    </row>
    <row r="395" spans="7:11">
      <c r="G395" s="17"/>
      <c r="K395" s="17"/>
    </row>
    <row r="396" spans="7:11">
      <c r="G396" s="17"/>
      <c r="K396" s="17"/>
    </row>
    <row r="397" spans="7:11">
      <c r="G397" s="17"/>
      <c r="K397" s="17"/>
    </row>
    <row r="398" spans="7:11">
      <c r="G398" s="17"/>
      <c r="K398" s="17"/>
    </row>
    <row r="399" spans="7:11">
      <c r="G399" s="17"/>
      <c r="K399" s="17"/>
    </row>
    <row r="400" spans="7:11">
      <c r="G400" s="17"/>
      <c r="K400" s="17"/>
    </row>
    <row r="401" spans="7:11">
      <c r="G401" s="17"/>
      <c r="K401" s="17"/>
    </row>
    <row r="402" spans="7:11">
      <c r="G402" s="17"/>
      <c r="K402" s="17"/>
    </row>
    <row r="403" spans="7:11">
      <c r="G403" s="17"/>
      <c r="K403" s="17"/>
    </row>
    <row r="404" spans="7:11">
      <c r="G404" s="17"/>
      <c r="K404" s="17"/>
    </row>
    <row r="405" spans="7:11">
      <c r="G405" s="17"/>
      <c r="K405" s="17"/>
    </row>
    <row r="406" spans="7:11">
      <c r="G406" s="17"/>
      <c r="K406" s="17"/>
    </row>
    <row r="407" spans="7:11">
      <c r="G407" s="17"/>
      <c r="K407" s="17"/>
    </row>
    <row r="408" spans="7:11">
      <c r="G408" s="17"/>
      <c r="K408" s="17"/>
    </row>
    <row r="409" spans="7:11">
      <c r="G409" s="17"/>
      <c r="K409" s="17"/>
    </row>
    <row r="410" spans="7:11">
      <c r="G410" s="17"/>
      <c r="K410" s="17"/>
    </row>
    <row r="411" spans="7:11">
      <c r="G411" s="17"/>
      <c r="K411" s="17"/>
    </row>
    <row r="412" spans="7:11">
      <c r="G412" s="17"/>
      <c r="K412" s="17"/>
    </row>
    <row r="413" spans="7:11">
      <c r="G413" s="17"/>
      <c r="K413" s="17"/>
    </row>
    <row r="414" spans="7:11">
      <c r="G414" s="17"/>
      <c r="K414" s="17"/>
    </row>
    <row r="415" spans="7:11">
      <c r="G415" s="17"/>
      <c r="K415" s="17"/>
    </row>
    <row r="416" spans="7:11">
      <c r="G416" s="17"/>
      <c r="K416" s="17"/>
    </row>
    <row r="417" spans="7:11">
      <c r="G417" s="17"/>
      <c r="K417" s="17"/>
    </row>
    <row r="418" spans="7:11">
      <c r="G418" s="17"/>
      <c r="K418" s="17"/>
    </row>
    <row r="419" spans="7:11">
      <c r="G419" s="17"/>
      <c r="K419" s="17"/>
    </row>
    <row r="420" spans="7:11">
      <c r="G420" s="17"/>
      <c r="K420" s="17"/>
    </row>
    <row r="421" spans="7:11">
      <c r="G421" s="17"/>
      <c r="K421" s="17"/>
    </row>
    <row r="422" spans="7:11">
      <c r="G422" s="17"/>
      <c r="K422" s="17"/>
    </row>
    <row r="423" spans="7:11">
      <c r="G423" s="17"/>
      <c r="K423" s="17"/>
    </row>
    <row r="424" spans="7:11">
      <c r="G424" s="17"/>
      <c r="K424" s="17"/>
    </row>
    <row r="425" spans="7:11">
      <c r="G425" s="17"/>
      <c r="K425" s="17"/>
    </row>
    <row r="426" spans="7:11">
      <c r="G426" s="17"/>
      <c r="K426" s="17"/>
    </row>
    <row r="427" spans="7:11">
      <c r="G427" s="17"/>
      <c r="K427" s="17"/>
    </row>
    <row r="428" spans="7:11">
      <c r="G428" s="17"/>
      <c r="K428" s="17"/>
    </row>
    <row r="429" spans="7:11">
      <c r="G429" s="17"/>
      <c r="K429" s="17"/>
    </row>
    <row r="430" spans="7:11">
      <c r="G430" s="17"/>
      <c r="K430" s="17"/>
    </row>
    <row r="431" spans="7:11">
      <c r="G431" s="17"/>
      <c r="K431" s="17"/>
    </row>
    <row r="432" spans="7:11">
      <c r="G432" s="17"/>
      <c r="K432" s="17"/>
    </row>
    <row r="433" spans="7:11">
      <c r="G433" s="17"/>
      <c r="K433" s="17"/>
    </row>
    <row r="434" spans="7:11">
      <c r="G434" s="17"/>
      <c r="K434" s="17"/>
    </row>
    <row r="435" spans="7:11">
      <c r="G435" s="17"/>
      <c r="K435" s="17"/>
    </row>
    <row r="436" spans="7:11">
      <c r="G436" s="17"/>
      <c r="K436" s="17"/>
    </row>
    <row r="437" spans="7:11">
      <c r="G437" s="17"/>
      <c r="K437" s="17"/>
    </row>
    <row r="438" spans="7:11">
      <c r="G438" s="17"/>
      <c r="K438" s="17"/>
    </row>
    <row r="439" spans="7:11">
      <c r="G439" s="17"/>
      <c r="K439" s="17"/>
    </row>
    <row r="440" spans="7:11">
      <c r="G440" s="17"/>
      <c r="K440" s="17"/>
    </row>
    <row r="441" spans="7:11">
      <c r="G441" s="17"/>
      <c r="K441" s="17"/>
    </row>
    <row r="442" spans="7:11">
      <c r="G442" s="17"/>
      <c r="K442" s="17"/>
    </row>
    <row r="443" spans="7:11">
      <c r="G443" s="17"/>
      <c r="K443" s="17"/>
    </row>
    <row r="444" spans="7:11">
      <c r="G444" s="17"/>
      <c r="K444" s="17"/>
    </row>
    <row r="445" spans="7:11">
      <c r="G445" s="17"/>
      <c r="K445" s="17"/>
    </row>
    <row r="446" spans="7:11">
      <c r="G446" s="17"/>
      <c r="K446" s="17"/>
    </row>
    <row r="447" spans="7:11">
      <c r="G447" s="17"/>
      <c r="K447" s="17"/>
    </row>
    <row r="448" spans="7:11">
      <c r="G448" s="17"/>
      <c r="K448" s="17"/>
    </row>
    <row r="449" spans="7:11">
      <c r="G449" s="17"/>
      <c r="K449" s="17"/>
    </row>
    <row r="450" spans="7:11">
      <c r="G450" s="17"/>
      <c r="K450" s="17"/>
    </row>
    <row r="451" spans="7:11">
      <c r="G451" s="17"/>
      <c r="K451" s="17"/>
    </row>
    <row r="452" spans="7:11">
      <c r="G452" s="17"/>
      <c r="K452" s="17"/>
    </row>
    <row r="453" spans="7:11">
      <c r="G453" s="17"/>
      <c r="K453" s="17"/>
    </row>
    <row r="454" spans="7:11">
      <c r="G454" s="17"/>
      <c r="K454" s="17"/>
    </row>
    <row r="455" spans="7:11">
      <c r="G455" s="17"/>
      <c r="K455" s="17"/>
    </row>
    <row r="456" spans="7:11">
      <c r="G456" s="17"/>
      <c r="K456" s="17"/>
    </row>
    <row r="457" spans="7:11">
      <c r="G457" s="17"/>
      <c r="K457" s="17"/>
    </row>
    <row r="458" spans="7:11">
      <c r="G458" s="17"/>
      <c r="K458" s="17"/>
    </row>
    <row r="459" spans="7:11">
      <c r="G459" s="17"/>
      <c r="K459" s="17"/>
    </row>
    <row r="460" spans="7:11">
      <c r="G460" s="17"/>
      <c r="K460" s="17"/>
    </row>
    <row r="461" spans="7:11">
      <c r="G461" s="17"/>
      <c r="K461" s="17"/>
    </row>
    <row r="462" spans="7:11">
      <c r="G462" s="17"/>
      <c r="K462" s="17"/>
    </row>
    <row r="463" spans="7:11">
      <c r="G463" s="17"/>
      <c r="K463" s="17"/>
    </row>
    <row r="464" spans="7:11">
      <c r="G464" s="17"/>
      <c r="K464" s="17"/>
    </row>
    <row r="465" spans="7:11">
      <c r="G465" s="17"/>
      <c r="K465" s="17"/>
    </row>
    <row r="466" spans="7:11">
      <c r="G466" s="17"/>
      <c r="K466" s="17"/>
    </row>
    <row r="467" spans="7:11">
      <c r="G467" s="17"/>
      <c r="K467" s="17"/>
    </row>
    <row r="468" spans="7:11">
      <c r="G468" s="17"/>
      <c r="K468" s="17"/>
    </row>
    <row r="469" spans="7:11">
      <c r="G469" s="17"/>
      <c r="K469" s="17"/>
    </row>
    <row r="470" spans="7:11">
      <c r="G470" s="17"/>
      <c r="K470" s="17"/>
    </row>
    <row r="471" spans="7:11">
      <c r="G471" s="17"/>
      <c r="K471" s="17"/>
    </row>
    <row r="472" spans="7:11">
      <c r="G472" s="17"/>
      <c r="K472" s="17"/>
    </row>
    <row r="473" spans="7:11">
      <c r="G473" s="17"/>
      <c r="K473" s="17"/>
    </row>
    <row r="474" spans="7:11">
      <c r="G474" s="17"/>
      <c r="K474" s="17"/>
    </row>
    <row r="475" spans="7:11">
      <c r="G475" s="17"/>
      <c r="K475" s="17"/>
    </row>
    <row r="476" spans="7:11">
      <c r="G476" s="17"/>
      <c r="K476" s="17"/>
    </row>
    <row r="477" spans="7:11">
      <c r="G477" s="17"/>
      <c r="K477" s="17"/>
    </row>
    <row r="478" spans="7:11">
      <c r="G478" s="17"/>
      <c r="K478" s="17"/>
    </row>
    <row r="479" spans="7:11">
      <c r="G479" s="17"/>
      <c r="K479" s="17"/>
    </row>
    <row r="480" spans="7:11">
      <c r="G480" s="17"/>
      <c r="K480" s="17"/>
    </row>
    <row r="481" spans="7:11">
      <c r="G481" s="17"/>
      <c r="K481" s="17"/>
    </row>
    <row r="482" spans="7:11">
      <c r="G482" s="17"/>
      <c r="K482" s="17"/>
    </row>
    <row r="483" spans="7:11">
      <c r="G483" s="17"/>
      <c r="K483" s="17"/>
    </row>
    <row r="484" spans="7:11">
      <c r="G484" s="17"/>
      <c r="K484" s="17"/>
    </row>
    <row r="485" spans="7:11">
      <c r="G485" s="17"/>
      <c r="K485" s="17"/>
    </row>
    <row r="486" spans="7:11">
      <c r="G486" s="17"/>
      <c r="K486" s="17"/>
    </row>
    <row r="487" spans="7:11">
      <c r="G487" s="17"/>
      <c r="K487" s="17"/>
    </row>
    <row r="488" spans="7:11">
      <c r="G488" s="17"/>
      <c r="K488" s="17"/>
    </row>
    <row r="489" spans="7:11">
      <c r="G489" s="17"/>
      <c r="K489" s="17"/>
    </row>
    <row r="490" spans="7:11">
      <c r="G490" s="17"/>
      <c r="K490" s="17"/>
    </row>
    <row r="491" spans="7:11">
      <c r="G491" s="17"/>
      <c r="K491" s="17"/>
    </row>
    <row r="492" spans="7:11">
      <c r="G492" s="17"/>
      <c r="K492" s="17"/>
    </row>
    <row r="493" spans="7:11">
      <c r="G493" s="17"/>
      <c r="K493" s="17"/>
    </row>
    <row r="494" spans="7:11">
      <c r="G494" s="17"/>
      <c r="K494" s="17"/>
    </row>
    <row r="495" spans="7:11">
      <c r="G495" s="17"/>
      <c r="K495" s="17"/>
    </row>
    <row r="496" spans="7:11">
      <c r="G496" s="17"/>
      <c r="K496" s="17"/>
    </row>
    <row r="497" spans="7:11">
      <c r="G497" s="17"/>
      <c r="K497" s="17"/>
    </row>
    <row r="498" spans="7:11">
      <c r="G498" s="17"/>
      <c r="K498" s="17"/>
    </row>
    <row r="499" spans="7:11">
      <c r="G499" s="17"/>
      <c r="K499" s="17"/>
    </row>
    <row r="500" spans="7:11">
      <c r="G500" s="17"/>
      <c r="K500" s="17"/>
    </row>
    <row r="501" spans="7:11">
      <c r="G501" s="17"/>
      <c r="K501" s="17"/>
    </row>
    <row r="502" spans="7:11">
      <c r="G502" s="17"/>
      <c r="K502" s="17"/>
    </row>
    <row r="503" spans="7:11">
      <c r="G503" s="17"/>
      <c r="K503" s="17"/>
    </row>
    <row r="504" spans="7:11">
      <c r="G504" s="17"/>
      <c r="K504" s="17"/>
    </row>
    <row r="505" spans="7:11">
      <c r="G505" s="17"/>
      <c r="K505" s="17"/>
    </row>
    <row r="506" spans="7:11">
      <c r="G506" s="17"/>
      <c r="K506" s="17"/>
    </row>
    <row r="507" spans="7:11">
      <c r="G507" s="17"/>
      <c r="K507" s="17"/>
    </row>
    <row r="508" spans="7:11">
      <c r="G508" s="17"/>
      <c r="K508" s="17"/>
    </row>
    <row r="509" spans="7:11">
      <c r="G509" s="17"/>
      <c r="K509" s="17"/>
    </row>
    <row r="510" spans="7:11">
      <c r="G510" s="17"/>
      <c r="K510" s="17"/>
    </row>
    <row r="511" spans="7:11">
      <c r="G511" s="17"/>
      <c r="K511" s="17"/>
    </row>
    <row r="512" spans="7:11">
      <c r="G512" s="17"/>
      <c r="K512" s="17"/>
    </row>
    <row r="513" spans="7:11">
      <c r="G513" s="17"/>
      <c r="K513" s="17"/>
    </row>
    <row r="514" spans="7:11">
      <c r="G514" s="17"/>
      <c r="K514" s="17"/>
    </row>
    <row r="515" spans="7:11">
      <c r="G515" s="17"/>
      <c r="K515" s="17"/>
    </row>
    <row r="516" spans="7:11">
      <c r="G516" s="17"/>
      <c r="K516" s="17"/>
    </row>
    <row r="517" spans="7:11">
      <c r="G517" s="17"/>
      <c r="K517" s="17"/>
    </row>
    <row r="518" spans="7:11">
      <c r="G518" s="17"/>
      <c r="K518" s="17"/>
    </row>
    <row r="519" spans="7:11">
      <c r="G519" s="17"/>
      <c r="K519" s="17"/>
    </row>
    <row r="520" spans="7:11">
      <c r="G520" s="17"/>
      <c r="K520" s="17"/>
    </row>
    <row r="521" spans="7:11">
      <c r="G521" s="17"/>
      <c r="K521" s="17"/>
    </row>
    <row r="522" spans="7:11">
      <c r="G522" s="17"/>
      <c r="K522" s="17"/>
    </row>
    <row r="523" spans="7:11">
      <c r="G523" s="17"/>
      <c r="K523" s="17"/>
    </row>
    <row r="524" spans="7:11">
      <c r="G524" s="17"/>
      <c r="K524" s="17"/>
    </row>
    <row r="525" spans="7:11">
      <c r="G525" s="17"/>
      <c r="K525" s="17"/>
    </row>
    <row r="526" spans="7:11">
      <c r="G526" s="17"/>
      <c r="K526" s="17"/>
    </row>
    <row r="527" spans="7:11">
      <c r="G527" s="17"/>
      <c r="K527" s="17"/>
    </row>
    <row r="528" spans="7:11">
      <c r="G528" s="17"/>
      <c r="K528" s="17"/>
    </row>
    <row r="529" spans="7:11">
      <c r="G529" s="17"/>
      <c r="K529" s="17"/>
    </row>
    <row r="530" spans="7:11">
      <c r="G530" s="17"/>
      <c r="K530" s="17"/>
    </row>
    <row r="531" spans="7:11">
      <c r="G531" s="17"/>
      <c r="K531" s="17"/>
    </row>
    <row r="532" spans="7:11">
      <c r="G532" s="17"/>
      <c r="K532" s="17"/>
    </row>
    <row r="533" spans="7:11">
      <c r="G533" s="17"/>
      <c r="K533" s="17"/>
    </row>
    <row r="534" spans="7:11">
      <c r="G534" s="17"/>
      <c r="K534" s="17"/>
    </row>
    <row r="535" spans="7:11">
      <c r="G535" s="17"/>
      <c r="K535" s="17"/>
    </row>
    <row r="536" spans="7:11">
      <c r="G536" s="17"/>
      <c r="K536" s="17"/>
    </row>
    <row r="537" spans="7:11">
      <c r="G537" s="17"/>
      <c r="K537" s="17"/>
    </row>
    <row r="538" spans="7:11">
      <c r="G538" s="17"/>
      <c r="K538" s="17"/>
    </row>
    <row r="539" spans="7:11">
      <c r="G539" s="17"/>
      <c r="K539" s="17"/>
    </row>
    <row r="540" spans="7:11">
      <c r="G540" s="17"/>
      <c r="K540" s="17"/>
    </row>
    <row r="541" spans="7:11">
      <c r="G541" s="17"/>
      <c r="K541" s="17"/>
    </row>
    <row r="542" spans="7:11">
      <c r="G542" s="17"/>
      <c r="K542" s="17"/>
    </row>
    <row r="543" spans="7:11">
      <c r="G543" s="17"/>
      <c r="K543" s="17"/>
    </row>
    <row r="544" spans="7:11">
      <c r="G544" s="17"/>
      <c r="K544" s="17"/>
    </row>
    <row r="545" spans="7:11">
      <c r="G545" s="17"/>
      <c r="K545" s="17"/>
    </row>
    <row r="546" spans="7:11">
      <c r="G546" s="17"/>
      <c r="K546" s="17"/>
    </row>
    <row r="547" spans="7:11">
      <c r="G547" s="17"/>
      <c r="K547" s="17"/>
    </row>
    <row r="548" spans="7:11">
      <c r="G548" s="17"/>
      <c r="K548" s="17"/>
    </row>
    <row r="549" spans="7:11">
      <c r="G549" s="17"/>
      <c r="K549" s="17"/>
    </row>
    <row r="550" spans="7:11">
      <c r="G550" s="17"/>
      <c r="K550" s="17"/>
    </row>
    <row r="551" spans="7:11">
      <c r="G551" s="17"/>
      <c r="K551" s="17"/>
    </row>
    <row r="552" spans="7:11">
      <c r="G552" s="17"/>
      <c r="K552" s="17"/>
    </row>
    <row r="553" spans="7:11">
      <c r="G553" s="17"/>
      <c r="K553" s="17"/>
    </row>
    <row r="554" spans="7:11">
      <c r="G554" s="17"/>
      <c r="K554" s="17"/>
    </row>
    <row r="555" spans="7:11">
      <c r="G555" s="17"/>
      <c r="K555" s="17"/>
    </row>
    <row r="556" spans="7:11">
      <c r="G556" s="17"/>
      <c r="K556" s="17"/>
    </row>
    <row r="557" spans="7:11">
      <c r="G557" s="17"/>
      <c r="K557" s="17"/>
    </row>
    <row r="558" spans="7:11">
      <c r="G558" s="17"/>
      <c r="K558" s="17"/>
    </row>
    <row r="559" spans="7:11">
      <c r="G559" s="17"/>
      <c r="K559" s="17"/>
    </row>
    <row r="560" spans="7:11">
      <c r="G560" s="17"/>
      <c r="K560" s="17"/>
    </row>
    <row r="561" spans="7:11">
      <c r="G561" s="17"/>
      <c r="K561" s="17"/>
    </row>
    <row r="562" spans="7:11">
      <c r="G562" s="17"/>
      <c r="K562" s="17"/>
    </row>
    <row r="563" spans="7:11">
      <c r="G563" s="17"/>
      <c r="K563" s="17"/>
    </row>
    <row r="564" spans="7:11">
      <c r="G564" s="17"/>
      <c r="K564" s="17"/>
    </row>
    <row r="565" spans="7:11">
      <c r="G565" s="17"/>
      <c r="K565" s="17"/>
    </row>
    <row r="566" spans="7:11">
      <c r="G566" s="17"/>
      <c r="K566" s="17"/>
    </row>
    <row r="567" spans="7:11">
      <c r="G567" s="17"/>
      <c r="K567" s="17"/>
    </row>
    <row r="568" spans="7:11">
      <c r="G568" s="17"/>
      <c r="K568" s="17"/>
    </row>
    <row r="569" spans="7:11">
      <c r="G569" s="17"/>
      <c r="K569" s="17"/>
    </row>
    <row r="570" spans="7:11">
      <c r="G570" s="17"/>
      <c r="K570" s="17"/>
    </row>
    <row r="571" spans="7:11">
      <c r="G571" s="17"/>
      <c r="K571" s="17"/>
    </row>
    <row r="572" spans="7:11">
      <c r="G572" s="17"/>
      <c r="K572" s="17"/>
    </row>
    <row r="573" spans="7:11">
      <c r="G573" s="17"/>
      <c r="K573" s="17"/>
    </row>
    <row r="574" spans="7:11">
      <c r="G574" s="17"/>
      <c r="K574" s="17"/>
    </row>
    <row r="575" spans="7:11">
      <c r="G575" s="17"/>
      <c r="K575" s="17"/>
    </row>
    <row r="576" spans="7:11">
      <c r="G576" s="17"/>
      <c r="K576" s="17"/>
    </row>
    <row r="577" spans="7:11">
      <c r="G577" s="17"/>
      <c r="K577" s="17"/>
    </row>
    <row r="578" spans="7:11">
      <c r="G578" s="17"/>
      <c r="K578" s="17"/>
    </row>
    <row r="579" spans="7:11">
      <c r="G579" s="17"/>
      <c r="K579" s="17"/>
    </row>
    <row r="580" spans="7:11">
      <c r="G580" s="17"/>
      <c r="K580" s="17"/>
    </row>
    <row r="581" spans="7:11">
      <c r="G581" s="17"/>
      <c r="K581" s="17"/>
    </row>
    <row r="582" spans="7:11">
      <c r="G582" s="17"/>
      <c r="K582" s="17"/>
    </row>
    <row r="583" spans="7:11">
      <c r="G583" s="17"/>
      <c r="K583" s="17"/>
    </row>
    <row r="584" spans="7:11">
      <c r="G584" s="17"/>
      <c r="K584" s="17"/>
    </row>
    <row r="585" spans="7:11">
      <c r="G585" s="17"/>
      <c r="K585" s="17"/>
    </row>
    <row r="586" spans="7:11">
      <c r="G586" s="17"/>
      <c r="K586" s="17"/>
    </row>
    <row r="587" spans="7:11">
      <c r="G587" s="17"/>
      <c r="K587" s="17"/>
    </row>
    <row r="588" spans="7:11">
      <c r="G588" s="17"/>
      <c r="K588" s="17"/>
    </row>
    <row r="589" spans="7:11">
      <c r="G589" s="17"/>
      <c r="K589" s="17"/>
    </row>
    <row r="590" spans="7:11">
      <c r="G590" s="17"/>
      <c r="K590" s="17"/>
    </row>
    <row r="591" spans="7:11">
      <c r="G591" s="17"/>
      <c r="K591" s="17"/>
    </row>
    <row r="592" spans="7:11">
      <c r="G592" s="17"/>
      <c r="K592" s="17"/>
    </row>
    <row r="593" spans="7:11">
      <c r="G593" s="17"/>
      <c r="K593" s="17"/>
    </row>
    <row r="594" spans="7:11">
      <c r="G594" s="17"/>
      <c r="K594" s="17"/>
    </row>
    <row r="595" spans="7:11">
      <c r="G595" s="17"/>
      <c r="K595" s="17"/>
    </row>
    <row r="596" spans="7:11">
      <c r="G596" s="17"/>
      <c r="K596" s="17"/>
    </row>
    <row r="597" spans="7:11">
      <c r="G597" s="17"/>
      <c r="K597" s="17"/>
    </row>
    <row r="598" spans="7:11">
      <c r="G598" s="17"/>
      <c r="K598" s="17"/>
    </row>
    <row r="599" spans="7:11">
      <c r="G599" s="17"/>
      <c r="K599" s="17"/>
    </row>
    <row r="600" spans="7:11">
      <c r="G600" s="17"/>
      <c r="K600" s="17"/>
    </row>
    <row r="601" spans="7:11">
      <c r="G601" s="17"/>
      <c r="K601" s="17"/>
    </row>
    <row r="602" spans="7:11">
      <c r="G602" s="17"/>
      <c r="K602" s="17"/>
    </row>
    <row r="603" spans="7:11">
      <c r="G603" s="17"/>
      <c r="K603" s="17"/>
    </row>
    <row r="604" spans="7:11">
      <c r="G604" s="17"/>
      <c r="K604" s="17"/>
    </row>
    <row r="605" spans="7:11">
      <c r="G605" s="17"/>
      <c r="K605" s="17"/>
    </row>
    <row r="606" spans="7:11">
      <c r="G606" s="17"/>
      <c r="K606" s="17"/>
    </row>
    <row r="607" spans="7:11">
      <c r="G607" s="17"/>
      <c r="K607" s="17"/>
    </row>
    <row r="608" spans="7:11">
      <c r="G608" s="17"/>
      <c r="K608" s="17"/>
    </row>
    <row r="609" spans="7:11">
      <c r="G609" s="17"/>
      <c r="K609" s="17"/>
    </row>
    <row r="610" spans="7:11">
      <c r="G610" s="17"/>
      <c r="K610" s="17"/>
    </row>
    <row r="611" spans="7:11">
      <c r="G611" s="17"/>
      <c r="K611" s="17"/>
    </row>
    <row r="612" spans="7:11">
      <c r="G612" s="17"/>
      <c r="K612" s="17"/>
    </row>
    <row r="613" spans="7:11">
      <c r="G613" s="17"/>
      <c r="K613" s="17"/>
    </row>
    <row r="614" spans="7:11">
      <c r="G614" s="17"/>
      <c r="K614" s="17"/>
    </row>
    <row r="615" spans="7:11">
      <c r="G615" s="17"/>
      <c r="K615" s="17"/>
    </row>
    <row r="616" spans="7:11">
      <c r="G616" s="17"/>
      <c r="K616" s="17"/>
    </row>
    <row r="617" spans="7:11">
      <c r="G617" s="17"/>
      <c r="K617" s="17"/>
    </row>
    <row r="618" spans="7:11">
      <c r="G618" s="17"/>
      <c r="K618" s="17"/>
    </row>
    <row r="619" spans="7:11">
      <c r="G619" s="17"/>
      <c r="K619" s="17"/>
    </row>
    <row r="620" spans="7:11">
      <c r="G620" s="17"/>
      <c r="K620" s="17"/>
    </row>
    <row r="621" spans="7:11">
      <c r="G621" s="17"/>
      <c r="K621" s="17"/>
    </row>
    <row r="622" spans="7:11">
      <c r="G622" s="17"/>
      <c r="K622" s="17"/>
    </row>
    <row r="623" spans="7:11">
      <c r="G623" s="17"/>
      <c r="K623" s="17"/>
    </row>
    <row r="624" spans="7:11">
      <c r="G624" s="17"/>
      <c r="K624" s="17"/>
    </row>
    <row r="625" spans="7:11">
      <c r="G625" s="17"/>
      <c r="K625" s="17"/>
    </row>
    <row r="626" spans="7:11">
      <c r="G626" s="17"/>
      <c r="K626" s="17"/>
    </row>
    <row r="627" spans="7:11">
      <c r="G627" s="17"/>
      <c r="K627" s="17"/>
    </row>
    <row r="628" spans="7:11">
      <c r="G628" s="17"/>
      <c r="K628" s="17"/>
    </row>
    <row r="629" spans="7:11">
      <c r="G629" s="17"/>
      <c r="K629" s="17"/>
    </row>
    <row r="630" spans="7:11">
      <c r="G630" s="17"/>
      <c r="K630" s="17"/>
    </row>
    <row r="631" spans="7:11">
      <c r="G631" s="17"/>
      <c r="K631" s="17"/>
    </row>
    <row r="632" spans="7:11">
      <c r="G632" s="17"/>
      <c r="K632" s="17"/>
    </row>
    <row r="633" spans="7:11">
      <c r="G633" s="17"/>
      <c r="K633" s="17"/>
    </row>
    <row r="634" spans="7:11">
      <c r="G634" s="17"/>
      <c r="K634" s="17"/>
    </row>
    <row r="635" spans="7:11">
      <c r="G635" s="17"/>
      <c r="K635" s="17"/>
    </row>
    <row r="636" spans="7:11">
      <c r="G636" s="17"/>
      <c r="K636" s="17"/>
    </row>
    <row r="637" spans="7:11">
      <c r="G637" s="17"/>
      <c r="K637" s="17"/>
    </row>
    <row r="638" spans="7:11">
      <c r="G638" s="17"/>
      <c r="K638" s="17"/>
    </row>
    <row r="639" spans="7:11">
      <c r="G639" s="17"/>
      <c r="K639" s="17"/>
    </row>
    <row r="640" spans="7:11">
      <c r="G640" s="17"/>
      <c r="K640" s="17"/>
    </row>
    <row r="641" spans="7:11">
      <c r="G641" s="17"/>
      <c r="K641" s="17"/>
    </row>
    <row r="642" spans="7:11">
      <c r="G642" s="17"/>
      <c r="K642" s="17"/>
    </row>
    <row r="643" spans="7:11">
      <c r="G643" s="17"/>
      <c r="K643" s="17"/>
    </row>
    <row r="644" spans="7:11">
      <c r="G644" s="17"/>
      <c r="K644" s="17"/>
    </row>
    <row r="645" spans="7:11">
      <c r="G645" s="17"/>
      <c r="K645" s="17"/>
    </row>
    <row r="646" spans="7:11">
      <c r="G646" s="17"/>
      <c r="K646" s="17"/>
    </row>
    <row r="647" spans="7:11">
      <c r="G647" s="17"/>
      <c r="K647" s="17"/>
    </row>
    <row r="648" spans="7:11">
      <c r="G648" s="17"/>
      <c r="K648" s="17"/>
    </row>
    <row r="649" spans="7:11">
      <c r="G649" s="17"/>
      <c r="K649" s="17"/>
    </row>
    <row r="650" spans="7:11">
      <c r="G650" s="17"/>
      <c r="K650" s="17"/>
    </row>
    <row r="651" spans="7:11">
      <c r="G651" s="17"/>
      <c r="K651" s="17"/>
    </row>
    <row r="652" spans="7:11">
      <c r="G652" s="17"/>
      <c r="K652" s="17"/>
    </row>
    <row r="653" spans="7:11">
      <c r="G653" s="17"/>
      <c r="K653" s="17"/>
    </row>
    <row r="654" spans="7:11">
      <c r="G654" s="17"/>
      <c r="K654" s="17"/>
    </row>
    <row r="655" spans="7:11">
      <c r="G655" s="17"/>
      <c r="K655" s="17"/>
    </row>
    <row r="656" spans="7:11">
      <c r="G656" s="17"/>
      <c r="K656" s="17"/>
    </row>
    <row r="657" spans="7:11">
      <c r="G657" s="17"/>
      <c r="K657" s="17"/>
    </row>
    <row r="658" spans="7:11">
      <c r="G658" s="17"/>
      <c r="K658" s="17"/>
    </row>
    <row r="659" spans="7:11">
      <c r="G659" s="17"/>
      <c r="K659" s="17"/>
    </row>
    <row r="660" spans="7:11">
      <c r="G660" s="17"/>
      <c r="K660" s="17"/>
    </row>
    <row r="661" spans="7:11">
      <c r="G661" s="17"/>
      <c r="K661" s="17"/>
    </row>
    <row r="662" spans="7:11">
      <c r="G662" s="17"/>
      <c r="K662" s="17"/>
    </row>
    <row r="663" spans="7:11">
      <c r="G663" s="17"/>
      <c r="K663" s="17"/>
    </row>
    <row r="664" spans="7:11">
      <c r="G664" s="17"/>
      <c r="K664" s="17"/>
    </row>
    <row r="665" spans="7:11">
      <c r="G665" s="17"/>
      <c r="K665" s="17"/>
    </row>
    <row r="666" spans="7:11">
      <c r="G666" s="17"/>
      <c r="K666" s="17"/>
    </row>
    <row r="667" spans="7:11">
      <c r="G667" s="17"/>
      <c r="K667" s="17"/>
    </row>
    <row r="668" spans="7:11">
      <c r="G668" s="17"/>
      <c r="K668" s="17"/>
    </row>
    <row r="669" spans="7:11">
      <c r="G669" s="17"/>
      <c r="K669" s="17"/>
    </row>
    <row r="670" spans="7:11">
      <c r="G670" s="17"/>
      <c r="K670" s="17"/>
    </row>
    <row r="671" spans="7:11">
      <c r="G671" s="17"/>
      <c r="K671" s="17"/>
    </row>
    <row r="672" spans="7:11">
      <c r="G672" s="17"/>
      <c r="K672" s="17"/>
    </row>
    <row r="673" spans="7:11">
      <c r="G673" s="17"/>
      <c r="K673" s="17"/>
    </row>
    <row r="674" spans="7:11">
      <c r="G674" s="17"/>
      <c r="K674" s="17"/>
    </row>
    <row r="675" spans="7:11">
      <c r="G675" s="17"/>
      <c r="K675" s="17"/>
    </row>
    <row r="676" spans="7:11">
      <c r="G676" s="17"/>
      <c r="K676" s="17"/>
    </row>
    <row r="677" spans="7:11">
      <c r="G677" s="17"/>
      <c r="K677" s="17"/>
    </row>
    <row r="678" spans="7:11">
      <c r="G678" s="17"/>
      <c r="K678" s="17"/>
    </row>
    <row r="679" spans="7:11">
      <c r="G679" s="17"/>
      <c r="K679" s="17"/>
    </row>
    <row r="680" spans="7:11">
      <c r="G680" s="17"/>
      <c r="K680" s="17"/>
    </row>
    <row r="681" spans="7:11">
      <c r="G681" s="17"/>
      <c r="K681" s="17"/>
    </row>
    <row r="682" spans="7:11">
      <c r="G682" s="17"/>
      <c r="K682" s="17"/>
    </row>
    <row r="683" spans="7:11">
      <c r="G683" s="17"/>
      <c r="K683" s="17"/>
    </row>
    <row r="684" spans="7:11">
      <c r="G684" s="17"/>
      <c r="K684" s="17"/>
    </row>
    <row r="685" spans="7:11">
      <c r="G685" s="17"/>
      <c r="K685" s="17"/>
    </row>
    <row r="686" spans="7:11">
      <c r="G686" s="17"/>
      <c r="K686" s="17"/>
    </row>
    <row r="687" spans="7:11">
      <c r="G687" s="17"/>
      <c r="K687" s="17"/>
    </row>
    <row r="688" spans="7:11">
      <c r="G688" s="17"/>
      <c r="K688" s="17"/>
    </row>
    <row r="689" spans="7:11">
      <c r="G689" s="17"/>
      <c r="K689" s="17"/>
    </row>
    <row r="690" spans="7:11">
      <c r="G690" s="17"/>
      <c r="K690" s="17"/>
    </row>
    <row r="691" spans="7:11">
      <c r="G691" s="17"/>
      <c r="K691" s="17"/>
    </row>
    <row r="692" spans="7:11">
      <c r="G692" s="17"/>
      <c r="K692" s="17"/>
    </row>
    <row r="693" spans="7:11">
      <c r="G693" s="17"/>
      <c r="K693" s="17"/>
    </row>
    <row r="694" spans="7:11">
      <c r="G694" s="17"/>
      <c r="K694" s="17"/>
    </row>
    <row r="695" spans="7:11">
      <c r="G695" s="17"/>
      <c r="K695" s="17"/>
    </row>
    <row r="696" spans="7:11">
      <c r="G696" s="17"/>
      <c r="K696" s="17"/>
    </row>
    <row r="697" spans="7:11">
      <c r="G697" s="17"/>
      <c r="K697" s="17"/>
    </row>
    <row r="698" spans="7:11">
      <c r="G698" s="17"/>
      <c r="K698" s="17"/>
    </row>
    <row r="699" spans="7:11">
      <c r="G699" s="17"/>
      <c r="K699" s="17"/>
    </row>
    <row r="700" spans="7:11">
      <c r="G700" s="17"/>
      <c r="K700" s="17"/>
    </row>
    <row r="701" spans="7:11">
      <c r="G701" s="17"/>
      <c r="K701" s="17"/>
    </row>
    <row r="702" spans="7:11">
      <c r="G702" s="17"/>
      <c r="K702" s="17"/>
    </row>
    <row r="703" spans="7:11">
      <c r="G703" s="17"/>
      <c r="K703" s="17"/>
    </row>
    <row r="704" spans="7:11">
      <c r="G704" s="17"/>
      <c r="K704" s="17"/>
    </row>
    <row r="705" spans="7:11">
      <c r="G705" s="17"/>
      <c r="K705" s="17"/>
    </row>
    <row r="706" spans="7:11">
      <c r="G706" s="17"/>
      <c r="K706" s="17"/>
    </row>
    <row r="707" spans="7:11">
      <c r="G707" s="17"/>
      <c r="K707" s="17"/>
    </row>
    <row r="708" spans="7:11">
      <c r="G708" s="17"/>
      <c r="K708" s="17"/>
    </row>
    <row r="709" spans="7:11">
      <c r="G709" s="17"/>
      <c r="K709" s="17"/>
    </row>
    <row r="710" spans="7:11">
      <c r="G710" s="17"/>
      <c r="K710" s="17"/>
    </row>
    <row r="711" spans="7:11">
      <c r="G711" s="17"/>
      <c r="K711" s="17"/>
    </row>
    <row r="712" spans="7:11">
      <c r="G712" s="17"/>
      <c r="K712" s="17"/>
    </row>
    <row r="713" spans="7:11">
      <c r="G713" s="17"/>
      <c r="K713" s="17"/>
    </row>
    <row r="714" spans="7:11">
      <c r="G714" s="17"/>
      <c r="K714" s="17"/>
    </row>
    <row r="715" spans="7:11">
      <c r="G715" s="17"/>
      <c r="K715" s="17"/>
    </row>
    <row r="716" spans="7:11">
      <c r="G716" s="17"/>
      <c r="K716" s="17"/>
    </row>
    <row r="717" spans="7:11">
      <c r="G717" s="17"/>
      <c r="K717" s="17"/>
    </row>
    <row r="718" spans="7:11">
      <c r="G718" s="17"/>
      <c r="K718" s="17"/>
    </row>
    <row r="719" spans="7:11">
      <c r="G719" s="17"/>
      <c r="K719" s="17"/>
    </row>
    <row r="720" spans="7:11">
      <c r="G720" s="17"/>
      <c r="K720" s="17"/>
    </row>
    <row r="721" spans="7:11">
      <c r="G721" s="17"/>
      <c r="K721" s="17"/>
    </row>
    <row r="722" spans="7:11">
      <c r="G722" s="17"/>
      <c r="K722" s="17"/>
    </row>
    <row r="723" spans="7:11">
      <c r="G723" s="17"/>
      <c r="K723" s="17"/>
    </row>
    <row r="724" spans="7:11">
      <c r="G724" s="17"/>
      <c r="K724" s="17"/>
    </row>
    <row r="725" spans="7:11">
      <c r="G725" s="17"/>
      <c r="K725" s="17"/>
    </row>
    <row r="726" spans="7:11">
      <c r="G726" s="17"/>
      <c r="K726" s="17"/>
    </row>
    <row r="727" spans="7:11">
      <c r="G727" s="17"/>
      <c r="K727" s="17"/>
    </row>
    <row r="728" spans="7:11">
      <c r="G728" s="17"/>
      <c r="K728" s="17"/>
    </row>
    <row r="729" spans="7:11">
      <c r="G729" s="17"/>
      <c r="K729" s="17"/>
    </row>
    <row r="730" spans="7:11">
      <c r="G730" s="17"/>
      <c r="K730" s="17"/>
    </row>
    <row r="731" spans="7:11">
      <c r="G731" s="17"/>
      <c r="K731" s="17"/>
    </row>
    <row r="732" spans="7:11">
      <c r="G732" s="17"/>
      <c r="K732" s="17"/>
    </row>
    <row r="733" spans="7:11">
      <c r="G733" s="17"/>
      <c r="K733" s="17"/>
    </row>
    <row r="734" spans="7:11">
      <c r="G734" s="17"/>
      <c r="K734" s="17"/>
    </row>
    <row r="735" spans="7:11">
      <c r="G735" s="17"/>
      <c r="K735" s="17"/>
    </row>
    <row r="736" spans="7:11">
      <c r="G736" s="17"/>
      <c r="K736" s="17"/>
    </row>
    <row r="737" spans="7:11">
      <c r="G737" s="17"/>
      <c r="K737" s="17"/>
    </row>
    <row r="738" spans="7:11">
      <c r="G738" s="17"/>
      <c r="K738" s="17"/>
    </row>
    <row r="739" spans="7:11">
      <c r="G739" s="17"/>
      <c r="K739" s="17"/>
    </row>
    <row r="740" spans="7:11">
      <c r="G740" s="17"/>
      <c r="K740" s="17"/>
    </row>
    <row r="741" spans="7:11">
      <c r="G741" s="17"/>
      <c r="K741" s="17"/>
    </row>
    <row r="742" spans="7:11">
      <c r="G742" s="17"/>
      <c r="K742" s="17"/>
    </row>
    <row r="743" spans="7:11">
      <c r="G743" s="17"/>
      <c r="K743" s="17"/>
    </row>
    <row r="744" spans="7:11">
      <c r="G744" s="17"/>
      <c r="K744" s="17"/>
    </row>
    <row r="745" spans="7:11">
      <c r="G745" s="17"/>
      <c r="K745" s="17"/>
    </row>
    <row r="746" spans="7:11">
      <c r="G746" s="17"/>
      <c r="K746" s="17"/>
    </row>
    <row r="747" spans="7:11">
      <c r="G747" s="17"/>
      <c r="K747" s="17"/>
    </row>
    <row r="748" spans="7:11">
      <c r="G748" s="17"/>
      <c r="K748" s="17"/>
    </row>
    <row r="749" spans="7:11">
      <c r="G749" s="17"/>
      <c r="K749" s="17"/>
    </row>
    <row r="750" spans="7:11">
      <c r="G750" s="17"/>
      <c r="K750" s="17"/>
    </row>
    <row r="751" spans="7:11">
      <c r="G751" s="17"/>
      <c r="K751" s="17"/>
    </row>
    <row r="752" spans="7:11">
      <c r="G752" s="17"/>
      <c r="K752" s="17"/>
    </row>
    <row r="753" spans="7:11">
      <c r="G753" s="20"/>
      <c r="K753" s="17"/>
    </row>
    <row r="754" spans="7:11">
      <c r="G754" s="17"/>
      <c r="K754" s="17"/>
    </row>
    <row r="755" spans="7:11">
      <c r="G755" s="17"/>
      <c r="K755" s="17"/>
    </row>
    <row r="756" spans="7:11">
      <c r="G756" s="17"/>
      <c r="K756" s="17"/>
    </row>
    <row r="757" spans="7:11">
      <c r="G757" s="17"/>
      <c r="K757" s="17"/>
    </row>
    <row r="758" spans="7:11">
      <c r="G758" s="17"/>
      <c r="K758" s="17"/>
    </row>
    <row r="759" spans="7:11">
      <c r="G759" s="17"/>
      <c r="K759" s="17"/>
    </row>
    <row r="760" spans="7:11">
      <c r="G760" s="17"/>
      <c r="K760" s="17"/>
    </row>
    <row r="761" spans="7:11">
      <c r="G761" s="17"/>
      <c r="K761" s="17"/>
    </row>
    <row r="762" spans="7:11">
      <c r="G762" s="17"/>
      <c r="K762" s="17"/>
    </row>
    <row r="763" spans="7:11">
      <c r="G763" s="17"/>
      <c r="K763" s="17"/>
    </row>
    <row r="764" spans="7:11">
      <c r="G764" s="17"/>
      <c r="K764" s="17"/>
    </row>
    <row r="765" spans="7:11">
      <c r="G765" s="17"/>
      <c r="K765" s="17"/>
    </row>
    <row r="766" spans="7:11">
      <c r="G766" s="17"/>
      <c r="H766" t="str">
        <f t="shared" ref="H766:H772" si="3">TRIM(CLEAN(SUBSTITUTE(G766,CHAR(160)," ")))</f>
        <v/>
      </c>
      <c r="K766" s="17"/>
    </row>
    <row r="767" spans="7:11">
      <c r="G767" s="17"/>
      <c r="H767" t="str">
        <f t="shared" si="3"/>
        <v/>
      </c>
      <c r="K767" s="17"/>
    </row>
    <row r="768" spans="7:11">
      <c r="G768" s="17"/>
      <c r="H768" t="str">
        <f t="shared" si="3"/>
        <v/>
      </c>
      <c r="K768" s="17"/>
    </row>
    <row r="769" spans="7:11">
      <c r="G769" s="17"/>
      <c r="H769" t="str">
        <f t="shared" si="3"/>
        <v/>
      </c>
      <c r="K769" s="17"/>
    </row>
    <row r="770" spans="7:11">
      <c r="G770" s="17"/>
      <c r="H770" t="str">
        <f t="shared" si="3"/>
        <v/>
      </c>
      <c r="K770" s="17"/>
    </row>
    <row r="771" spans="7:11">
      <c r="G771" s="17"/>
      <c r="H771" t="str">
        <f t="shared" si="3"/>
        <v/>
      </c>
      <c r="K771" s="17"/>
    </row>
    <row r="772" spans="7:11">
      <c r="G772" s="17"/>
      <c r="H772" t="str">
        <f t="shared" si="3"/>
        <v/>
      </c>
      <c r="K772" s="17"/>
    </row>
    <row r="773" spans="7:11">
      <c r="G773" s="17"/>
      <c r="H773" t="str">
        <f t="shared" ref="H773:H804" si="4">TRIM(CLEAN(SUBSTITUTE(G773,CHAR(160)," ")))</f>
        <v/>
      </c>
      <c r="K773" s="17"/>
    </row>
    <row r="774" spans="7:11">
      <c r="G774" s="17"/>
      <c r="H774" t="str">
        <f t="shared" si="4"/>
        <v/>
      </c>
      <c r="K774" s="17"/>
    </row>
    <row r="775" spans="7:11">
      <c r="G775" s="17"/>
      <c r="H775" t="str">
        <f t="shared" si="4"/>
        <v/>
      </c>
      <c r="K775" s="17"/>
    </row>
    <row r="776" spans="7:11">
      <c r="G776" s="17"/>
      <c r="H776" t="str">
        <f t="shared" si="4"/>
        <v/>
      </c>
      <c r="K776" s="17"/>
    </row>
    <row r="777" spans="7:11">
      <c r="G777" s="17"/>
      <c r="H777" t="str">
        <f t="shared" si="4"/>
        <v/>
      </c>
      <c r="K777" s="17"/>
    </row>
    <row r="778" spans="7:11">
      <c r="G778" s="17"/>
      <c r="H778" t="str">
        <f t="shared" si="4"/>
        <v/>
      </c>
      <c r="K778" s="17"/>
    </row>
    <row r="779" spans="7:11">
      <c r="G779" s="17"/>
      <c r="H779" t="str">
        <f t="shared" si="4"/>
        <v/>
      </c>
      <c r="K779" s="17"/>
    </row>
    <row r="780" spans="7:11">
      <c r="G780" s="17"/>
      <c r="H780" t="str">
        <f t="shared" si="4"/>
        <v/>
      </c>
      <c r="K780" s="17"/>
    </row>
    <row r="781" spans="7:11">
      <c r="G781" s="17"/>
      <c r="H781" t="str">
        <f t="shared" si="4"/>
        <v/>
      </c>
      <c r="K781" s="17"/>
    </row>
    <row r="782" spans="7:11">
      <c r="G782" s="17"/>
      <c r="H782" t="str">
        <f t="shared" si="4"/>
        <v/>
      </c>
      <c r="K782" s="17"/>
    </row>
    <row r="783" spans="7:11">
      <c r="G783" s="17"/>
      <c r="H783" t="str">
        <f t="shared" si="4"/>
        <v/>
      </c>
      <c r="K783" s="17"/>
    </row>
    <row r="784" spans="7:11">
      <c r="G784" s="17"/>
      <c r="H784" t="str">
        <f t="shared" si="4"/>
        <v/>
      </c>
      <c r="K784" s="17"/>
    </row>
    <row r="785" spans="7:11">
      <c r="G785" s="17"/>
      <c r="H785" t="str">
        <f t="shared" si="4"/>
        <v/>
      </c>
      <c r="K785" s="17"/>
    </row>
    <row r="786" spans="7:11">
      <c r="G786" s="17"/>
      <c r="H786" t="str">
        <f t="shared" si="4"/>
        <v/>
      </c>
      <c r="K786" s="17"/>
    </row>
    <row r="787" spans="7:11">
      <c r="G787" s="17"/>
      <c r="H787" t="str">
        <f t="shared" si="4"/>
        <v/>
      </c>
      <c r="K787" s="17"/>
    </row>
    <row r="788" spans="7:11">
      <c r="G788" s="17"/>
      <c r="H788" t="str">
        <f t="shared" si="4"/>
        <v/>
      </c>
      <c r="K788" s="17"/>
    </row>
    <row r="789" spans="7:11">
      <c r="G789" s="17"/>
      <c r="H789" t="str">
        <f t="shared" si="4"/>
        <v/>
      </c>
      <c r="K789" s="17"/>
    </row>
    <row r="790" spans="7:11">
      <c r="G790" s="17"/>
      <c r="H790" t="str">
        <f t="shared" si="4"/>
        <v/>
      </c>
      <c r="K790" s="17"/>
    </row>
    <row r="791" spans="7:11">
      <c r="G791" s="17"/>
      <c r="H791" t="str">
        <f t="shared" si="4"/>
        <v/>
      </c>
      <c r="K791" s="17"/>
    </row>
    <row r="792" spans="7:11">
      <c r="G792" s="17"/>
      <c r="H792" t="str">
        <f t="shared" si="4"/>
        <v/>
      </c>
      <c r="K792" s="17"/>
    </row>
    <row r="793" spans="7:11">
      <c r="G793" s="17"/>
      <c r="H793" t="str">
        <f t="shared" si="4"/>
        <v/>
      </c>
      <c r="K793" s="17"/>
    </row>
    <row r="794" spans="7:11">
      <c r="G794" s="17"/>
      <c r="H794" t="str">
        <f t="shared" si="4"/>
        <v/>
      </c>
      <c r="K794" s="17"/>
    </row>
    <row r="795" spans="7:11">
      <c r="G795" s="17"/>
      <c r="H795" t="str">
        <f t="shared" si="4"/>
        <v/>
      </c>
      <c r="K795" s="17"/>
    </row>
    <row r="796" spans="7:11">
      <c r="G796" s="17"/>
      <c r="H796" t="str">
        <f t="shared" si="4"/>
        <v/>
      </c>
      <c r="K796" s="17"/>
    </row>
    <row r="797" spans="7:11">
      <c r="G797" s="17"/>
      <c r="H797" t="str">
        <f t="shared" si="4"/>
        <v/>
      </c>
      <c r="K797" s="17"/>
    </row>
    <row r="798" spans="7:11">
      <c r="G798" s="17"/>
      <c r="H798" t="str">
        <f t="shared" si="4"/>
        <v/>
      </c>
      <c r="K798" s="17"/>
    </row>
    <row r="799" spans="7:11">
      <c r="G799" s="17"/>
      <c r="H799" t="str">
        <f t="shared" si="4"/>
        <v/>
      </c>
      <c r="K799" s="17"/>
    </row>
    <row r="800" spans="7:11">
      <c r="G800" s="17"/>
      <c r="H800" t="str">
        <f t="shared" si="4"/>
        <v/>
      </c>
      <c r="K800" s="17"/>
    </row>
    <row r="801" spans="7:11">
      <c r="G801" s="17"/>
      <c r="H801" t="str">
        <f t="shared" si="4"/>
        <v/>
      </c>
      <c r="K801" s="17"/>
    </row>
    <row r="802" spans="7:11">
      <c r="G802" s="17"/>
      <c r="H802" t="str">
        <f t="shared" si="4"/>
        <v/>
      </c>
      <c r="K802" s="17"/>
    </row>
    <row r="803" spans="7:11">
      <c r="G803" s="17"/>
      <c r="H803" t="str">
        <f t="shared" si="4"/>
        <v/>
      </c>
      <c r="K803" s="17"/>
    </row>
    <row r="804" spans="7:11">
      <c r="G804" s="17"/>
      <c r="H804" t="str">
        <f t="shared" si="4"/>
        <v/>
      </c>
      <c r="K804" s="17"/>
    </row>
  </sheetData>
  <hyperlinks>
    <hyperlink ref="A3" r:id="rId1" display="http://www.nhl.com/ice/player.htm?id=8475166"/>
    <hyperlink ref="B3" r:id="rId2" display="javascript:void(0);"/>
    <hyperlink ref="A4" r:id="rId3" display="http://www.nhl.com/ice/player.htm?id=8471214"/>
    <hyperlink ref="B4" r:id="rId4" display="javascript:void(0);"/>
    <hyperlink ref="A5" r:id="rId5" display="http://www.nhl.com/ice/player.htm?id=8473563"/>
    <hyperlink ref="B5" r:id="rId6" display="javascript:void(0);"/>
    <hyperlink ref="A6" r:id="rId7" display="http://www.nhl.com/ice/player.htm?id=8471215"/>
    <hyperlink ref="B6" r:id="rId8" display="javascript:void(0);"/>
    <hyperlink ref="A7" r:id="rId9" display="http://www.nhl.com/ice/player.htm?id=8471675"/>
    <hyperlink ref="B7" r:id="rId10" display="javascript:void(0);"/>
    <hyperlink ref="A8" r:id="rId11" display="http://www.nhl.com/ice/player.htm?id=8474161"/>
    <hyperlink ref="B8" r:id="rId12" display="javascript:void(0);"/>
    <hyperlink ref="A9" r:id="rId13" display="http://www.nhl.com/ice/player.htm?id=8475765"/>
    <hyperlink ref="B9" r:id="rId14" display="javascript:void(0);"/>
    <hyperlink ref="A10" r:id="rId15" display="http://www.nhl.com/ice/player.htm?id=8474870"/>
    <hyperlink ref="B10" r:id="rId16" display="javascript:void(0);"/>
    <hyperlink ref="A11" r:id="rId17" display="http://www.nhl.com/ice/player.htm?id=8474141"/>
    <hyperlink ref="B11" r:id="rId18" display="javascript:void(0);"/>
    <hyperlink ref="A12" r:id="rId19" display="http://www.nhl.com/ice/player.htm?id=8470041"/>
    <hyperlink ref="B12" r:id="rId20" display="javascript:void(0);"/>
    <hyperlink ref="A13" r:id="rId21" display="http://www.nhl.com/ice/player.htm?id=8473994"/>
    <hyperlink ref="B13" r:id="rId22" display="javascript:void(0);"/>
    <hyperlink ref="A14" r:id="rId23" display="http://www.nhl.com/ice/player.htm?id=8474564"/>
    <hyperlink ref="B14" r:id="rId24" display="javascript:void(0);"/>
    <hyperlink ref="A15" r:id="rId25" display="http://www.nhl.com/ice/player.htm?id=8470794"/>
    <hyperlink ref="B15" r:id="rId26" display="javascript:void(0);"/>
    <hyperlink ref="A16" r:id="rId27" display="http://www.nhl.com/ice/player.htm?id=8475794"/>
    <hyperlink ref="B16" r:id="rId28" display="javascript:void(0);"/>
    <hyperlink ref="A17" r:id="rId29" display="http://www.nhl.com/ice/player.htm?id=8470612"/>
    <hyperlink ref="B17" r:id="rId30" display="javascript:void(0);"/>
    <hyperlink ref="A18" r:id="rId31" display="http://www.nhl.com/ice/player.htm?id=8473512"/>
    <hyperlink ref="B18" r:id="rId32" display="javascript:void(0);"/>
    <hyperlink ref="A19" r:id="rId33" display="http://www.nhl.com/ice/player.htm?id=8467876"/>
    <hyperlink ref="B19" r:id="rId34" display="javascript:void(0);"/>
    <hyperlink ref="A20" r:id="rId35" display="http://www.nhl.com/ice/player.htm?id=8473422"/>
    <hyperlink ref="B20" r:id="rId36" display="javascript:void(0);"/>
    <hyperlink ref="A21" r:id="rId37" display="http://www.nhl.com/ice/player.htm?id=8467875"/>
    <hyperlink ref="B21" r:id="rId38" display="javascript:void(0);"/>
    <hyperlink ref="A22" r:id="rId39" display="http://www.nhl.com/ice/player.htm?id=8474157"/>
    <hyperlink ref="B22" r:id="rId40" display="javascript:void(0);"/>
    <hyperlink ref="A23" r:id="rId41" display="http://www.nhl.com/ice/player.htm?id=8475793"/>
    <hyperlink ref="B23" r:id="rId42" display="javascript:void(0);"/>
    <hyperlink ref="A24" r:id="rId43" display="http://www.nhl.com/ice/player.htm?id=8466138"/>
    <hyperlink ref="B24" r:id="rId44" display="javascript:void(0);"/>
    <hyperlink ref="A25" r:id="rId45" display="http://www.nhl.com/ice/player.htm?id=8476453"/>
    <hyperlink ref="B25" r:id="rId46" display="javascript:void(0);"/>
    <hyperlink ref="A26" r:id="rId47" display="http://www.nhl.com/ice/player.htm?id=8470201"/>
    <hyperlink ref="B26" r:id="rId48" display="javascript:void(0);"/>
    <hyperlink ref="A27" r:id="rId49" display="http://www.nhl.com/ice/player.htm?id=8467514"/>
    <hyperlink ref="B27" r:id="rId50" display="javascript:void(0);"/>
    <hyperlink ref="A28" r:id="rId51" display="http://www.nhl.com/ice/player.htm?id=8468083"/>
    <hyperlink ref="B28" r:id="rId52" display="javascript:void(0);"/>
    <hyperlink ref="A29" r:id="rId53" display="http://www.nhl.com/ice/player.htm?id=8471217"/>
    <hyperlink ref="B29" r:id="rId54" display="javascript:void(0);"/>
    <hyperlink ref="A30" r:id="rId55" display="http://www.nhl.com/ice/player.htm?id=8474053"/>
    <hyperlink ref="B30" r:id="rId56" display="javascript:void(0);"/>
    <hyperlink ref="A31" r:id="rId57" display="http://www.nhl.com/ice/player.htm?id=8473604"/>
    <hyperlink ref="B31" r:id="rId58" display="javascript:void(0);"/>
    <hyperlink ref="A32" r:id="rId59" display="http://www.nhl.com/ice/player.htm?id=8470257"/>
    <hyperlink ref="B32" r:id="rId60" display="javascript:void(0);"/>
    <hyperlink ref="A33" r:id="rId61" display="http://www.nhl.com/ice/player.htm?id=8467371"/>
    <hyperlink ref="B33" r:id="rId62" display="javascript:void(0);"/>
    <hyperlink ref="A34" r:id="rId63" display="http://www.nhl.com/ice/player.htm?id=8476887"/>
    <hyperlink ref="B34" r:id="rId64" display="javascript:void(0);"/>
    <hyperlink ref="A35" r:id="rId65" display="http://www.nhl.com/ice/player.htm?id=8469455"/>
    <hyperlink ref="B35" r:id="rId66" display="javascript:void(0);"/>
    <hyperlink ref="A36" r:id="rId67" display="http://www.nhl.com/ice/player.htm?id=8470610"/>
    <hyperlink ref="B36" r:id="rId68" display="javascript:void(0);"/>
    <hyperlink ref="A37" r:id="rId69" display="http://www.nhl.com/ice/player.htm?id=8475768"/>
    <hyperlink ref="B37" r:id="rId70" display="javascript:void(0);"/>
    <hyperlink ref="A38" r:id="rId71" display="http://www.nhl.com/ice/player.htm?id=8476292"/>
    <hyperlink ref="B38" r:id="rId72" display="javascript:void(0);"/>
    <hyperlink ref="A39" r:id="rId73" display="http://www.nhl.com/ice/player.htm?id=8473544"/>
    <hyperlink ref="B39" r:id="rId74" display="javascript:void(0);"/>
    <hyperlink ref="A40" r:id="rId75" display="http://www.nhl.com/ice/player.htm?id=8473412"/>
    <hyperlink ref="B40" r:id="rId76" display="javascript:void(0);"/>
    <hyperlink ref="A41" r:id="rId77" display="http://www.nhl.com/ice/player.htm?id=8473548"/>
    <hyperlink ref="B41" r:id="rId78" display="javascript:void(0);"/>
    <hyperlink ref="A42" r:id="rId79" display="http://www.nhl.com/ice/player.htm?id=8470604"/>
    <hyperlink ref="B42" r:id="rId80" display="javascript:void(0);"/>
    <hyperlink ref="A43" r:id="rId81" display="http://www.nhl.com/ice/player.htm?id=8471724"/>
    <hyperlink ref="B43" r:id="rId82" display="javascript:void(0);"/>
    <hyperlink ref="A44" r:id="rId83" display="http://www.nhl.com/ice/player.htm?id=8471218"/>
    <hyperlink ref="B44" r:id="rId84" display="javascript:void(0);"/>
    <hyperlink ref="A45" r:id="rId85" display="http://www.nhl.com/ice/player.htm?id=8474578"/>
    <hyperlink ref="B45" r:id="rId86" display="javascript:void(0);"/>
    <hyperlink ref="A46" r:id="rId87" display="http://www.nhl.com/ice/player.htm?id=8471685"/>
    <hyperlink ref="B46" r:id="rId88" display="javascript:void(0);"/>
    <hyperlink ref="A47" r:id="rId89" display="http://www.nhl.com/ice/player.htm?id=8471676"/>
    <hyperlink ref="B47" r:id="rId90" display="javascript:void(0);"/>
    <hyperlink ref="A48" r:id="rId91" display="http://www.nhl.com/ice/player.htm?id=8470613"/>
    <hyperlink ref="B48" r:id="rId92" display="javascript:void(0);"/>
    <hyperlink ref="A49" r:id="rId93" display="http://www.nhl.com/ice/player.htm?id=8474056"/>
    <hyperlink ref="B49" r:id="rId94" display="javascript:void(0);"/>
    <hyperlink ref="A50" r:id="rId95" display="http://www.nhl.com/ice/player.htm?id=8468085"/>
    <hyperlink ref="B50" r:id="rId96" display="javascript:void(0);"/>
    <hyperlink ref="A51" r:id="rId97" display="http://www.nhl.com/ice/player.htm?id=8475193"/>
    <hyperlink ref="B51" r:id="rId98" display="javascript:void(0);"/>
    <hyperlink ref="A52" r:id="rId99" display="http://www.nhl.com/ice/player.htm?id=8474037"/>
    <hyperlink ref="B52" r:id="rId100" display="javascript:void(0);"/>
    <hyperlink ref="A53" r:id="rId101" display="http://www.nhl.com/ice/player.htm?id=8466148"/>
    <hyperlink ref="B53" r:id="rId102" display="javascript:void(0);"/>
    <hyperlink ref="A54" r:id="rId103" display="http://www.nhl.com/ice/player.htm?id=8474586"/>
    <hyperlink ref="B54" r:id="rId104" display="javascript:void(0);"/>
    <hyperlink ref="A55" r:id="rId105" display="http://www.nhl.com/ice/player.htm?id=8476346"/>
    <hyperlink ref="B55" r:id="rId106" display="javascript:void(0);"/>
    <hyperlink ref="A56" r:id="rId107" display="http://www.nhl.com/ice/player.htm?id=8466139"/>
    <hyperlink ref="B56" r:id="rId108" display="javascript:void(0);"/>
    <hyperlink ref="A57" r:id="rId109" display="http://www.nhl.com/ice/player.htm?id=8470966"/>
    <hyperlink ref="B57" r:id="rId110" display="javascript:void(0);"/>
    <hyperlink ref="A58" r:id="rId111" display="http://www.nhl.com/ice/player.htm?id=8477497"/>
    <hyperlink ref="B58" r:id="rId112" display="javascript:void(0);"/>
    <hyperlink ref="A59" r:id="rId113" display="http://www.nhl.com/ice/player.htm?id=8471339"/>
    <hyperlink ref="B59" r:id="rId114" display="javascript:void(0);"/>
    <hyperlink ref="A60" r:id="rId115" display="http://www.nhl.com/ice/player.htm?id=8476455"/>
    <hyperlink ref="B60" r:id="rId116" display="javascript:void(0);"/>
    <hyperlink ref="A61" r:id="rId117" display="http://www.nhl.com/ice/player.htm?id=8470638"/>
    <hyperlink ref="B61" r:id="rId118" display="javascript:void(0);"/>
    <hyperlink ref="A62" r:id="rId119" display="http://www.nhl.com/ice/player.htm?id=8469506"/>
    <hyperlink ref="B62" r:id="rId120" display="javascript:void(0);"/>
    <hyperlink ref="A63" r:id="rId121" display="http://www.nhl.com/ice/player.htm?id=8474600"/>
    <hyperlink ref="B63" r:id="rId122" display="javascript:void(0);"/>
    <hyperlink ref="A64" r:id="rId123" display="http://www.nhl.com/ice/player.htm?id=8470621"/>
    <hyperlink ref="B64" r:id="rId124" display="javascript:void(0);"/>
    <hyperlink ref="A65" r:id="rId125" display="http://www.nhl.com/ice/player.htm?id=8470655"/>
    <hyperlink ref="B65" r:id="rId126" display="javascript:void(0);"/>
    <hyperlink ref="A66" r:id="rId127" display="http://www.nhl.com/ice/player.htm?id=8474679"/>
    <hyperlink ref="B66" r:id="rId128" display="javascript:void(0);"/>
    <hyperlink ref="A67" r:id="rId129" display="http://www.nhl.com/ice/player.htm?id=8462042"/>
    <hyperlink ref="B67" r:id="rId130" display="javascript:void(0);"/>
    <hyperlink ref="A68" r:id="rId131" display="http://www.nhl.com/ice/player.htm?id=8471698"/>
    <hyperlink ref="B68" r:id="rId132" display="javascript:void(0);"/>
    <hyperlink ref="A69" r:id="rId133" display="http://www.nhl.com/ice/player.htm?id=8474590"/>
    <hyperlink ref="B69" r:id="rId134" display="javascript:void(0);"/>
    <hyperlink ref="A70" r:id="rId135" display="http://www.nhl.com/ice/player.htm?id=8469521"/>
    <hyperlink ref="B70" r:id="rId136" display="javascript:void(0);"/>
    <hyperlink ref="A71" r:id="rId137" display="http://www.nhl.com/ice/player.htm?id=8468486"/>
    <hyperlink ref="B71" r:id="rId138" display="javascript:void(0);"/>
    <hyperlink ref="A72" r:id="rId139" display="http://www.nhl.com/ice/player.htm?id=8474068"/>
    <hyperlink ref="B72" r:id="rId140" display="javascript:void(0);"/>
    <hyperlink ref="A73" r:id="rId141" display="http://www.nhl.com/ice/player.htm?id=8470047"/>
    <hyperlink ref="B73" r:id="rId142" display="javascript:void(0);"/>
    <hyperlink ref="A74" r:id="rId143" display="http://www.nhl.com/ice/player.htm?id=8474190"/>
    <hyperlink ref="B74" r:id="rId144" display="javascript:void(0);"/>
    <hyperlink ref="A75" r:id="rId145" display="http://www.nhl.com/ice/player.htm?id=8466378"/>
    <hyperlink ref="B75" r:id="rId146" display="javascript:void(0);"/>
    <hyperlink ref="A76" r:id="rId147" display="http://www.nhl.com/ice/player.htm?id=8473449"/>
    <hyperlink ref="B76" r:id="rId148" display="javascript:void(0);"/>
    <hyperlink ref="A77" r:id="rId149" display="http://www.nhl.com/ice/player.htm?id=8475753"/>
    <hyperlink ref="B77" r:id="rId150" display="javascript:void(0);"/>
    <hyperlink ref="A78" r:id="rId151" display="http://www.nhl.com/ice/player.htm?id=8475197"/>
    <hyperlink ref="B78" r:id="rId152" display="javascript:void(0);"/>
    <hyperlink ref="A79" r:id="rId153" display="http://www.nhl.com/ice/player.htm?id=8476438"/>
    <hyperlink ref="B79" r:id="rId154" display="javascript:void(0);"/>
    <hyperlink ref="A80" r:id="rId155" display="http://www.nhl.com/ice/player.htm?id=8476454"/>
    <hyperlink ref="B80" r:id="rId156" display="javascript:void(0);"/>
    <hyperlink ref="A81" r:id="rId157" display="http://www.nhl.com/ice/player.htm?id=8470595"/>
    <hyperlink ref="B81" r:id="rId158" display="javascript:void(0);"/>
    <hyperlink ref="A82" r:id="rId159" display="http://www.nhl.com/ice/player.htm?id=8467338"/>
    <hyperlink ref="B82" r:id="rId160" display="javascript:void(0);"/>
    <hyperlink ref="A83" r:id="rId161" display="http://www.nhl.com/ice/player.htm?id=8475913"/>
    <hyperlink ref="B83" r:id="rId162" display="javascript:void(0);"/>
    <hyperlink ref="A84" r:id="rId163" display="http://www.nhl.com/ice/player.htm?id=8470642"/>
    <hyperlink ref="B84" r:id="rId164" display="javascript:void(0);"/>
    <hyperlink ref="A85" r:id="rId165" display="http://www.nhl.com/ice/player.htm?id=8476458"/>
    <hyperlink ref="B85" r:id="rId166" display="javascript:void(0);"/>
    <hyperlink ref="A86" r:id="rId167" display="http://www.nhl.com/ice/player.htm?id=8474613"/>
    <hyperlink ref="B86" r:id="rId168" display="javascript:void(0);"/>
    <hyperlink ref="A87" r:id="rId169" display="http://www.nhl.com/ice/player.htm?id=8468309"/>
    <hyperlink ref="B87" r:id="rId170" display="javascript:void(0);"/>
    <hyperlink ref="A88" r:id="rId171" display="http://www.nhl.com/ice/player.htm?id=8474884"/>
    <hyperlink ref="B88" r:id="rId172" display="javascript:void(0);"/>
    <hyperlink ref="A89" r:id="rId173" display="http://www.nhl.com/ice/player.htm?id=8471887"/>
    <hyperlink ref="B89" r:id="rId174" display="javascript:void(0);"/>
    <hyperlink ref="A90" r:id="rId175" display="http://www.nhl.com/ice/player.htm?id=8475168"/>
    <hyperlink ref="B90" r:id="rId176" display="javascript:void(0);"/>
    <hyperlink ref="A91" r:id="rId177" display="http://www.nhl.com/ice/player.htm?id=8470598"/>
    <hyperlink ref="B91" r:id="rId178" display="javascript:void(0);"/>
    <hyperlink ref="A92" r:id="rId179" display="http://www.nhl.com/ice/player.htm?id=8470834"/>
    <hyperlink ref="B92" r:id="rId180" display="javascript:void(0);"/>
    <hyperlink ref="A93" r:id="rId181" display="http://www.nhl.com/ice/player.htm?id=8470616"/>
    <hyperlink ref="B93" r:id="rId182" display="javascript:void(0);"/>
    <hyperlink ref="A94" r:id="rId183" display="http://www.nhl.com/ice/player.htm?id=8469770"/>
    <hyperlink ref="B94" r:id="rId184" display="javascript:void(0);"/>
    <hyperlink ref="A95" r:id="rId185" display="http://www.nhl.com/ice/player.htm?id=8471976"/>
    <hyperlink ref="B95" r:id="rId186" display="javascript:void(0);"/>
    <hyperlink ref="A96" r:id="rId187" display="http://www.nhl.com/ice/player.htm?id=8471735"/>
    <hyperlink ref="A97" r:id="rId188" display="http://www.nhl.com/ice/player.htm?id=8475760"/>
    <hyperlink ref="B97" r:id="rId189" display="javascript:void(0);"/>
    <hyperlink ref="A98" r:id="rId190" display="http://www.nhl.com/ice/player.htm?id=8474569"/>
    <hyperlink ref="B98" r:id="rId191" display="javascript:void(0);"/>
    <hyperlink ref="A99" r:id="rId192" display="http://www.nhl.com/ice/player.htm?id=8475848"/>
    <hyperlink ref="B99" r:id="rId193" display="javascript:void(0);"/>
    <hyperlink ref="A100" r:id="rId194" display="http://www.nhl.com/ice/player.htm?id=8476851"/>
    <hyperlink ref="B100" r:id="rId195" display="javascript:void(0);"/>
    <hyperlink ref="A101" r:id="rId196" display="http://www.nhl.com/ice/player.htm?id=8475726"/>
    <hyperlink ref="B101" r:id="rId197" display="javascript:void(0);"/>
    <hyperlink ref="A102" r:id="rId198" display="http://www.nhl.com/ice/player.htm?id=8475098"/>
    <hyperlink ref="B102" r:id="rId199" display="javascript:void(0);"/>
    <hyperlink ref="A103" r:id="rId200" display="http://www.nhl.com/ice/player.htm?id=8475692"/>
    <hyperlink ref="B103" r:id="rId201" display="javascript:void(0);"/>
    <hyperlink ref="A104" r:id="rId202" display="http://www.nhl.com/ice/player.htm?id=8475158"/>
    <hyperlink ref="B104" r:id="rId203" display="javascript:void(0);"/>
    <hyperlink ref="A105" r:id="rId204" display="http://www.nhl.com/ice/player.htm?id=8467496"/>
    <hyperlink ref="B105" r:id="rId205" display="javascript:void(0);"/>
    <hyperlink ref="A106" r:id="rId206" display="http://www.nhl.com/ice/player.htm?id=8474031"/>
    <hyperlink ref="B106" r:id="rId207" display="javascript:void(0);"/>
    <hyperlink ref="A107" r:id="rId208" display="http://www.nhl.com/ice/player.htm?id=8475225"/>
    <hyperlink ref="B107" r:id="rId209" display="javascript:void(0);"/>
    <hyperlink ref="A108" r:id="rId210" display="http://www.nhl.com/ice/player.htm?id=8475754"/>
    <hyperlink ref="B108" r:id="rId211" display="javascript:void(0);"/>
    <hyperlink ref="A109" r:id="rId212" display="http://www.nhl.com/ice/player.htm?id=8470626"/>
    <hyperlink ref="B109" r:id="rId213" display="javascript:void(0);"/>
    <hyperlink ref="A110" r:id="rId214" display="http://www.nhl.com/ice/player.htm?id=8470543"/>
    <hyperlink ref="B110" r:id="rId215" display="javascript:void(0);"/>
    <hyperlink ref="A111" r:id="rId216" display="http://www.nhl.com/ice/player.htm?id=8470144"/>
    <hyperlink ref="B111" r:id="rId217" display="javascript:void(0);"/>
    <hyperlink ref="A112" r:id="rId218" display="http://www.nhl.com/ice/player.htm?id=8476456"/>
    <hyperlink ref="B112" r:id="rId219" display="javascript:void(0);"/>
    <hyperlink ref="A113" r:id="rId220" display="http://www.nhl.com/ice/player.htm?id=8476462"/>
    <hyperlink ref="B113" r:id="rId221" display="javascript:void(0);"/>
    <hyperlink ref="A114" r:id="rId222" display="http://www.nhl.com/ice/player.htm?id=8469459"/>
    <hyperlink ref="B114" r:id="rId223" display="javascript:void(0);"/>
    <hyperlink ref="A115" r:id="rId224" display="http://www.nhl.com/ice/player.htm?id=8475314"/>
    <hyperlink ref="B115" r:id="rId225" display="javascript:void(0);"/>
    <hyperlink ref="A116" r:id="rId226" display="http://www.nhl.com/ice/player.htm?id=8473419"/>
    <hyperlink ref="B116" r:id="rId227" display="javascript:void(0);"/>
    <hyperlink ref="A117" r:id="rId228" display="http://www.nhl.com/ice/player.htm?id=8475149"/>
    <hyperlink ref="B117" r:id="rId229" display="javascript:void(0);"/>
    <hyperlink ref="A118" r:id="rId230" display="http://www.nhl.com/ice/player.htm?id=8477492"/>
    <hyperlink ref="B118" r:id="rId231" display="javascript:void(0);"/>
    <hyperlink ref="A119" r:id="rId232" display="http://www.nhl.com/ice/player.htm?id=8471669"/>
    <hyperlink ref="B119" r:id="rId233" display="javascript:void(0);"/>
    <hyperlink ref="A120" r:id="rId234" display="http://www.nhl.com/ice/player.htm?id=8476460"/>
    <hyperlink ref="B120" r:id="rId235" display="javascript:void(0);"/>
    <hyperlink ref="A121" r:id="rId236" display="http://www.nhl.com/ice/player.htm?id=8474627"/>
    <hyperlink ref="B121" r:id="rId237" display="javascript:void(0);"/>
    <hyperlink ref="A122" r:id="rId238" display="http://www.nhl.com/ice/player.htm?id=8468509"/>
    <hyperlink ref="B122" r:id="rId239" display="javascript:void(0);"/>
    <hyperlink ref="A123" r:id="rId240" display="http://www.nhl.com/ice/player.htm?id=8474563"/>
    <hyperlink ref="B123" r:id="rId241" display="javascript:void(0);"/>
    <hyperlink ref="A124" r:id="rId242" display="http://www.nhl.com/ice/player.htm?id=8471242"/>
    <hyperlink ref="B124" r:id="rId243" display="javascript:void(0);"/>
    <hyperlink ref="A125" r:id="rId244" display="http://www.nhl.com/ice/player.htm?id=8468483"/>
    <hyperlink ref="B125" r:id="rId245" display="javascript:void(0);"/>
    <hyperlink ref="A126" r:id="rId246" display="http://www.nhl.com/ice/player.htm?id=8476459"/>
    <hyperlink ref="B126" r:id="rId247" display="javascript:void(0);"/>
    <hyperlink ref="A127" r:id="rId248" display="http://www.nhl.com/ice/player.htm?id=8474102"/>
    <hyperlink ref="A128" r:id="rId249" display="http://www.nhl.com/ice/player.htm?id=8473473"/>
    <hyperlink ref="B128" r:id="rId250" display="javascript:void(0);"/>
    <hyperlink ref="A129" r:id="rId251" display="http://www.nhl.com/ice/player.htm?id=8470281"/>
    <hyperlink ref="B129" r:id="rId252" display="javascript:void(0);"/>
    <hyperlink ref="A130" r:id="rId253" display="http://www.nhl.com/ice/player.htm?id=8473618"/>
    <hyperlink ref="B130" r:id="rId254" display="javascript:void(0);"/>
    <hyperlink ref="A131" r:id="rId255" display="http://www.nhl.com/ice/player.htm?id=8467396"/>
    <hyperlink ref="A132" r:id="rId256" display="http://www.nhl.com/ice/player.htm?id=8473564"/>
    <hyperlink ref="B132" r:id="rId257" display="javascript:void(0);"/>
    <hyperlink ref="A133" r:id="rId258" display="http://www.nhl.com/ice/player.htm?id=8475172"/>
    <hyperlink ref="B133" r:id="rId259" display="javascript:void(0);"/>
    <hyperlink ref="A134" r:id="rId260" display="http://www.nhl.com/ice/player.htm?id=8474573"/>
    <hyperlink ref="B134" r:id="rId261" display="javascript:void(0);"/>
    <hyperlink ref="A135" r:id="rId262" display="http://www.nhl.com/ice/player.htm?id=8475170"/>
    <hyperlink ref="B135" r:id="rId263" display="javascript:void(0);"/>
    <hyperlink ref="A136" r:id="rId264" display="http://www.nhl.com/ice/player.htm?id=8475191"/>
    <hyperlink ref="B136" r:id="rId265" display="javascript:void(0);"/>
    <hyperlink ref="A137" r:id="rId266" display="http://www.nhl.com/ice/player.htm?id=8474673"/>
    <hyperlink ref="B137" r:id="rId267" display="javascript:void(0);"/>
    <hyperlink ref="A138" r:id="rId268" display="http://www.nhl.com/ice/player.htm?id=8475906"/>
    <hyperlink ref="B138" r:id="rId269" display="javascript:void(0);"/>
    <hyperlink ref="A139" r:id="rId270" display="http://www.nhl.com/ice/player.htm?id=8474565"/>
    <hyperlink ref="B139" r:id="rId271" display="javascript:void(0);"/>
    <hyperlink ref="A140" r:id="rId272" display="http://www.nhl.com/ice/player.htm?id=8469638"/>
    <hyperlink ref="B140" r:id="rId273" display="javascript:void(0);"/>
    <hyperlink ref="A141" r:id="rId274" display="http://www.nhl.com/ice/player.htm?id=8471707"/>
    <hyperlink ref="B141" r:id="rId275" display="javascript:void(0);"/>
    <hyperlink ref="A142" r:id="rId276" display="http://www.nhl.com/ice/player.htm?id=8471716"/>
    <hyperlink ref="B142" r:id="rId277" display="javascript:void(0);"/>
    <hyperlink ref="A143" r:id="rId278" display="http://www.nhl.com/ice/player.htm?id=8467370"/>
    <hyperlink ref="B143" r:id="rId279" display="javascript:void(0);"/>
    <hyperlink ref="A144" r:id="rId280" display="http://www.nhl.com/ice/player.htm?id=8474641"/>
    <hyperlink ref="B144" r:id="rId281" display="javascript:void(0);"/>
    <hyperlink ref="A145" r:id="rId282" display="http://www.nhl.com/ice/player.htm?id=8473986"/>
    <hyperlink ref="B145" r:id="rId283" display="javascript:void(0);"/>
    <hyperlink ref="A146" r:id="rId284" display="http://www.nhl.com/ice/player.htm?id=8468535"/>
    <hyperlink ref="A147" r:id="rId285" display="http://www.nhl.com/ice/player.htm?id=8471262"/>
    <hyperlink ref="B147" r:id="rId286" display="javascript:void(0);"/>
    <hyperlink ref="A148" r:id="rId287" display="http://www.nhl.com/ice/player.htm?id=8471742"/>
    <hyperlink ref="A149" r:id="rId288" display="http://www.nhl.com/ice/player.htm?id=8469500"/>
    <hyperlink ref="B149" r:id="rId289" display="javascript:void(0);"/>
    <hyperlink ref="A150" r:id="rId290" display="http://www.nhl.com/ice/player.htm?id=8471426"/>
    <hyperlink ref="B150" r:id="rId291" display="javascript:void(0);"/>
    <hyperlink ref="A151" r:id="rId292" display="http://www.nhl.com/ice/player.htm?id=8475184"/>
    <hyperlink ref="B151" r:id="rId293" display="javascript:void(0);"/>
    <hyperlink ref="A152" r:id="rId294" display="http://www.nhl.com/ice/player.htm?id=8474589"/>
    <hyperlink ref="B152" r:id="rId295" display="javascript:void(0);"/>
    <hyperlink ref="A153" r:id="rId296" display="http://www.nhl.com/ice/player.htm?id=8475222"/>
    <hyperlink ref="B153" r:id="rId297" display="javascript:void(0);"/>
    <hyperlink ref="A154" r:id="rId298" display="http://www.nhl.com/ice/player.htm?id=8477932"/>
    <hyperlink ref="B154" r:id="rId299" display="javascript:void(0);"/>
    <hyperlink ref="A155" r:id="rId300" display="http://www.nhl.com/ice/player.htm?id=8471873"/>
    <hyperlink ref="B155" r:id="rId301" display="javascript:void(0);"/>
    <hyperlink ref="A156" r:id="rId302" display="http://www.nhl.com/ice/player.htm?id=8475799"/>
    <hyperlink ref="B156" r:id="rId303" display="javascript:void(0);"/>
    <hyperlink ref="A157" r:id="rId304" display="http://www.nhl.com/ice/player.htm?id=8475171"/>
    <hyperlink ref="B157" r:id="rId305" display="javascript:void(0);"/>
    <hyperlink ref="A158" r:id="rId306" display="http://www.nhl.com/ice/player.htm?id=8470110"/>
    <hyperlink ref="B158" r:id="rId307" display="javascript:void(0);"/>
    <hyperlink ref="A159" r:id="rId308" display="http://www.nhl.com/ice/player.htm?id=8468508"/>
    <hyperlink ref="B159" r:id="rId309" display="javascript:void(0);"/>
    <hyperlink ref="A160" r:id="rId310" display="http://www.nhl.com/ice/player.htm?id=8477496"/>
    <hyperlink ref="B160" r:id="rId311" display="javascript:void(0);"/>
    <hyperlink ref="A161" r:id="rId312" display="http://www.nhl.com/ice/player.htm?id=8475167"/>
    <hyperlink ref="B161" r:id="rId313" display="javascript:void(0);"/>
    <hyperlink ref="A162" r:id="rId314" display="http://www.nhl.com/ice/player.htm?id=8474040"/>
    <hyperlink ref="B162" r:id="rId315" display="javascript:void(0);"/>
    <hyperlink ref="A163" r:id="rId316" display="http://www.nhl.com/ice/player.htm?id=8448208"/>
    <hyperlink ref="A164" r:id="rId317" display="http://www.nhl.com/ice/player.htm?id=8476792"/>
    <hyperlink ref="B164" r:id="rId318" display="javascript:void(0);"/>
    <hyperlink ref="A165" r:id="rId319" display="http://www.nhl.com/ice/player.htm?id=8468504"/>
    <hyperlink ref="B165" r:id="rId320" display="javascript:void(0);"/>
    <hyperlink ref="A166" r:id="rId321" display="http://www.nhl.com/ice/player.htm?id=8471185"/>
    <hyperlink ref="A167" r:id="rId322" display="http://www.nhl.com/ice/player.htm?id=8469544"/>
    <hyperlink ref="B167" r:id="rId323" display="javascript:void(0);"/>
    <hyperlink ref="A168" r:id="rId324" display="http://www.nhl.com/ice/player.htm?id=8467389"/>
    <hyperlink ref="B168" r:id="rId325" display="javascript:void(0);"/>
    <hyperlink ref="A169" r:id="rId326" display="http://www.nhl.com/ice/player.htm?id=8474162"/>
    <hyperlink ref="B169" r:id="rId327" display="javascript:void(0);"/>
    <hyperlink ref="A170" r:id="rId328" display="http://www.nhl.com/ice/player.htm?id=8470187"/>
    <hyperlink ref="B170" r:id="rId329" display="javascript:void(0);"/>
    <hyperlink ref="A171" r:id="rId330" display="http://www.nhl.com/ice/player.htm?id=8470600"/>
    <hyperlink ref="B171" r:id="rId331" display="javascript:void(0);"/>
    <hyperlink ref="A172" r:id="rId332" display="http://www.nhl.com/ice/player.htm?id=8471346"/>
    <hyperlink ref="B172" r:id="rId333" display="javascript:void(0);"/>
    <hyperlink ref="A173" r:id="rId334" display="http://www.nhl.com/ice/player.htm?id=8475772"/>
    <hyperlink ref="B173" r:id="rId335" display="javascript:void(0);"/>
    <hyperlink ref="A174" r:id="rId336" display="http://www.nhl.com/ice/player.htm?id=8475164"/>
    <hyperlink ref="B174" r:id="rId337" display="javascript:void(0);"/>
    <hyperlink ref="A175" r:id="rId338" display="http://www.nhl.com/ice/player.htm?id=8473492"/>
    <hyperlink ref="B175" r:id="rId339" display="javascript:void(0);"/>
    <hyperlink ref="A176" r:id="rId340" display="http://www.nhl.com/ice/player.htm?id=8476878"/>
    <hyperlink ref="B176" r:id="rId341" display="javascript:void(0);"/>
    <hyperlink ref="A177" r:id="rId342" display="http://www.nhl.com/ice/player.htm?id=8475236"/>
    <hyperlink ref="B177" r:id="rId343" display="javascript:void(0);"/>
    <hyperlink ref="A178" r:id="rId344" display="http://www.nhl.com/ice/player.htm?id=8475763"/>
    <hyperlink ref="B178" r:id="rId345" display="javascript:void(0);"/>
    <hyperlink ref="A179" r:id="rId346" display="http://www.nhl.com/ice/player.htm?id=8462038"/>
    <hyperlink ref="B179" r:id="rId347" display="javascript:void(0);"/>
    <hyperlink ref="A180" r:id="rId348" display="http://www.nhl.com/ice/player.htm?id=8471226"/>
    <hyperlink ref="A181" r:id="rId349" display="http://www.nhl.com/ice/player.htm?id=8471390"/>
    <hyperlink ref="A182" r:id="rId350" display="http://www.nhl.com/ice/player.htm?id=8475791"/>
    <hyperlink ref="B182" r:id="rId351" display="javascript:void(0);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32"/>
  <sheetViews>
    <sheetView topLeftCell="A16" workbookViewId="0">
      <selection activeCell="A23" sqref="A23"/>
    </sheetView>
  </sheetViews>
  <sheetFormatPr defaultRowHeight="15"/>
  <cols>
    <col min="1" max="1" width="40" style="119" bestFit="1" customWidth="1"/>
    <col min="2" max="2" width="13.7109375" style="68" bestFit="1" customWidth="1"/>
    <col min="3" max="3" width="13.7109375" style="68" customWidth="1"/>
    <col min="6" max="6" width="10" bestFit="1" customWidth="1"/>
  </cols>
  <sheetData>
    <row r="1" spans="1:9">
      <c r="A1" s="118" t="s">
        <v>529</v>
      </c>
      <c r="F1" s="69"/>
    </row>
    <row r="2" spans="1:9">
      <c r="A2" s="121" t="s">
        <v>175</v>
      </c>
      <c r="B2" s="122"/>
      <c r="C2" s="123" t="s">
        <v>208</v>
      </c>
      <c r="D2" s="124" t="s">
        <v>530</v>
      </c>
      <c r="E2" s="123" t="s">
        <v>531</v>
      </c>
      <c r="F2" s="125" t="s">
        <v>211</v>
      </c>
      <c r="G2" s="123" t="s">
        <v>532</v>
      </c>
      <c r="H2" s="123" t="s">
        <v>533</v>
      </c>
    </row>
    <row r="3" spans="1:9">
      <c r="A3" s="120" t="s">
        <v>449</v>
      </c>
      <c r="B3" s="116"/>
      <c r="C3" s="116">
        <v>80</v>
      </c>
      <c r="D3" s="117">
        <v>226</v>
      </c>
      <c r="E3" s="116">
        <v>381</v>
      </c>
      <c r="F3" s="116">
        <f>D3+E3</f>
        <v>607</v>
      </c>
      <c r="G3" s="116">
        <v>2.78</v>
      </c>
      <c r="H3" s="116">
        <v>2.65</v>
      </c>
      <c r="I3" s="122"/>
    </row>
    <row r="4" spans="1:9">
      <c r="A4" s="120" t="s">
        <v>534</v>
      </c>
      <c r="B4" s="116"/>
      <c r="C4" s="116">
        <v>80</v>
      </c>
      <c r="D4" s="117">
        <v>164</v>
      </c>
      <c r="E4" s="116">
        <v>287</v>
      </c>
      <c r="F4" s="116">
        <f>D4+E4</f>
        <v>451</v>
      </c>
      <c r="G4" s="116">
        <v>2.02</v>
      </c>
      <c r="H4" s="116">
        <v>3.2</v>
      </c>
      <c r="I4" s="116"/>
    </row>
    <row r="5" spans="1:9">
      <c r="A5" s="120" t="s">
        <v>447</v>
      </c>
      <c r="B5" s="116"/>
      <c r="C5" s="116">
        <v>79</v>
      </c>
      <c r="D5" s="117">
        <v>205</v>
      </c>
      <c r="E5" s="116">
        <v>350</v>
      </c>
      <c r="F5" s="116">
        <f>D5+E5</f>
        <v>555</v>
      </c>
      <c r="G5" s="116">
        <v>2.54</v>
      </c>
      <c r="H5" s="116">
        <v>2.38</v>
      </c>
      <c r="I5" s="116"/>
    </row>
    <row r="6" spans="1:9">
      <c r="A6" s="120" t="s">
        <v>535</v>
      </c>
      <c r="B6" s="116"/>
      <c r="C6" s="116">
        <v>80</v>
      </c>
      <c r="D6" s="117">
        <v>151</v>
      </c>
      <c r="E6" s="116">
        <v>264</v>
      </c>
      <c r="F6" s="116">
        <f>D6+E6</f>
        <v>415</v>
      </c>
      <c r="G6" s="116">
        <v>1.86</v>
      </c>
      <c r="H6" s="116">
        <v>3.24</v>
      </c>
      <c r="I6" s="116"/>
    </row>
    <row r="7" spans="1:9">
      <c r="A7" s="120" t="s">
        <v>453</v>
      </c>
      <c r="B7" s="116"/>
      <c r="C7" s="116">
        <v>80</v>
      </c>
      <c r="D7" s="117">
        <v>233</v>
      </c>
      <c r="E7" s="116">
        <v>420</v>
      </c>
      <c r="F7" s="116">
        <f>D7+E7</f>
        <v>653</v>
      </c>
      <c r="G7" s="116">
        <v>2.87</v>
      </c>
      <c r="H7" s="116">
        <v>2.5499999999999998</v>
      </c>
      <c r="I7" s="116"/>
    </row>
    <row r="8" spans="1:9">
      <c r="A8" s="120" t="s">
        <v>536</v>
      </c>
      <c r="B8" s="116"/>
      <c r="C8" s="116">
        <v>80</v>
      </c>
      <c r="D8" s="117">
        <v>180</v>
      </c>
      <c r="E8" s="116">
        <v>322</v>
      </c>
      <c r="F8" s="116">
        <f>D8+E8</f>
        <v>502</v>
      </c>
      <c r="G8" s="116">
        <v>2.21</v>
      </c>
      <c r="H8" s="116">
        <v>2.66</v>
      </c>
      <c r="I8" s="116"/>
    </row>
    <row r="9" spans="1:9">
      <c r="A9" s="120" t="s">
        <v>454</v>
      </c>
      <c r="B9" s="116"/>
      <c r="C9" s="116">
        <v>80</v>
      </c>
      <c r="D9" s="117">
        <v>217</v>
      </c>
      <c r="E9" s="116">
        <v>375</v>
      </c>
      <c r="F9" s="116">
        <f>D9+E9</f>
        <v>592</v>
      </c>
      <c r="G9" s="116">
        <v>2.67</v>
      </c>
      <c r="H9" s="116">
        <v>2.23</v>
      </c>
      <c r="I9" s="116"/>
    </row>
    <row r="10" spans="1:9">
      <c r="A10" s="120" t="s">
        <v>537</v>
      </c>
      <c r="B10" s="116"/>
      <c r="C10" s="116">
        <v>80</v>
      </c>
      <c r="D10" s="117">
        <v>206</v>
      </c>
      <c r="E10" s="116">
        <v>356</v>
      </c>
      <c r="F10" s="116">
        <f>D10+E10</f>
        <v>562</v>
      </c>
      <c r="G10" s="116">
        <v>2.5299999999999998</v>
      </c>
      <c r="H10" s="116">
        <v>2.71</v>
      </c>
      <c r="I10" s="116"/>
    </row>
    <row r="11" spans="1:9">
      <c r="A11" s="120" t="s">
        <v>538</v>
      </c>
      <c r="B11" s="116"/>
      <c r="C11" s="116">
        <v>79</v>
      </c>
      <c r="D11" s="117">
        <v>214</v>
      </c>
      <c r="E11" s="116">
        <v>372</v>
      </c>
      <c r="F11" s="116">
        <f>D11+E11</f>
        <v>586</v>
      </c>
      <c r="G11" s="116">
        <v>2.67</v>
      </c>
      <c r="H11" s="116">
        <v>3.02</v>
      </c>
      <c r="I11" s="116"/>
    </row>
    <row r="12" spans="1:9">
      <c r="A12" s="120" t="s">
        <v>539</v>
      </c>
      <c r="B12" s="116"/>
      <c r="C12" s="116">
        <v>80</v>
      </c>
      <c r="D12" s="117">
        <v>249</v>
      </c>
      <c r="E12" s="116">
        <v>428</v>
      </c>
      <c r="F12" s="116">
        <f>D12+E12</f>
        <v>677</v>
      </c>
      <c r="G12" s="116">
        <v>3.08</v>
      </c>
      <c r="H12" s="116">
        <v>3.16</v>
      </c>
      <c r="I12" s="116"/>
    </row>
    <row r="13" spans="1:9">
      <c r="A13" s="120" t="s">
        <v>451</v>
      </c>
      <c r="B13" s="116"/>
      <c r="C13" s="116">
        <v>80</v>
      </c>
      <c r="D13" s="117">
        <v>226</v>
      </c>
      <c r="E13" s="116">
        <v>392</v>
      </c>
      <c r="F13" s="116">
        <f>D13+E13</f>
        <v>618</v>
      </c>
      <c r="G13" s="116">
        <v>2.77</v>
      </c>
      <c r="H13" s="116">
        <v>2.54</v>
      </c>
      <c r="I13" s="116"/>
    </row>
    <row r="14" spans="1:9">
      <c r="A14" s="120" t="s">
        <v>540</v>
      </c>
      <c r="B14" s="116"/>
      <c r="C14" s="116">
        <v>80</v>
      </c>
      <c r="D14" s="117">
        <v>187</v>
      </c>
      <c r="E14" s="116">
        <v>317</v>
      </c>
      <c r="F14" s="116">
        <f>D14+E14</f>
        <v>504</v>
      </c>
      <c r="G14" s="116">
        <v>2.2999999999999998</v>
      </c>
      <c r="H14" s="116">
        <v>3.28</v>
      </c>
      <c r="I14" s="116"/>
    </row>
    <row r="15" spans="1:9">
      <c r="A15" s="120" t="s">
        <v>541</v>
      </c>
      <c r="B15" s="116"/>
      <c r="C15" s="116">
        <v>80</v>
      </c>
      <c r="D15" s="117">
        <v>191</v>
      </c>
      <c r="E15" s="116">
        <v>330</v>
      </c>
      <c r="F15" s="116">
        <f>D15+E15</f>
        <v>521</v>
      </c>
      <c r="G15" s="116">
        <v>2.34</v>
      </c>
      <c r="H15" s="116">
        <v>2.56</v>
      </c>
      <c r="I15" s="116"/>
    </row>
    <row r="16" spans="1:9">
      <c r="A16" s="120" t="s">
        <v>542</v>
      </c>
      <c r="B16" s="116"/>
      <c r="C16" s="116">
        <v>80</v>
      </c>
      <c r="D16" s="117">
        <v>213</v>
      </c>
      <c r="E16" s="116">
        <v>370</v>
      </c>
      <c r="F16" s="116">
        <f>D16+E16</f>
        <v>583</v>
      </c>
      <c r="G16" s="116">
        <v>2.62</v>
      </c>
      <c r="H16" s="116">
        <v>2.38</v>
      </c>
      <c r="I16" s="116"/>
    </row>
    <row r="17" spans="1:9">
      <c r="A17" s="120" t="s">
        <v>456</v>
      </c>
      <c r="B17" s="116"/>
      <c r="C17" s="116">
        <v>80</v>
      </c>
      <c r="D17" s="117">
        <v>221</v>
      </c>
      <c r="E17" s="116">
        <v>369</v>
      </c>
      <c r="F17" s="116">
        <f>D17+E17</f>
        <v>590</v>
      </c>
      <c r="G17" s="116">
        <v>2.73</v>
      </c>
      <c r="H17" s="116">
        <v>2.37</v>
      </c>
      <c r="I17" s="116"/>
    </row>
    <row r="18" spans="1:9">
      <c r="A18" s="120" t="s">
        <v>443</v>
      </c>
      <c r="B18" s="116"/>
      <c r="C18" s="116">
        <v>80</v>
      </c>
      <c r="D18" s="117">
        <v>207</v>
      </c>
      <c r="E18" s="116">
        <v>356</v>
      </c>
      <c r="F18" s="116">
        <f>D18+E18</f>
        <v>563</v>
      </c>
      <c r="G18" s="116">
        <v>2.54</v>
      </c>
      <c r="H18" s="116">
        <v>2.19</v>
      </c>
      <c r="I18" s="116"/>
    </row>
    <row r="19" spans="1:9">
      <c r="A19" s="120" t="s">
        <v>448</v>
      </c>
      <c r="B19" s="116"/>
      <c r="C19" s="116">
        <v>80</v>
      </c>
      <c r="D19" s="117">
        <v>223</v>
      </c>
      <c r="E19" s="116">
        <v>381</v>
      </c>
      <c r="F19" s="116">
        <f>D19+E19</f>
        <v>604</v>
      </c>
      <c r="G19" s="116">
        <v>2.74</v>
      </c>
      <c r="H19" s="116">
        <v>2.38</v>
      </c>
      <c r="I19" s="116"/>
    </row>
    <row r="20" spans="1:9">
      <c r="A20" s="120" t="s">
        <v>543</v>
      </c>
      <c r="B20" s="116"/>
      <c r="C20" s="116">
        <v>80</v>
      </c>
      <c r="D20" s="117">
        <v>171</v>
      </c>
      <c r="E20" s="116">
        <v>300</v>
      </c>
      <c r="F20" s="116">
        <f>D20+E20</f>
        <v>471</v>
      </c>
      <c r="G20" s="116">
        <v>2.1</v>
      </c>
      <c r="H20" s="116">
        <v>2.4900000000000002</v>
      </c>
      <c r="I20" s="116"/>
    </row>
    <row r="21" spans="1:9">
      <c r="A21" s="120" t="s">
        <v>458</v>
      </c>
      <c r="B21" s="116"/>
      <c r="C21" s="116">
        <v>80</v>
      </c>
      <c r="D21" s="117">
        <v>238</v>
      </c>
      <c r="E21" s="116">
        <v>398</v>
      </c>
      <c r="F21" s="116">
        <f>D21+E21</f>
        <v>636</v>
      </c>
      <c r="G21" s="116">
        <v>2.92</v>
      </c>
      <c r="H21" s="116">
        <v>2.69</v>
      </c>
      <c r="I21" s="116"/>
    </row>
    <row r="22" spans="1:9">
      <c r="A22" s="120" t="s">
        <v>457</v>
      </c>
      <c r="B22" s="116"/>
      <c r="C22" s="116">
        <v>80</v>
      </c>
      <c r="D22" s="117">
        <v>244</v>
      </c>
      <c r="E22" s="116">
        <v>404</v>
      </c>
      <c r="F22" s="116">
        <f>D22+E22</f>
        <v>648</v>
      </c>
      <c r="G22" s="116">
        <v>3.01</v>
      </c>
      <c r="H22" s="116">
        <v>2.25</v>
      </c>
      <c r="I22" s="116"/>
    </row>
    <row r="23" spans="1:9">
      <c r="A23" s="120" t="s">
        <v>544</v>
      </c>
      <c r="B23" s="116"/>
      <c r="C23" s="116">
        <v>80</v>
      </c>
      <c r="D23" s="117">
        <v>226</v>
      </c>
      <c r="E23" s="116">
        <v>377</v>
      </c>
      <c r="F23" s="116">
        <f>D23+E23</f>
        <v>603</v>
      </c>
      <c r="G23" s="116">
        <v>2.76</v>
      </c>
      <c r="H23" s="116">
        <v>2.5299999999999998</v>
      </c>
      <c r="I23" s="116"/>
    </row>
    <row r="24" spans="1:9">
      <c r="A24" s="120" t="s">
        <v>545</v>
      </c>
      <c r="B24" s="116"/>
      <c r="C24" s="116">
        <v>80</v>
      </c>
      <c r="D24" s="117">
        <v>210</v>
      </c>
      <c r="E24" s="116">
        <v>380</v>
      </c>
      <c r="F24" s="116">
        <f>D24+E24</f>
        <v>590</v>
      </c>
      <c r="G24" s="116">
        <v>2.57</v>
      </c>
      <c r="H24" s="116">
        <v>2.66</v>
      </c>
      <c r="I24" s="116"/>
    </row>
    <row r="25" spans="1:9">
      <c r="A25" s="120" t="s">
        <v>445</v>
      </c>
      <c r="B25" s="116"/>
      <c r="C25" s="116">
        <v>80</v>
      </c>
      <c r="D25" s="117">
        <v>214</v>
      </c>
      <c r="E25" s="116">
        <v>377</v>
      </c>
      <c r="F25" s="116">
        <f>D25+E25</f>
        <v>591</v>
      </c>
      <c r="G25" s="116">
        <v>2.63</v>
      </c>
      <c r="H25" s="116">
        <v>2.4700000000000002</v>
      </c>
      <c r="I25" s="116"/>
    </row>
    <row r="26" spans="1:9">
      <c r="A26" s="120" t="s">
        <v>546</v>
      </c>
      <c r="B26" s="116"/>
      <c r="C26" s="116">
        <v>80</v>
      </c>
      <c r="D26" s="117">
        <v>220</v>
      </c>
      <c r="E26" s="116">
        <v>395</v>
      </c>
      <c r="F26" s="116">
        <f>D26+E26</f>
        <v>615</v>
      </c>
      <c r="G26" s="116">
        <v>2.72</v>
      </c>
      <c r="H26" s="116">
        <v>2.73</v>
      </c>
      <c r="I26" s="116"/>
    </row>
    <row r="27" spans="1:9">
      <c r="A27" s="120" t="s">
        <v>450</v>
      </c>
      <c r="B27" s="116"/>
      <c r="C27" s="116">
        <v>80</v>
      </c>
      <c r="D27" s="117">
        <v>233</v>
      </c>
      <c r="E27" s="116">
        <v>411</v>
      </c>
      <c r="F27" s="116">
        <f>D27+E27</f>
        <v>644</v>
      </c>
      <c r="G27" s="116">
        <v>2.86</v>
      </c>
      <c r="H27" s="116">
        <v>2.38</v>
      </c>
      <c r="I27" s="116"/>
    </row>
    <row r="28" spans="1:9">
      <c r="A28" s="120" t="s">
        <v>444</v>
      </c>
      <c r="B28" s="116"/>
      <c r="C28" s="116">
        <v>80</v>
      </c>
      <c r="D28" s="117">
        <v>253</v>
      </c>
      <c r="E28" s="116">
        <v>435</v>
      </c>
      <c r="F28" s="116">
        <f>D28+E28</f>
        <v>688</v>
      </c>
      <c r="G28" s="116">
        <v>3.13</v>
      </c>
      <c r="H28" s="116">
        <v>2.4900000000000002</v>
      </c>
      <c r="I28" s="116"/>
    </row>
    <row r="29" spans="1:9">
      <c r="A29" s="120" t="s">
        <v>547</v>
      </c>
      <c r="B29" s="116"/>
      <c r="C29" s="116">
        <v>80</v>
      </c>
      <c r="D29" s="117">
        <v>203</v>
      </c>
      <c r="E29" s="116">
        <v>332</v>
      </c>
      <c r="F29" s="116">
        <f>D29+E29</f>
        <v>535</v>
      </c>
      <c r="G29" s="116">
        <v>2.5</v>
      </c>
      <c r="H29" s="116">
        <v>3.07</v>
      </c>
      <c r="I29" s="116"/>
    </row>
    <row r="30" spans="1:9">
      <c r="A30" s="120" t="s">
        <v>452</v>
      </c>
      <c r="B30" s="116"/>
      <c r="C30" s="116">
        <v>80</v>
      </c>
      <c r="D30" s="117">
        <v>225</v>
      </c>
      <c r="E30" s="116">
        <v>385</v>
      </c>
      <c r="F30" s="116">
        <f>D30+E30</f>
        <v>610</v>
      </c>
      <c r="G30" s="116">
        <v>2.78</v>
      </c>
      <c r="H30" s="116">
        <v>2.66</v>
      </c>
      <c r="I30" s="116"/>
    </row>
    <row r="31" spans="1:9">
      <c r="A31" s="120" t="s">
        <v>446</v>
      </c>
      <c r="B31" s="116"/>
      <c r="C31" s="116">
        <v>80</v>
      </c>
      <c r="D31" s="117">
        <v>232</v>
      </c>
      <c r="E31" s="116">
        <v>405</v>
      </c>
      <c r="F31" s="116">
        <f>D31+E31</f>
        <v>637</v>
      </c>
      <c r="G31" s="116">
        <v>2.85</v>
      </c>
      <c r="H31" s="116">
        <v>2.4</v>
      </c>
      <c r="I31" s="116"/>
    </row>
    <row r="32" spans="1:9">
      <c r="A32" s="120" t="s">
        <v>455</v>
      </c>
      <c r="B32" s="116"/>
      <c r="C32" s="116">
        <v>80</v>
      </c>
      <c r="D32" s="117">
        <v>218</v>
      </c>
      <c r="E32" s="116">
        <v>366</v>
      </c>
      <c r="F32" s="116">
        <f>D32+E32</f>
        <v>584</v>
      </c>
      <c r="G32" s="116">
        <v>2.68</v>
      </c>
      <c r="H32" s="116">
        <v>2.4900000000000002</v>
      </c>
    </row>
  </sheetData>
  <sortState ref="A3:H33">
    <sortCondition ref="A3:A33"/>
  </sortState>
  <hyperlinks>
    <hyperlink ref="A1" r:id="rId1"/>
    <hyperlink ref="A28" r:id="rId2" display="http://sports.yahoo.com/nhl/teams/tam"/>
    <hyperlink ref="A12" r:id="rId3" display="http://sports.yahoo.com/nhl/teams/dal"/>
    <hyperlink ref="A22" r:id="rId4" display="http://sports.yahoo.com/nhl/teams/nyr"/>
    <hyperlink ref="A21" r:id="rId5" display="http://sports.yahoo.com/nhl/teams/nyi"/>
    <hyperlink ref="A7" r:id="rId6" display="http://sports.yahoo.com/nhl/teams/cgy"/>
    <hyperlink ref="A27" r:id="rId7" display="http://sports.yahoo.com/nhl/teams/stl"/>
    <hyperlink ref="A31" r:id="rId8" display="http://sports.yahoo.com/nhl/teams/was"/>
    <hyperlink ref="A3" r:id="rId9" display="http://sports.yahoo.com/nhl/teams/ana"/>
    <hyperlink ref="A13" r:id="rId10" display="http://sports.yahoo.com/nhl/teams/det"/>
    <hyperlink ref="A23" r:id="rId11" display="http://sports.yahoo.com/nhl/teams/ott"/>
    <hyperlink ref="A30" r:id="rId12" display="http://sports.yahoo.com/nhl/teams/van"/>
    <hyperlink ref="A19" r:id="rId13" display="http://sports.yahoo.com/nhl/teams/nas"/>
    <hyperlink ref="A17" r:id="rId14" display="http://sports.yahoo.com/nhl/teams/min"/>
    <hyperlink ref="A26" r:id="rId15" display="http://sports.yahoo.com/nhl/teams/san"/>
    <hyperlink ref="A32" r:id="rId16" display="http://sports.yahoo.com/nhl/teams/wpg"/>
    <hyperlink ref="A9" r:id="rId17" display="http://sports.yahoo.com/nhl/teams/chi"/>
    <hyperlink ref="A25" r:id="rId18" display="http://sports.yahoo.com/nhl/teams/pit"/>
    <hyperlink ref="A11" r:id="rId19" display="http://sports.yahoo.com/nhl/teams/cob"/>
    <hyperlink ref="A16" r:id="rId20" display="http://sports.yahoo.com/nhl/teams/los"/>
    <hyperlink ref="A24" r:id="rId21" display="http://sports.yahoo.com/nhl/teams/phi"/>
    <hyperlink ref="A18" r:id="rId22" display="http://sports.yahoo.com/nhl/teams/mon"/>
    <hyperlink ref="A10" r:id="rId23" display="http://sports.yahoo.com/nhl/teams/col"/>
    <hyperlink ref="A5" r:id="rId24" display="http://sports.yahoo.com/nhl/teams/bos"/>
    <hyperlink ref="A29" r:id="rId25" display="http://sports.yahoo.com/nhl/teams/tor"/>
    <hyperlink ref="A15" r:id="rId26" display="http://sports.yahoo.com/nhl/teams/fla"/>
    <hyperlink ref="A14" r:id="rId27" display="http://sports.yahoo.com/nhl/teams/edm"/>
    <hyperlink ref="A8" r:id="rId28" display="http://sports.yahoo.com/nhl/teams/car"/>
    <hyperlink ref="A20" r:id="rId29" display="http://sports.yahoo.com/nhl/teams/njd"/>
    <hyperlink ref="A4" r:id="rId30" display="http://sports.yahoo.com/nhl/teams/ari"/>
    <hyperlink ref="A6" r:id="rId31" display="http://sports.yahoo.com/nhl/teams/buf"/>
    <hyperlink ref="C2" r:id="rId32" display="http://sports.yahoo.com/nhl/stats/byteam?cat=teamstats&amp;conference=NHL&amp;year=season_2014&amp;cut_type=0&amp;sort=400"/>
    <hyperlink ref="E2" r:id="rId33" display="http://sports.yahoo.com/nhl/stats/byteam?cat=teamstats&amp;conference=NHL&amp;year=season_2014&amp;cut_type=0&amp;sort=406"/>
    <hyperlink ref="G2" r:id="rId34" display="http://sports.yahoo.com/nhl/stats/byteam?cat=teamstats&amp;conference=NHL&amp;year=season_2014&amp;cut_type=0&amp;sort=443"/>
    <hyperlink ref="H2" r:id="rId35" display="http://sports.yahoo.com/nhl/stats/byteam?cat=teamstats&amp;conference=NHL&amp;year=season_2014&amp;cut_type=0&amp;sort=444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Q503"/>
  <sheetViews>
    <sheetView tabSelected="1" zoomScale="75" zoomScaleNormal="75" workbookViewId="0">
      <selection activeCell="K1" sqref="K1"/>
    </sheetView>
  </sheetViews>
  <sheetFormatPr defaultRowHeight="15"/>
  <cols>
    <col min="1" max="1" width="9.140625" style="73"/>
    <col min="2" max="2" width="18.140625" style="73" bestFit="1" customWidth="1"/>
    <col min="3" max="5" width="9.140625" style="73"/>
    <col min="6" max="6" width="2.42578125" style="73" customWidth="1"/>
    <col min="7" max="10" width="9.140625" style="73"/>
    <col min="11" max="11" width="10.5703125" style="73" bestFit="1" customWidth="1"/>
    <col min="12" max="12" width="10.5703125" style="73" customWidth="1"/>
    <col min="13" max="13" width="10.140625" style="73" bestFit="1" customWidth="1"/>
    <col min="14" max="14" width="10.7109375" style="73" bestFit="1" customWidth="1"/>
    <col min="15" max="15" width="10.7109375" style="73" customWidth="1"/>
    <col min="16" max="16" width="7.5703125" style="73" bestFit="1" customWidth="1"/>
    <col min="17" max="17" width="9.140625" style="73"/>
    <col min="18" max="18" width="10.7109375" style="73" bestFit="1" customWidth="1"/>
    <col min="19" max="19" width="10.7109375" style="73" customWidth="1"/>
    <col min="20" max="20" width="7.5703125" style="73" bestFit="1" customWidth="1"/>
    <col min="21" max="21" width="7.5703125" style="73" customWidth="1"/>
    <col min="22" max="22" width="10.7109375" style="73" bestFit="1" customWidth="1"/>
    <col min="23" max="23" width="10.7109375" style="73" customWidth="1"/>
    <col min="24" max="24" width="7.5703125" style="73" bestFit="1" customWidth="1"/>
    <col min="25" max="25" width="7.5703125" style="73" customWidth="1"/>
    <col min="26" max="26" width="10.7109375" style="73" bestFit="1" customWidth="1"/>
    <col min="27" max="27" width="10.7109375" style="73" customWidth="1"/>
    <col min="28" max="28" width="7.5703125" style="73" bestFit="1" customWidth="1"/>
    <col min="29" max="29" width="7.5703125" style="73" customWidth="1"/>
    <col min="30" max="30" width="10.7109375" style="73" bestFit="1" customWidth="1"/>
    <col min="31" max="31" width="10.7109375" style="73" customWidth="1"/>
    <col min="32" max="32" width="7.5703125" style="73" bestFit="1" customWidth="1"/>
    <col min="33" max="33" width="7.5703125" style="73" customWidth="1"/>
    <col min="34" max="34" width="10.7109375" style="73" bestFit="1" customWidth="1"/>
    <col min="35" max="35" width="10.7109375" style="73" customWidth="1"/>
    <col min="36" max="36" width="7.5703125" style="73" bestFit="1" customWidth="1"/>
    <col min="37" max="37" width="7.5703125" style="73" customWidth="1"/>
    <col min="38" max="38" width="10.7109375" style="73" bestFit="1" customWidth="1"/>
    <col min="39" max="39" width="10.7109375" style="73" customWidth="1"/>
    <col min="40" max="41" width="7.5703125" style="73" bestFit="1" customWidth="1"/>
    <col min="42" max="42" width="11.85546875" style="73" bestFit="1" customWidth="1"/>
    <col min="43" max="43" width="15.7109375" style="73" bestFit="1" customWidth="1"/>
    <col min="44" max="57" width="11.85546875" style="73" customWidth="1"/>
    <col min="58" max="85" width="9.140625" style="73"/>
    <col min="86" max="86" width="7.5703125" style="73" bestFit="1" customWidth="1"/>
    <col min="87" max="87" width="12.5703125" style="73" customWidth="1"/>
    <col min="88" max="88" width="15.7109375" style="73" bestFit="1" customWidth="1"/>
    <col min="89" max="89" width="7.5703125" style="73" customWidth="1"/>
    <col min="90" max="90" width="12.28515625" style="73" bestFit="1" customWidth="1"/>
    <col min="91" max="91" width="12.140625" style="73" bestFit="1" customWidth="1"/>
    <col min="92" max="92" width="7.5703125" style="73" customWidth="1"/>
    <col min="93" max="93" width="11" style="73" bestFit="1" customWidth="1"/>
    <col min="94" max="94" width="9.85546875" style="73" bestFit="1" customWidth="1"/>
    <col min="95" max="98" width="7.5703125" style="73" customWidth="1"/>
    <col min="99" max="127" width="9.140625" style="73"/>
    <col min="128" max="128" width="15.7109375" style="73" bestFit="1" customWidth="1"/>
    <col min="129" max="130" width="9.140625" style="73"/>
    <col min="131" max="131" width="12.28515625" style="73" bestFit="1" customWidth="1"/>
    <col min="132" max="132" width="11" style="73" bestFit="1" customWidth="1"/>
    <col min="133" max="133" width="11" style="73" customWidth="1"/>
    <col min="134" max="139" width="9.140625" style="73"/>
    <col min="140" max="140" width="13.85546875" style="73" bestFit="1" customWidth="1"/>
    <col min="141" max="145" width="9.140625" style="73"/>
    <col min="146" max="146" width="11.42578125" style="73" bestFit="1" customWidth="1"/>
    <col min="147" max="172" width="9.140625" style="73"/>
    <col min="173" max="173" width="18.5703125" style="73" bestFit="1" customWidth="1"/>
    <col min="174" max="16384" width="9.140625" style="73"/>
  </cols>
  <sheetData>
    <row r="1" spans="1:173" ht="15.75" thickBot="1">
      <c r="G1" s="91" t="s">
        <v>193</v>
      </c>
      <c r="H1" s="92" t="s">
        <v>465</v>
      </c>
      <c r="I1" s="70" t="s">
        <v>480</v>
      </c>
      <c r="L1" s="80"/>
      <c r="M1" s="111" t="s">
        <v>474</v>
      </c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  <c r="AH1" s="112"/>
      <c r="AI1" s="112"/>
      <c r="AJ1" s="112"/>
      <c r="AK1" s="112"/>
      <c r="AL1" s="112"/>
      <c r="AM1" s="112"/>
      <c r="AN1" s="112"/>
      <c r="AO1" s="70"/>
      <c r="BB1" s="91"/>
      <c r="BC1" s="92"/>
      <c r="BD1" s="92"/>
      <c r="BE1" s="92"/>
      <c r="BF1" s="112" t="s">
        <v>475</v>
      </c>
      <c r="BG1" s="112"/>
      <c r="BH1" s="112"/>
      <c r="BI1" s="112"/>
      <c r="BJ1" s="112"/>
      <c r="BK1" s="112"/>
      <c r="BL1" s="112"/>
      <c r="BM1" s="112"/>
      <c r="BN1" s="112"/>
      <c r="BO1" s="112"/>
      <c r="BP1" s="112"/>
      <c r="BQ1" s="112"/>
      <c r="BR1" s="112"/>
      <c r="BS1" s="112"/>
      <c r="BT1" s="112"/>
      <c r="BU1" s="112"/>
      <c r="BV1" s="112"/>
      <c r="BW1" s="112"/>
      <c r="BX1" s="112"/>
      <c r="BY1" s="112"/>
      <c r="BZ1" s="112"/>
      <c r="CA1" s="112"/>
      <c r="CB1" s="112"/>
      <c r="CC1" s="112"/>
      <c r="CD1" s="112"/>
      <c r="CE1" s="112"/>
      <c r="CF1" s="112"/>
      <c r="CG1" s="112"/>
      <c r="CH1" s="70"/>
      <c r="CQ1" s="91"/>
      <c r="CR1" s="92"/>
      <c r="CS1" s="92"/>
      <c r="CT1" s="92"/>
      <c r="CU1" s="112" t="s">
        <v>476</v>
      </c>
      <c r="CV1" s="112"/>
      <c r="CW1" s="112"/>
      <c r="CX1" s="112"/>
      <c r="CY1" s="112"/>
      <c r="CZ1" s="112"/>
      <c r="DA1" s="112"/>
      <c r="DB1" s="112"/>
      <c r="DC1" s="112"/>
      <c r="DD1" s="112"/>
      <c r="DE1" s="112"/>
      <c r="DF1" s="112"/>
      <c r="DG1" s="112"/>
      <c r="DH1" s="112"/>
      <c r="DI1" s="112"/>
      <c r="DJ1" s="112"/>
      <c r="DK1" s="112"/>
      <c r="DL1" s="112"/>
      <c r="DM1" s="112"/>
      <c r="DN1" s="112"/>
      <c r="DO1" s="112"/>
      <c r="DP1" s="112"/>
      <c r="DQ1" s="112"/>
      <c r="DR1" s="112"/>
      <c r="DS1" s="112"/>
      <c r="DT1" s="112"/>
      <c r="DU1" s="112"/>
      <c r="DV1" s="112"/>
      <c r="DW1" s="70"/>
      <c r="ED1" s="83"/>
      <c r="EE1" s="91"/>
      <c r="EF1" s="92"/>
      <c r="EG1" s="92"/>
      <c r="EH1" s="92"/>
      <c r="EI1" s="92"/>
      <c r="EJ1" s="92"/>
      <c r="EK1" s="112" t="s">
        <v>477</v>
      </c>
      <c r="EL1" s="112"/>
      <c r="EM1" s="112"/>
      <c r="EN1" s="112"/>
      <c r="EO1" s="112"/>
      <c r="EP1" s="112"/>
      <c r="EQ1" s="112"/>
      <c r="ER1" s="112"/>
      <c r="ES1" s="112"/>
      <c r="ET1" s="112"/>
      <c r="EU1" s="112"/>
      <c r="EV1" s="112"/>
      <c r="EW1" s="112"/>
      <c r="EX1" s="112"/>
      <c r="EY1" s="112"/>
      <c r="EZ1" s="112"/>
      <c r="FA1" s="112"/>
      <c r="FB1" s="112"/>
      <c r="FC1" s="112"/>
      <c r="FD1" s="112"/>
      <c r="FE1" s="112"/>
      <c r="FF1" s="112"/>
      <c r="FG1" s="112"/>
      <c r="FH1" s="112"/>
      <c r="FI1" s="112"/>
      <c r="FJ1" s="112"/>
      <c r="FK1" s="112"/>
      <c r="FL1" s="112"/>
      <c r="FM1" s="92"/>
      <c r="FN1" s="70"/>
    </row>
    <row r="2" spans="1:173" ht="15.75" thickBot="1">
      <c r="G2" s="71">
        <v>0.8</v>
      </c>
      <c r="H2" s="93">
        <v>0.05</v>
      </c>
      <c r="I2" s="77">
        <v>2.6656666666666666</v>
      </c>
      <c r="M2" s="115" t="s">
        <v>467</v>
      </c>
      <c r="N2" s="114"/>
      <c r="O2" s="114"/>
      <c r="P2" s="114"/>
      <c r="Q2" s="114" t="s">
        <v>468</v>
      </c>
      <c r="R2" s="114"/>
      <c r="S2" s="114"/>
      <c r="T2" s="114"/>
      <c r="U2" s="114" t="s">
        <v>469</v>
      </c>
      <c r="V2" s="114"/>
      <c r="W2" s="114"/>
      <c r="X2" s="114"/>
      <c r="Y2" s="114" t="s">
        <v>470</v>
      </c>
      <c r="Z2" s="114"/>
      <c r="AA2" s="114"/>
      <c r="AB2" s="114"/>
      <c r="AC2" s="114" t="s">
        <v>471</v>
      </c>
      <c r="AD2" s="114"/>
      <c r="AE2" s="114"/>
      <c r="AF2" s="114"/>
      <c r="AG2" s="114" t="s">
        <v>472</v>
      </c>
      <c r="AH2" s="114"/>
      <c r="AI2" s="114"/>
      <c r="AJ2" s="114"/>
      <c r="AK2" s="114" t="s">
        <v>473</v>
      </c>
      <c r="AL2" s="114"/>
      <c r="AM2" s="114"/>
      <c r="AN2" s="114"/>
      <c r="AO2" s="75" t="s">
        <v>466</v>
      </c>
      <c r="AR2" s="111" t="s">
        <v>517</v>
      </c>
      <c r="AS2" s="112"/>
      <c r="AT2" s="112"/>
      <c r="AU2" s="112"/>
      <c r="AV2" s="113"/>
      <c r="AW2" s="111" t="s">
        <v>518</v>
      </c>
      <c r="AX2" s="112"/>
      <c r="AY2" s="112"/>
      <c r="AZ2" s="112"/>
      <c r="BA2" s="113"/>
      <c r="BF2" s="114" t="s">
        <v>467</v>
      </c>
      <c r="BG2" s="114"/>
      <c r="BH2" s="114"/>
      <c r="BI2" s="114"/>
      <c r="BJ2" s="114" t="s">
        <v>468</v>
      </c>
      <c r="BK2" s="114"/>
      <c r="BL2" s="114"/>
      <c r="BM2" s="114"/>
      <c r="BN2" s="114" t="s">
        <v>469</v>
      </c>
      <c r="BO2" s="114"/>
      <c r="BP2" s="114"/>
      <c r="BQ2" s="114"/>
      <c r="BR2" s="114" t="s">
        <v>470</v>
      </c>
      <c r="BS2" s="114"/>
      <c r="BT2" s="114"/>
      <c r="BU2" s="114"/>
      <c r="BV2" s="114" t="s">
        <v>471</v>
      </c>
      <c r="BW2" s="114"/>
      <c r="BX2" s="114"/>
      <c r="BY2" s="114"/>
      <c r="BZ2" s="114" t="s">
        <v>472</v>
      </c>
      <c r="CA2" s="114"/>
      <c r="CB2" s="114"/>
      <c r="CC2" s="114"/>
      <c r="CD2" s="114" t="s">
        <v>473</v>
      </c>
      <c r="CE2" s="114"/>
      <c r="CF2" s="114"/>
      <c r="CG2" s="114"/>
      <c r="CH2" s="75" t="s">
        <v>466</v>
      </c>
      <c r="CK2" s="111" t="s">
        <v>519</v>
      </c>
      <c r="CL2" s="112"/>
      <c r="CM2" s="113"/>
      <c r="CN2" s="111" t="s">
        <v>520</v>
      </c>
      <c r="CO2" s="112"/>
      <c r="CP2" s="113"/>
      <c r="CQ2" s="72"/>
      <c r="CU2" s="114" t="s">
        <v>467</v>
      </c>
      <c r="CV2" s="114"/>
      <c r="CW2" s="114"/>
      <c r="CX2" s="114"/>
      <c r="CY2" s="114" t="s">
        <v>468</v>
      </c>
      <c r="CZ2" s="114"/>
      <c r="DA2" s="114"/>
      <c r="DB2" s="114"/>
      <c r="DC2" s="114" t="s">
        <v>469</v>
      </c>
      <c r="DD2" s="114"/>
      <c r="DE2" s="114"/>
      <c r="DF2" s="114"/>
      <c r="DG2" s="114" t="s">
        <v>470</v>
      </c>
      <c r="DH2" s="114"/>
      <c r="DI2" s="114"/>
      <c r="DJ2" s="114"/>
      <c r="DK2" s="114" t="s">
        <v>471</v>
      </c>
      <c r="DL2" s="114"/>
      <c r="DM2" s="114"/>
      <c r="DN2" s="114"/>
      <c r="DO2" s="114" t="s">
        <v>472</v>
      </c>
      <c r="DP2" s="114"/>
      <c r="DQ2" s="114"/>
      <c r="DR2" s="114"/>
      <c r="DS2" s="114" t="s">
        <v>473</v>
      </c>
      <c r="DT2" s="114"/>
      <c r="DU2" s="114"/>
      <c r="DV2" s="114"/>
      <c r="DW2" s="75" t="s">
        <v>466</v>
      </c>
      <c r="DX2" s="73" t="s">
        <v>527</v>
      </c>
      <c r="DZ2" s="91"/>
      <c r="EA2" s="112" t="s">
        <v>478</v>
      </c>
      <c r="EB2" s="113"/>
      <c r="EC2" s="101"/>
      <c r="EE2" s="72"/>
      <c r="EK2" s="114" t="s">
        <v>467</v>
      </c>
      <c r="EL2" s="114"/>
      <c r="EM2" s="114"/>
      <c r="EN2" s="114"/>
      <c r="EO2" s="114" t="s">
        <v>468</v>
      </c>
      <c r="EP2" s="114"/>
      <c r="EQ2" s="114"/>
      <c r="ER2" s="114"/>
      <c r="ES2" s="114"/>
      <c r="ET2" s="114" t="s">
        <v>469</v>
      </c>
      <c r="EU2" s="114"/>
      <c r="EV2" s="114"/>
      <c r="EW2" s="114"/>
      <c r="EX2" s="114" t="s">
        <v>470</v>
      </c>
      <c r="EY2" s="114"/>
      <c r="EZ2" s="114"/>
      <c r="FA2" s="114"/>
      <c r="FB2" s="114" t="s">
        <v>471</v>
      </c>
      <c r="FC2" s="114"/>
      <c r="FD2" s="114"/>
      <c r="FE2" s="114"/>
      <c r="FF2" s="114" t="s">
        <v>472</v>
      </c>
      <c r="FG2" s="114"/>
      <c r="FH2" s="114"/>
      <c r="FI2" s="114"/>
      <c r="FJ2" s="114" t="s">
        <v>473</v>
      </c>
      <c r="FK2" s="114"/>
      <c r="FL2" s="114"/>
      <c r="FM2" s="73" t="s">
        <v>466</v>
      </c>
      <c r="FN2" s="75"/>
      <c r="FO2" s="73" t="s">
        <v>527</v>
      </c>
      <c r="FQ2" s="78" t="s">
        <v>516</v>
      </c>
    </row>
    <row r="3" spans="1:173">
      <c r="A3" s="78" t="s">
        <v>441</v>
      </c>
      <c r="B3" s="78" t="s">
        <v>206</v>
      </c>
      <c r="C3" s="78" t="s">
        <v>176</v>
      </c>
      <c r="D3" s="78" t="s">
        <v>431</v>
      </c>
      <c r="E3" s="78" t="s">
        <v>432</v>
      </c>
      <c r="F3" s="74"/>
      <c r="G3" s="78" t="s">
        <v>459</v>
      </c>
      <c r="H3" s="78" t="s">
        <v>460</v>
      </c>
      <c r="I3" s="78" t="s">
        <v>461</v>
      </c>
      <c r="J3" s="78" t="s">
        <v>464</v>
      </c>
      <c r="K3" s="78" t="s">
        <v>479</v>
      </c>
      <c r="L3" s="78" t="s">
        <v>481</v>
      </c>
      <c r="M3" s="94" t="s">
        <v>483</v>
      </c>
      <c r="N3" s="78" t="s">
        <v>463</v>
      </c>
      <c r="O3" s="78" t="s">
        <v>482</v>
      </c>
      <c r="P3" s="98" t="s">
        <v>466</v>
      </c>
      <c r="Q3" s="78" t="s">
        <v>462</v>
      </c>
      <c r="R3" s="78" t="s">
        <v>463</v>
      </c>
      <c r="S3" s="78" t="s">
        <v>482</v>
      </c>
      <c r="T3" s="98" t="s">
        <v>466</v>
      </c>
      <c r="U3" s="78" t="s">
        <v>462</v>
      </c>
      <c r="V3" s="78" t="s">
        <v>463</v>
      </c>
      <c r="W3" s="78" t="s">
        <v>482</v>
      </c>
      <c r="X3" s="98" t="s">
        <v>466</v>
      </c>
      <c r="Y3" s="78" t="s">
        <v>462</v>
      </c>
      <c r="Z3" s="78" t="s">
        <v>463</v>
      </c>
      <c r="AA3" s="78" t="s">
        <v>482</v>
      </c>
      <c r="AB3" s="98" t="s">
        <v>466</v>
      </c>
      <c r="AC3" s="78" t="s">
        <v>462</v>
      </c>
      <c r="AD3" s="78" t="s">
        <v>463</v>
      </c>
      <c r="AE3" s="78" t="s">
        <v>482</v>
      </c>
      <c r="AF3" s="98" t="s">
        <v>466</v>
      </c>
      <c r="AG3" s="78" t="s">
        <v>462</v>
      </c>
      <c r="AH3" s="78" t="s">
        <v>463</v>
      </c>
      <c r="AI3" s="78" t="s">
        <v>482</v>
      </c>
      <c r="AJ3" s="98" t="s">
        <v>466</v>
      </c>
      <c r="AK3" s="78" t="s">
        <v>462</v>
      </c>
      <c r="AL3" s="78" t="s">
        <v>463</v>
      </c>
      <c r="AM3" s="78" t="s">
        <v>482</v>
      </c>
      <c r="AN3" s="98" t="s">
        <v>466</v>
      </c>
      <c r="AO3" s="75"/>
      <c r="AQ3" s="78" t="s">
        <v>527</v>
      </c>
      <c r="AR3" s="72"/>
      <c r="AS3" s="73" t="s">
        <v>467</v>
      </c>
      <c r="AT3" s="73" t="s">
        <v>468</v>
      </c>
      <c r="AU3" s="73" t="s">
        <v>469</v>
      </c>
      <c r="AV3" s="97" t="s">
        <v>470</v>
      </c>
      <c r="AW3" s="82"/>
      <c r="AX3" s="79" t="s">
        <v>467</v>
      </c>
      <c r="AY3" s="79" t="s">
        <v>468</v>
      </c>
      <c r="AZ3" s="79" t="s">
        <v>469</v>
      </c>
      <c r="BA3" s="97" t="s">
        <v>470</v>
      </c>
      <c r="BB3" s="78" t="s">
        <v>484</v>
      </c>
      <c r="BC3" s="78" t="s">
        <v>431</v>
      </c>
      <c r="BD3" s="78" t="s">
        <v>432</v>
      </c>
      <c r="BE3" s="78" t="s">
        <v>481</v>
      </c>
      <c r="BF3" s="78" t="s">
        <v>462</v>
      </c>
      <c r="BG3" s="78" t="s">
        <v>463</v>
      </c>
      <c r="BH3" s="78" t="s">
        <v>482</v>
      </c>
      <c r="BI3" s="98" t="s">
        <v>466</v>
      </c>
      <c r="BJ3" s="78" t="s">
        <v>462</v>
      </c>
      <c r="BK3" s="78" t="s">
        <v>463</v>
      </c>
      <c r="BL3" s="78" t="s">
        <v>482</v>
      </c>
      <c r="BM3" s="98" t="s">
        <v>466</v>
      </c>
      <c r="BN3" s="78" t="s">
        <v>462</v>
      </c>
      <c r="BO3" s="78" t="s">
        <v>463</v>
      </c>
      <c r="BP3" s="78" t="s">
        <v>482</v>
      </c>
      <c r="BQ3" s="98" t="s">
        <v>466</v>
      </c>
      <c r="BR3" s="78" t="s">
        <v>462</v>
      </c>
      <c r="BS3" s="78" t="s">
        <v>463</v>
      </c>
      <c r="BT3" s="78"/>
      <c r="BU3" s="98" t="s">
        <v>466</v>
      </c>
      <c r="BV3" s="78" t="s">
        <v>462</v>
      </c>
      <c r="BW3" s="78" t="s">
        <v>463</v>
      </c>
      <c r="BX3" s="78" t="s">
        <v>482</v>
      </c>
      <c r="BY3" s="98" t="s">
        <v>466</v>
      </c>
      <c r="BZ3" s="78" t="s">
        <v>462</v>
      </c>
      <c r="CA3" s="78" t="s">
        <v>463</v>
      </c>
      <c r="CB3" s="78" t="s">
        <v>482</v>
      </c>
      <c r="CC3" s="98" t="s">
        <v>466</v>
      </c>
      <c r="CD3" s="78" t="s">
        <v>462</v>
      </c>
      <c r="CE3" s="78" t="s">
        <v>463</v>
      </c>
      <c r="CF3" s="78" t="s">
        <v>482</v>
      </c>
      <c r="CG3" s="98" t="s">
        <v>466</v>
      </c>
      <c r="CH3" s="75"/>
      <c r="CJ3" s="78" t="s">
        <v>527</v>
      </c>
      <c r="CK3" s="72"/>
      <c r="CL3" s="73" t="s">
        <v>467</v>
      </c>
      <c r="CM3" s="75" t="s">
        <v>468</v>
      </c>
      <c r="CN3" s="72"/>
      <c r="CO3" s="73" t="s">
        <v>467</v>
      </c>
      <c r="CP3" s="97" t="s">
        <v>468</v>
      </c>
      <c r="CQ3" s="94" t="s">
        <v>484</v>
      </c>
      <c r="CR3" s="78" t="s">
        <v>431</v>
      </c>
      <c r="CS3" s="78" t="s">
        <v>432</v>
      </c>
      <c r="CT3" s="78" t="s">
        <v>481</v>
      </c>
      <c r="CU3" s="78" t="s">
        <v>462</v>
      </c>
      <c r="CV3" s="78" t="s">
        <v>463</v>
      </c>
      <c r="CW3" s="78" t="s">
        <v>482</v>
      </c>
      <c r="CX3" s="98" t="s">
        <v>466</v>
      </c>
      <c r="CY3" s="78" t="s">
        <v>462</v>
      </c>
      <c r="CZ3" s="78" t="s">
        <v>463</v>
      </c>
      <c r="DA3" s="78" t="s">
        <v>482</v>
      </c>
      <c r="DB3" s="98" t="s">
        <v>466</v>
      </c>
      <c r="DC3" s="78" t="s">
        <v>462</v>
      </c>
      <c r="DD3" s="78" t="s">
        <v>463</v>
      </c>
      <c r="DE3" s="78" t="s">
        <v>482</v>
      </c>
      <c r="DF3" s="98" t="s">
        <v>466</v>
      </c>
      <c r="DG3" s="78" t="s">
        <v>462</v>
      </c>
      <c r="DH3" s="78" t="s">
        <v>463</v>
      </c>
      <c r="DI3" s="78" t="s">
        <v>482</v>
      </c>
      <c r="DJ3" s="98" t="s">
        <v>466</v>
      </c>
      <c r="DK3" s="78" t="s">
        <v>462</v>
      </c>
      <c r="DL3" s="78" t="s">
        <v>463</v>
      </c>
      <c r="DM3" s="78" t="s">
        <v>482</v>
      </c>
      <c r="DN3" s="98" t="s">
        <v>466</v>
      </c>
      <c r="DO3" s="78" t="s">
        <v>462</v>
      </c>
      <c r="DP3" s="78" t="s">
        <v>463</v>
      </c>
      <c r="DQ3" s="78" t="s">
        <v>482</v>
      </c>
      <c r="DR3" s="98" t="s">
        <v>466</v>
      </c>
      <c r="DS3" s="78" t="s">
        <v>462</v>
      </c>
      <c r="DT3" s="78" t="s">
        <v>463</v>
      </c>
      <c r="DU3" s="78" t="s">
        <v>482</v>
      </c>
      <c r="DV3" s="98" t="s">
        <v>466</v>
      </c>
      <c r="DW3" s="75"/>
      <c r="DZ3" s="72"/>
      <c r="EA3" s="73" t="s">
        <v>441</v>
      </c>
      <c r="EB3" s="75" t="s">
        <v>442</v>
      </c>
      <c r="EE3" s="72"/>
      <c r="EG3" s="78" t="s">
        <v>484</v>
      </c>
      <c r="EH3" s="78" t="s">
        <v>431</v>
      </c>
      <c r="EI3" s="78" t="s">
        <v>432</v>
      </c>
      <c r="EJ3" s="78" t="s">
        <v>481</v>
      </c>
      <c r="EK3" s="78" t="s">
        <v>462</v>
      </c>
      <c r="EL3" s="78" t="s">
        <v>463</v>
      </c>
      <c r="EM3" s="78" t="s">
        <v>482</v>
      </c>
      <c r="EN3" s="98" t="s">
        <v>466</v>
      </c>
      <c r="EO3" s="78" t="s">
        <v>462</v>
      </c>
      <c r="EP3" s="78" t="s">
        <v>463</v>
      </c>
      <c r="EQ3" s="78"/>
      <c r="ER3" s="78" t="s">
        <v>482</v>
      </c>
      <c r="ES3" s="98" t="s">
        <v>466</v>
      </c>
      <c r="ET3" s="78" t="s">
        <v>462</v>
      </c>
      <c r="EU3" s="78" t="s">
        <v>463</v>
      </c>
      <c r="EV3" s="78" t="s">
        <v>482</v>
      </c>
      <c r="EW3" s="98" t="s">
        <v>466</v>
      </c>
      <c r="EX3" s="78" t="s">
        <v>462</v>
      </c>
      <c r="EY3" s="78" t="s">
        <v>463</v>
      </c>
      <c r="EZ3" s="78" t="s">
        <v>482</v>
      </c>
      <c r="FA3" s="98" t="s">
        <v>466</v>
      </c>
      <c r="FB3" s="78" t="s">
        <v>462</v>
      </c>
      <c r="FC3" s="78" t="s">
        <v>463</v>
      </c>
      <c r="FD3" s="78" t="s">
        <v>482</v>
      </c>
      <c r="FE3" s="98" t="s">
        <v>466</v>
      </c>
      <c r="FF3" s="78" t="s">
        <v>462</v>
      </c>
      <c r="FG3" s="78" t="s">
        <v>463</v>
      </c>
      <c r="FH3" s="78" t="s">
        <v>482</v>
      </c>
      <c r="FI3" s="98" t="s">
        <v>466</v>
      </c>
      <c r="FJ3" s="78" t="s">
        <v>462</v>
      </c>
      <c r="FK3" s="78" t="s">
        <v>463</v>
      </c>
      <c r="FL3" s="98" t="s">
        <v>466</v>
      </c>
      <c r="FN3" s="75"/>
      <c r="FO3" s="73">
        <f ca="1">7-(COUNTIF(EN4,"")+COUNTIF(ES4,"")+COUNTIF(EV4,"")+COUNTIF(EZ4,"")+COUNTIF(FE4,"")+COUNTIF(FI4,"")+COUNTIF(FL4,""))</f>
        <v>7</v>
      </c>
      <c r="FP3" s="73">
        <v>1</v>
      </c>
      <c r="FQ3" s="73" t="str">
        <f ca="1">FM4</f>
        <v>Winnipeg</v>
      </c>
    </row>
    <row r="4" spans="1:173">
      <c r="A4" s="73">
        <v>1</v>
      </c>
      <c r="B4" s="73" t="s">
        <v>443</v>
      </c>
      <c r="C4" s="73">
        <f>VLOOKUP(B4,Schedule!$A$2:$B$31,2,0)/100</f>
        <v>0.84634788831985786</v>
      </c>
      <c r="D4" s="73">
        <f>VLOOKUP(B4,'Team Stats'!$A$3:$H$32,7,0)</f>
        <v>2.54</v>
      </c>
      <c r="E4" s="73">
        <f>VLOOKUP(B4,'Team Stats'!$A$3:$H$32,8,0)</f>
        <v>2.19</v>
      </c>
      <c r="F4" s="74"/>
      <c r="G4" s="73">
        <v>1</v>
      </c>
      <c r="H4" s="73">
        <v>1</v>
      </c>
      <c r="I4" s="73">
        <f>VLOOKUP(H4,$A$4:$C$11,3,0)</f>
        <v>0.84634788831985786</v>
      </c>
      <c r="J4" s="73">
        <f>VLOOKUP(H4,$A$4:$E$11,4,0)</f>
        <v>2.54</v>
      </c>
      <c r="K4" s="73">
        <f>VLOOKUP(H4,$A$4:$E$11,5,0)</f>
        <v>2.19</v>
      </c>
      <c r="L4" s="73">
        <f>J4-(I2-K5)</f>
        <v>2.2543333333333333</v>
      </c>
      <c r="M4" s="95">
        <f ca="1">_xlfn.NORM.INV(RAND(),I4,$G$2*$H$2)</f>
        <v>0.83911199443668649</v>
      </c>
      <c r="N4" s="73">
        <f ca="1">ranpoi(L4,RAND()*M4)</f>
        <v>3</v>
      </c>
      <c r="O4" s="73">
        <f ca="1">IF(N4&gt;6,6,N4)</f>
        <v>3</v>
      </c>
      <c r="P4" s="99">
        <f ca="1">IF(O4&gt;O5,H4,H5)</f>
        <v>8</v>
      </c>
      <c r="Q4" s="73">
        <f ca="1">_xlfn.NORM.INV(RAND(),$I$4,$G$2*$H$2)</f>
        <v>0.82541570493229044</v>
      </c>
      <c r="R4" s="73">
        <f ca="1">ranpoi(L4,RAND()*M4)</f>
        <v>2</v>
      </c>
      <c r="S4" s="73">
        <f ca="1">IF(R4&gt;6,6,R4)</f>
        <v>2</v>
      </c>
      <c r="T4" s="99">
        <f ca="1">IF(R4&gt;R5,H4,H5)</f>
        <v>8</v>
      </c>
      <c r="U4" s="73">
        <f ca="1">_xlfn.NORM.INV(RAND(),$I$4,$G$2*$H$2)</f>
        <v>0.80304599919029129</v>
      </c>
      <c r="V4" s="73">
        <f ca="1">ranpoi(L4,RAND()*M4)</f>
        <v>0</v>
      </c>
      <c r="W4" s="73">
        <f ca="1">IF(V4&gt;6,6,V4)</f>
        <v>0</v>
      </c>
      <c r="X4" s="99">
        <f ca="1">IF(V4&gt;V5,H4,H5)</f>
        <v>8</v>
      </c>
      <c r="Y4" s="73">
        <f ca="1">_xlfn.NORM.INV(RAND(),$I$4,$G$2*$H$2)</f>
        <v>0.86622935870470519</v>
      </c>
      <c r="Z4" s="73">
        <f ca="1">ranpoi(L4,RAND()*M4)</f>
        <v>1</v>
      </c>
      <c r="AA4" s="73">
        <f ca="1">IF(Z4&gt;6,6,Z4)</f>
        <v>1</v>
      </c>
      <c r="AB4" s="99">
        <f ca="1">IF(Z4&gt;Z5,H4,H5)</f>
        <v>1</v>
      </c>
      <c r="AC4" s="73">
        <f ca="1">_xlfn.NORM.INV(RAND(),$I$4,$G$2*$H$2)</f>
        <v>0.83855629130506726</v>
      </c>
      <c r="AD4" s="73">
        <f ca="1">ranpoi(L4,RAND()*M4)</f>
        <v>0</v>
      </c>
      <c r="AE4" s="73">
        <f ca="1">IF(AD4&gt;6,6,AD4)</f>
        <v>0</v>
      </c>
      <c r="AF4" s="99">
        <f ca="1">IF((COUNTIF(P4:P5,1)+COUNTIF(T4:T5,1)+COUNTIF(X4:X5,1)+COUNTIF(AB4:AB5,1))=4,"",IF((COUNTIF(P4:P5,8)+COUNTIF(T4:T5,8)+COUNTIF(X4:X5,8)+COUNTIF(AB4:AB5,8))=4,"",IF(AE4&gt;AE5,H4,H5)))</f>
        <v>8</v>
      </c>
      <c r="AG4" s="73">
        <f ca="1">_xlfn.NORM.INV(RAND(),$I$4,$G$2*$H$2)</f>
        <v>0.79478589016329615</v>
      </c>
      <c r="AH4" s="73">
        <f ca="1">ranpoi(L4,RAND()*M4)</f>
        <v>5</v>
      </c>
      <c r="AI4" s="73">
        <f ca="1">IF(AH4&gt;6,6,AH4)</f>
        <v>5</v>
      </c>
      <c r="AJ4" s="99" t="str">
        <f ca="1">IF((COUNTIF(P4:P5,1)+COUNTIF(T4:T5,1)+COUNTIF(X4:X5,1)+COUNTIF(AB4:AB5,1)+COUNTIF(AF4:AF5,1))=4,"",IF((COUNTIF(P4:P5,8)+COUNTIF(T4:T5,8)+COUNTIF(X4:X5,8)+COUNTIF(AB4:AB5,8)+COUNTIF(AF4:AF5,8))=4,"",IF(AI4&gt;AI5,H4,H5)))</f>
        <v/>
      </c>
      <c r="AK4" s="73">
        <f ca="1">_xlfn.NORM.INV(RAND(),$I$4,$G$2*$H$2)</f>
        <v>0.85208203583488229</v>
      </c>
      <c r="AL4" s="73">
        <f ca="1">ranpoi(L4,RAND()*M4)</f>
        <v>1</v>
      </c>
      <c r="AM4" s="73">
        <f ca="1">IF(AL4&gt;6,6,AL4)</f>
        <v>1</v>
      </c>
      <c r="AN4" s="99" t="str">
        <f ca="1">IF((COUNTIF(P4:P5,1)+COUNTIF(T4:T5,1)+COUNTIF(X4:X5,1)+COUNTIF(AB4:AB5,1)+COUNTIF(AF4:AF5,1)+COUNTIF(AJ4:AJ5,1))=4,"",IF((COUNTIF(P4:P5,8)+COUNTIF(T4:T5,8)+COUNTIF(X4:X5,8)+COUNTIF(AB4:AB5,8)+COUNTIF(AF4:AF5,8)+COUNTIF(AJ4:AJ5,8))=4,"",IF(AM4&gt;AM5,H4,H5)))</f>
        <v/>
      </c>
      <c r="AO4" s="75">
        <f ca="1">IF((COUNTIF(P4:P5,1)+COUNTIF(T4:T5,1)+COUNTIF(X4:X5,1)+COUNTIF(AB4:AB5,1)+COUNTIF(AF4:AF5,1)+COUNTIF(AJ4:AJ5,1)+COUNTIF(AN4:AN5,1)&gt;COUNTIF(P4:P5,8)+COUNTIF(T4:T5,8)+COUNTIF(X4:X5,8)+COUNTIF(AB4:AB5,8)+COUNTIF(AF4:AF5,8)+COUNTIF(AJ4:AJ5,8)+COUNTIF(AN4:AN5,8)),H4,H5)</f>
        <v>8</v>
      </c>
      <c r="AP4" s="73" t="str">
        <f ca="1">VLOOKUP(AO4,$A$4:$E$11,2,0)</f>
        <v>Boston</v>
      </c>
      <c r="AQ4" s="73">
        <f ca="1">7-(COUNTIF(P4,"")+COUNTIF(T4,"")+COUNTIF(X4,"")+COUNTIF(AB4,"")+COUNTIF(AF4,"")+COUNTIF(AJ4,"")+COUNTIF(AN4,""))</f>
        <v>5</v>
      </c>
      <c r="AR4" s="72">
        <v>1</v>
      </c>
      <c r="AS4" s="73" t="str">
        <f ca="1">AP4</f>
        <v>Boston</v>
      </c>
      <c r="AT4" s="73" t="str">
        <f ca="1">AP6</f>
        <v>Pittsburgh</v>
      </c>
      <c r="AU4" s="73" t="str">
        <f ca="1">AP8</f>
        <v>Tampa Bay</v>
      </c>
      <c r="AV4" s="75" t="str">
        <f ca="1">AP10</f>
        <v>NY Rangers</v>
      </c>
      <c r="AW4" s="72">
        <v>1</v>
      </c>
      <c r="AX4" s="73" t="str">
        <f ca="1">AP17</f>
        <v>Minnesota</v>
      </c>
      <c r="AY4" s="73" t="str">
        <f ca="1">AP19</f>
        <v>Vancouver</v>
      </c>
      <c r="AZ4" s="73" t="str">
        <f ca="1">AP21</f>
        <v>St. Louis</v>
      </c>
      <c r="BA4" s="75" t="str">
        <f ca="1">AP23</f>
        <v>Winnipeg</v>
      </c>
      <c r="BB4" s="73">
        <f ca="1">VLOOKUP(AO4,$A$4:$E$11,3,0)</f>
        <v>0.84918202417441924</v>
      </c>
      <c r="BC4" s="73">
        <f ca="1">VLOOKUP(AO4,$A$4:$L$11,4,0)</f>
        <v>2.54</v>
      </c>
      <c r="BD4" s="73">
        <f ca="1">VLOOKUP(AO4,$A$4:$L$11,5,0)</f>
        <v>2.38</v>
      </c>
      <c r="BE4" s="73">
        <f ca="1">BC4-(I2-BD6)</f>
        <v>2.3443333333333336</v>
      </c>
      <c r="BF4" s="73">
        <f ca="1">_xlfn.NORM.INV(RAND(),BB4,$G$2*$H$2)</f>
        <v>0.83088009525886997</v>
      </c>
      <c r="BG4" s="73">
        <f ca="1">ranpoi(BE4,RAND()*BF4)</f>
        <v>4</v>
      </c>
      <c r="BH4" s="73">
        <f ca="1">IF(BG4&gt;6,6,BG4)</f>
        <v>4</v>
      </c>
      <c r="BI4" s="99">
        <f ca="1">IF(BH4&gt;BH6,AO4,AO6)</f>
        <v>4</v>
      </c>
      <c r="BJ4" s="73">
        <f ca="1">_xlfn.NORM.INV(RAND(),BB4,$G$2*$H$2)</f>
        <v>0.8906543058893035</v>
      </c>
      <c r="BK4" s="73">
        <f ca="1">ranpoi(BE4,RAND()*BJ4)</f>
        <v>2</v>
      </c>
      <c r="BL4" s="73">
        <f ca="1">IF(BK4&gt;6,6,BK4)</f>
        <v>2</v>
      </c>
      <c r="BM4" s="99">
        <f ca="1">IF(BL4&gt;BL6,AO4,AO6)</f>
        <v>4</v>
      </c>
      <c r="BN4" s="73">
        <f ca="1">_xlfn.NORM.INV(RAND(),BB4,$G$2*$H$2)</f>
        <v>0.69655633872778577</v>
      </c>
      <c r="BO4" s="73">
        <f ca="1">ranpoi(BE4,RAND()*BN4)</f>
        <v>5</v>
      </c>
      <c r="BP4" s="73">
        <f ca="1">IF(BO4&gt;6,6,BO4)</f>
        <v>5</v>
      </c>
      <c r="BQ4" s="99">
        <f ca="1">IF(BP4&gt;BP6,AO4,AO6)</f>
        <v>4</v>
      </c>
      <c r="BR4" s="73">
        <f ca="1">_xlfn.NORM.INV(RAND(),BB4,$G$2*$H$2)</f>
        <v>0.82618929280435094</v>
      </c>
      <c r="BS4" s="73">
        <f ca="1">ranpoi(BE4,RAND()*BR4)</f>
        <v>1</v>
      </c>
      <c r="BT4" s="73">
        <f ca="1">IF(BS4&gt;6,6,BS4)</f>
        <v>1</v>
      </c>
      <c r="BU4" s="99">
        <f ca="1">IF(BT4&gt;BT6,AO4,AO6)</f>
        <v>4</v>
      </c>
      <c r="BV4" s="73">
        <f ca="1">_xlfn.NORM.INV(RAND(),BB4,$G$2*$H$2)</f>
        <v>0.82243891988627293</v>
      </c>
      <c r="BW4" s="73">
        <f ca="1">ranpoi(BE4,RAND()*BV4)</f>
        <v>2</v>
      </c>
      <c r="BX4" s="73">
        <f ca="1">IF(BW4&gt;6,6,BW4)</f>
        <v>2</v>
      </c>
      <c r="BY4" s="99" t="str">
        <f ca="1">IF((COUNTIF(BI4:BI5,AO4)+COUNTIF(BM4:BM5,AO4)+COUNTIF(BQ4:BQ5,AO4)+COUNTIF(BU4:BU5,AO4))=4,"",IF((COUNTIF(BI4:BI5,AO6)+COUNTIF(BM4:BM5,AO6)+COUNTIF(BQ4:BQ5,AO6)+COUNTIF(BU4:BU5,AO6))=4,"",IF(BX4&gt;BX6,AO4,AO6)))</f>
        <v/>
      </c>
      <c r="BZ4" s="73">
        <f ca="1">_xlfn.NORM.INV(RAND(),BB4,$G$2*$H$2)</f>
        <v>0.8595110531121356</v>
      </c>
      <c r="CA4" s="73">
        <f ca="1">ranpoi(BE4,RAND())</f>
        <v>1</v>
      </c>
      <c r="CB4" s="73">
        <f ca="1">IF(CA4&gt;6,6,CA4)</f>
        <v>1</v>
      </c>
      <c r="CC4" s="99" t="str">
        <f ca="1">IF((COUNTIF(BI4:BI5,AO4)+COUNTIF(BM4:BM5,AO4)+COUNTIF(BQ4:BQ5,AO4)+COUNTIF(BU4:BU5,AO4)+COUNTIF(BY4:BY5,AO4))=4,"",IF((COUNTIF(BI4:BI5,AO6)+COUNTIF(BM4:BM5,AO6)+COUNTIF(BQ4:BQ5,AO6)+COUNTIF(BU4:BU5,AO6)+COUNTIF(BY4:BY5,AO6))=4,"",IF(CB4&gt;CB6,AO4,AO6)))</f>
        <v/>
      </c>
      <c r="CD4" s="73">
        <f ca="1">_xlfn.NORM.INV(RAND(),BB4,$G$2*$H$2)</f>
        <v>0.85100078785554767</v>
      </c>
      <c r="CE4" s="73">
        <f ca="1">ranpoi(BE4,RAND())</f>
        <v>1</v>
      </c>
      <c r="CF4" s="73">
        <f ca="1">IF(CE4&gt;6,6,CE4)</f>
        <v>1</v>
      </c>
      <c r="CG4" s="99" t="str">
        <f ca="1">IF((COUNTIF(BI4:BI5,AO4)+COUNTIF(BM4:BM5,AO4)+COUNTIF(BQ4:BQ5,AO4)+COUNTIF(BU4:BU5,AO4)+COUNTIF(BY4:BY5,AO4)+COUNTIF(CC4:CC5,AO4))=4,"",IF((COUNTIF(BI4:BI5,AO6)+COUNTIF(BM4:BM5,AO6)+COUNTIF(BQ4:BQ5,AO6)+COUNTIF(BU4:BU5,AO6)+COUNTIF(BY4:BY5,AO6)+COUNTIF(CC4:CC5,AO4))=4,"",IF(CF4&gt;CF6,AO4,AO6)))</f>
        <v/>
      </c>
      <c r="CH4" s="75">
        <f ca="1">IF((COUNTIF(BI4:BI5,AO4)+COUNTIF(BM4:BM5,AO4)+COUNTIF(BQ4:BQ5,AO4)+COUNTIF(BU4:BU5,AO4)+COUNTIF(BY4:BY5,AO4)+COUNTIF(CC4:CC5,AO4)+COUNTIF(CG4:CG5,AO4)&gt;COUNTIF(BI4:BI5,AO6)+COUNTIF(BM4:BM5,AO6)+COUNTIF(BQ4:BQ5,AO6)+COUNTIF(BU4:BU5,AO6)+COUNTIF(BY4:BY5,AO6)+COUNTIF(CC4:CC5,AO6)+COUNTIF(CG4:CG5,AO6)),AO4,AO6)</f>
        <v>4</v>
      </c>
      <c r="CI4" s="73" t="str">
        <f ca="1">VLOOKUP(CH4,$A$4:$E$11,2,0)</f>
        <v>Pittsburgh</v>
      </c>
      <c r="CJ4" s="73">
        <f ca="1">7-(COUNTIF(BI4,"")+COUNTIF(BM4,"")+COUNTIF(BQ4,"")+COUNTIF(BU4,"")+COUNTIF(BY4,"")+COUNTIF(CC4,"")+COUNTIF(CG4,""))</f>
        <v>4</v>
      </c>
      <c r="CK4" s="72">
        <v>1</v>
      </c>
      <c r="CL4" s="73" t="str">
        <f ca="1">CI4</f>
        <v>Pittsburgh</v>
      </c>
      <c r="CM4" s="75" t="str">
        <f ca="1">CI8</f>
        <v>Tampa Bay</v>
      </c>
      <c r="CN4" s="72">
        <v>1</v>
      </c>
      <c r="CO4" s="73" t="str">
        <f ca="1">CI17</f>
        <v>Vancouver</v>
      </c>
      <c r="CP4" s="75" t="str">
        <f ca="1">CI21</f>
        <v>Winnipeg</v>
      </c>
      <c r="CQ4" s="72">
        <f ca="1">VLOOKUP(CH4,$A$4:$E$11,3,0)</f>
        <v>0.84703329894020341</v>
      </c>
      <c r="CR4" s="73">
        <f ca="1">VLOOKUP(CH4,$A$4:$E$11,4,0)</f>
        <v>2.63</v>
      </c>
      <c r="CS4" s="73">
        <f ca="1">VLOOKUP(CH4,$A$4:$E$11,5,0)</f>
        <v>2.4700000000000002</v>
      </c>
      <c r="CT4" s="73">
        <f ca="1">CR4-(I2-CS8)</f>
        <v>2.4543333333333335</v>
      </c>
      <c r="CU4" s="73">
        <f ca="1">_xlfn.NORM.INV(RAND(),$I$4,$G$2*$H$2)</f>
        <v>0.86938854642508279</v>
      </c>
      <c r="CV4" s="73">
        <f ca="1">ranpoi(CT4,(RAND()*CU4))</f>
        <v>2</v>
      </c>
      <c r="CW4" s="73">
        <f ca="1">IF(CV4&gt;6,6,CV4)</f>
        <v>2</v>
      </c>
      <c r="CX4" s="99">
        <f ca="1">IF(CW4&gt;CW8,CH4,CH8)</f>
        <v>4</v>
      </c>
      <c r="CY4" s="73">
        <f ca="1">_xlfn.NORM.INV(RAND(),$I$4,$G$2*$H$2)</f>
        <v>0.79175612341696233</v>
      </c>
      <c r="CZ4" s="73">
        <f ca="1">ranpoi(CT4,(RAND()*CU4))</f>
        <v>13</v>
      </c>
      <c r="DA4" s="73">
        <f ca="1">IF(CZ4&gt;6,6,CZ4)</f>
        <v>6</v>
      </c>
      <c r="DB4" s="99">
        <f ca="1">IF(DA4&gt;DA8,CH4,CH8)</f>
        <v>4</v>
      </c>
      <c r="DC4" s="73">
        <f ca="1">_xlfn.NORM.INV(RAND(),$I$4,$G$2*$H$2)</f>
        <v>0.85959569980839967</v>
      </c>
      <c r="DD4" s="73">
        <f ca="1">ranpoi(CT4,(RAND()*CU4))</f>
        <v>2</v>
      </c>
      <c r="DE4" s="73">
        <f ca="1">IF(DD4&gt;6,6,DD4)</f>
        <v>2</v>
      </c>
      <c r="DF4" s="99">
        <f ca="1">IF(DE4&gt;DE8,CH4,CH8)</f>
        <v>3</v>
      </c>
      <c r="DG4" s="73">
        <f ca="1">_xlfn.NORM.INV(RAND(),$I$4,$G$2*$H$2)</f>
        <v>0.75510963712698365</v>
      </c>
      <c r="DH4" s="73">
        <f ca="1">ranpoi(CT4,(RAND()*CU4))</f>
        <v>5</v>
      </c>
      <c r="DI4" s="73">
        <f ca="1">IF(DH4&gt;6,6,DH4)</f>
        <v>5</v>
      </c>
      <c r="DJ4" s="99">
        <f ca="1">IF(DI4&gt;DI8,CH4,CH8)</f>
        <v>3</v>
      </c>
      <c r="DK4" s="73">
        <f ca="1">_xlfn.NORM.INV(RAND(),$I$4,$G$2*$H$2)</f>
        <v>0.86835110516473779</v>
      </c>
      <c r="DL4" s="73">
        <f ca="1">ranpoi(CT4,(RAND()*CU4))</f>
        <v>1</v>
      </c>
      <c r="DM4" s="73">
        <f ca="1">IF(DL4&gt;6,6,DL4)</f>
        <v>1</v>
      </c>
      <c r="DN4" s="99">
        <f ca="1">IF((COUNTIF(CX4:CX5,CH4)+COUNTIF(DB4:DB5,CH4)+COUNTIF(DF4:DF5,CH4)+COUNTIF(DJ4:DJ5,CH4))=4,"",IF((COUNTIF(CX4:CX5,CH8)+COUNTIF(DB4:DB5,CH8)+COUNTIF(DF4:DF5,CH8)+COUNTIF(DJ4:DJ5,CH8))=4,"",IF(DM4&gt;DM8,CH4,CH8)))</f>
        <v>3</v>
      </c>
      <c r="DO4" s="73">
        <f ca="1">_xlfn.NORM.INV(RAND(),$I$4,$G$2*$H$2)</f>
        <v>0.79925024216156471</v>
      </c>
      <c r="DP4" s="73">
        <f ca="1">ranpoi(CT4,(RAND()*CU4))</f>
        <v>0</v>
      </c>
      <c r="DQ4" s="73">
        <f ca="1">IF(DP4&gt;6,6,DP4)</f>
        <v>0</v>
      </c>
      <c r="DR4" s="99">
        <f ca="1">IF((COUNTIF(CX4:CX5,CH4)+COUNTIF(DB4:DB5,CH4)+COUNTIF(DF4:DF5,CH4)+COUNTIF(DJ4:DJ5,CH4)+COUNTIF(DN4:DN5,CH4))=4,"",IF((COUNTIF(CX4:CX5,CH8)+COUNTIF(DB4:DB5,CH8)+COUNTIF(DF4:DF5,CH8)+COUNTIF(DJ4:DJ5,CH8)+COUNTIF(DN4:DN5,CH8))=4,"",IF(DQ4&gt;DQ8,CH4,CH8)))</f>
        <v>3</v>
      </c>
      <c r="DS4" s="73">
        <f ca="1">_xlfn.NORM.INV(RAND(),$I$4,$G$2*$H$2)</f>
        <v>0.88182876415713285</v>
      </c>
      <c r="DT4" s="73">
        <f ca="1">ranpoi(CT4,(RAND()*CU4))</f>
        <v>1</v>
      </c>
      <c r="DU4" s="73">
        <f ca="1">IF(DT4&gt;6,6,DT4)</f>
        <v>1</v>
      </c>
      <c r="DV4" s="99">
        <f ca="1">IF((COUNTIF(CX4:CX5,CH4)+COUNTIF(DB4:DB5,CH4)+COUNTIF(DF4:DF5,CH4)+COUNTIF(DJ4:DJ5,CH4)+COUNTIF(DN4:DN5,CH4)+COUNTIF(DR4:DR5,CH4))=4,"",IF((COUNTIF(CX4:CX5,CH8)+COUNTIF(DB4:DB5,CH8)+COUNTIF(DF4:DF5,CH8)+COUNTIF(DJ4:DJ5,CH8)+COUNTIF(DN4:DN5,CH8)+COUNTIF(DR4:DR5,BW))=4,"",IF(DU4&gt;DU8,CH4,CH8)))</f>
        <v>3</v>
      </c>
      <c r="DW4" s="75">
        <f ca="1">IF((COUNTIF(CX4:CX5,CH4)+COUNTIF(DB4:DB5,CH4)+COUNTIF(DF4:DF5,CH4)+COUNTIF(DJ4:DJ5,CH4)+COUNTIF(DN4:DN5,CH4)+COUNTIF(DR4:DR5,CH4)+COUNTIF(DV4:DV5,CH4)&gt;COUNTIF(CX4:CX5,CH8)+COUNTIF(DB4:DB5,CH8)+COUNTIF(DF4:DF5,CH8)+COUNTIF(DJ4:DJ5,CH8)+COUNTIF(DN4:DN5,CH8)+COUNTIF(DR4:DR5,CH8)+COUNTIF(DV4:DV5,CH8)),CH4,CH8)</f>
        <v>3</v>
      </c>
      <c r="DX4" s="73">
        <f ca="1">7-(COUNTIF(CX4,"")+COUNTIF(DB4,"")+COUNTIF(DF4,"")+COUNTIF(DJ4,"")+COUNTIF(DN4,"")+COUNTIF(DR4,"")+COUNTIF(DV4,""))</f>
        <v>7</v>
      </c>
      <c r="DZ4" s="72">
        <v>1</v>
      </c>
      <c r="EA4" s="73" t="str">
        <f ca="1">VLOOKUP(MAX(DW4:DW8),A4:E11,2,0)</f>
        <v>Tampa Bay</v>
      </c>
      <c r="EB4" s="75" t="str">
        <f ca="1">VLOOKUP(DW17,A17:E24,2,0)</f>
        <v>Winnipeg</v>
      </c>
      <c r="EE4" s="72">
        <f ca="1">DW4</f>
        <v>3</v>
      </c>
      <c r="EF4" s="73" t="str">
        <f ca="1">EA4</f>
        <v>Tampa Bay</v>
      </c>
      <c r="EG4" s="73">
        <f ca="1">VLOOKUP($EE$4,$A$4:$E$11,3,0)</f>
        <v>0.84438445187368572</v>
      </c>
      <c r="EH4" s="73">
        <f ca="1">VLOOKUP($EE$4,$A$4:$E$11,4,0)</f>
        <v>3.13</v>
      </c>
      <c r="EI4" s="73">
        <f ca="1">VLOOKUP($EE$4,$A$4:$E$11,5,0)</f>
        <v>2.4900000000000002</v>
      </c>
      <c r="EJ4" s="73" t="e">
        <f ca="1">EH4-(I2-EI8)</f>
        <v>#N/A</v>
      </c>
      <c r="EK4" s="73">
        <f ca="1">_xlfn.NORM.INV(RAND(),EG4,$G$2*$H$2)</f>
        <v>0.89005725548027093</v>
      </c>
      <c r="EL4" s="73" t="e">
        <f ca="1">ranpoi(EJ4,(RAND()*EK4))</f>
        <v>#VALUE!</v>
      </c>
      <c r="EM4" s="73" t="e">
        <f ca="1">IF(EL4&gt;6,6,EL4)</f>
        <v>#VALUE!</v>
      </c>
      <c r="EN4" s="99" t="e">
        <f ca="1">IF(EM4&gt;EM8,EF4,EF8)</f>
        <v>#VALUE!</v>
      </c>
      <c r="EO4" s="73">
        <f ca="1">_xlfn.NORM.INV(RAND(),EG4,$G$2*$H$2)</f>
        <v>0.90248595348904426</v>
      </c>
      <c r="EP4" s="73" t="e">
        <f ca="1">ranpoi(EJ4,(RAND()*EO4))</f>
        <v>#VALUE!</v>
      </c>
      <c r="ER4" s="73" t="e">
        <f ca="1">IF(EP4&gt;6,6,EP4)</f>
        <v>#VALUE!</v>
      </c>
      <c r="ES4" s="99" t="e">
        <f ca="1">IF(ER4&gt;ER8,EF4,EF8)</f>
        <v>#VALUE!</v>
      </c>
      <c r="ET4" s="73">
        <f ca="1">_xlfn.NORM.INV(RAND(),EG4,$G$2*$H$2)</f>
        <v>0.79186895927311896</v>
      </c>
      <c r="EU4" s="73" t="e">
        <f ca="1">ranpoi(EJ4,(RAND()*ET4))</f>
        <v>#VALUE!</v>
      </c>
      <c r="EV4" s="73" t="e">
        <f ca="1">IF(EU4&gt;6,6,EU4)</f>
        <v>#VALUE!</v>
      </c>
      <c r="EW4" s="99" t="e">
        <f ca="1">IF(EV4&gt;EV8,EF4,EF8)</f>
        <v>#VALUE!</v>
      </c>
      <c r="EX4" s="73">
        <f ca="1">_xlfn.NORM.INV(RAND(),EG4,$G$2*$H$2)</f>
        <v>0.89545729146228048</v>
      </c>
      <c r="EY4" s="73" t="e">
        <f ca="1">ranpoi(EJ4,(RAND()*EX4))</f>
        <v>#VALUE!</v>
      </c>
      <c r="EZ4" s="73" t="e">
        <f ca="1">IF(EY4&gt;6,6,EY4)</f>
        <v>#VALUE!</v>
      </c>
      <c r="FA4" s="99" t="e">
        <f ca="1">IF(EZ4&gt;EZ8,EF4,EF8)</f>
        <v>#VALUE!</v>
      </c>
      <c r="FB4" s="73">
        <f ca="1">_xlfn.NORM.INV(RAND(),EG4,$G$2*$H$2)</f>
        <v>0.85874018177771827</v>
      </c>
      <c r="FC4" s="73" t="e">
        <f ca="1">ranpoi(EJ4,(RAND()*FB4))</f>
        <v>#VALUE!</v>
      </c>
      <c r="FD4" s="73" t="e">
        <f ca="1">IF(FC4&gt;6,6,FC4)</f>
        <v>#VALUE!</v>
      </c>
      <c r="FE4" s="99" t="e">
        <f ca="1">IF((COUNTIF(EN4:EN5,EF4)+COUNTIF(ES4:ES5,EF4)+COUNTIF(EW4:EW5,EF4)+COUNTIF(FA4:FA5,EF4))=4,"",IF((COUNTIF(EN4:EN5,EF8)+COUNTIF(ES4:ES5,EF8)+COUNTIF(EW4:EW5,EF8)+COUNTIF(FA4:FA5,EF8))=4,"",IF(FD4&gt;FD8,EF4,EF8)))</f>
        <v>#VALUE!</v>
      </c>
      <c r="FF4" s="73">
        <f ca="1">_xlfn.NORM.INV(RAND(),EG4,$G$2*$H$2)</f>
        <v>0.92749762778032763</v>
      </c>
      <c r="FG4" s="73" t="e">
        <f ca="1">ranpoi(EJ4,(RAND()*FF4))</f>
        <v>#VALUE!</v>
      </c>
      <c r="FH4" s="73" t="e">
        <f ca="1">IF(FG4&gt;6,6,FG4)</f>
        <v>#VALUE!</v>
      </c>
      <c r="FI4" s="99" t="e">
        <f ca="1">IF((COUNTIF(EN4:EN5,EF4)+COUNTIF(ES4:ES5,EF4)+COUNTIF(EW4:EW5,EF4)+COUNTIF(FA4:FA5,EF4)+COUNTIF(FE4:FE5,EF4))=4,"",IF((COUNTIF(EN4:EN5,EF8)+COUNTIF(ES4:ES5,EF8)+COUNTIF(EW4:EW5,EF8)+COUNTIF(FA4:FA5,EF8)+COUNTIF(FE4:FE5,EF8))=4,"",IF(FH4&gt;FH8,EF4,EF8)))</f>
        <v>#VALUE!</v>
      </c>
      <c r="FJ4" s="73">
        <f ca="1">_xlfn.NORM.INV(RAND(),EG4,$G$2*$H$2)</f>
        <v>0.84519518243114866</v>
      </c>
      <c r="FK4" s="73" t="e">
        <f ca="1">ranpoi(EJ4,(RAND()*FJ4))</f>
        <v>#VALUE!</v>
      </c>
      <c r="FL4" s="99" t="e">
        <f ca="1">IF((COUNTIF(EN4:EN5,EF4)+COUNTIF(ES4:ES5,EF4)+COUNTIF(EW4:EW5,EF4)+COUNTIF(FA4:FA5,EF4)+COUNTIF(FE4:FE5,EF4)+COUNTIF(FI4:FI5,EF4))=4,"",IF((COUNTIF(EN4:EN5,EF8)+COUNTIF(ES4:ES5,EF8)+COUNTIF(EW4:EW5,EF8)+COUNTIF(FA4:FA5,EF8)+COUNTIF(FE4:FE5,EF8)+COUNTIF(FI4:FI5,EF8))=4,"",IF(FH4&gt;FH8,EF4,EF8)))</f>
        <v>#VALUE!</v>
      </c>
      <c r="FM4" s="73" t="str">
        <f ca="1">IF((COUNTIF(EN4:EN5,EF4)+COUNTIF(ES4:ES5,EF4)+COUNTIF(EW4:EW5,EF4)+COUNTIF(FA4:FA5,EF4)+COUNTIF(FE4:FE5,EF4)+COUNTIF(FI4:FI5,EF4)+COUNTIF(FL4:FL5,EF4)&gt;COUNTIF(EN4:EN5,EF8)+COUNTIF(ES4:ES5,EF8)+COUNTIF(EW4:EW5,EF8)+COUNTIF(FA4:FA5,EF8)+COUNTIF(FE4:FE5,EF8)+COUNTIF(FI4:FI5,EF8)+COUNTIF(FL4:FL5,EF8)),EF4,EF8)</f>
        <v>Winnipeg</v>
      </c>
      <c r="FN4" s="75"/>
      <c r="FP4" s="73">
        <v>2</v>
      </c>
      <c r="FQ4" s="73" t="str">
        <f t="dataTable" ref="FQ4:FQ502" dt2D="0" dtr="0" r1="FP1" ca="1"/>
        <v>Winnipeg</v>
      </c>
    </row>
    <row r="5" spans="1:173">
      <c r="A5" s="73">
        <v>2</v>
      </c>
      <c r="B5" s="73" t="s">
        <v>457</v>
      </c>
      <c r="C5" s="73">
        <f>VLOOKUP(B5,Schedule!$A$2:$B$31,2,0)/100</f>
        <v>0.84439541672686491</v>
      </c>
      <c r="D5" s="73">
        <f>VLOOKUP(B5,'Team Stats'!$A$3:$H$32,7,0)</f>
        <v>3.01</v>
      </c>
      <c r="E5" s="73">
        <f>VLOOKUP(B5,'Team Stats'!$A$3:$H$32,8,0)</f>
        <v>2.25</v>
      </c>
      <c r="F5" s="74"/>
      <c r="H5" s="73">
        <v>8</v>
      </c>
      <c r="I5" s="73">
        <f t="shared" ref="I5:I11" si="0">VLOOKUP(H5,$A$4:$C$11,3,0)</f>
        <v>0.84918202417441924</v>
      </c>
      <c r="J5" s="73">
        <f t="shared" ref="J5:J11" si="1">VLOOKUP(H5,$A$4:$E$11,4,0)</f>
        <v>2.54</v>
      </c>
      <c r="K5" s="73">
        <f t="shared" ref="K5:K11" si="2">VLOOKUP(H5,$A$4:$E$11,5,0)</f>
        <v>2.38</v>
      </c>
      <c r="L5" s="73">
        <f>J5-(I2-K4)</f>
        <v>2.0643333333333334</v>
      </c>
      <c r="M5" s="95">
        <f t="shared" ref="M5:M10" ca="1" si="3">_xlfn.NORM.INV(RAND(),I5,$G$2*$H$2)</f>
        <v>0.83250394187915933</v>
      </c>
      <c r="N5" s="73">
        <f t="shared" ref="N5:N11" ca="1" si="4">ranpoi(L5,RAND()*M5)</f>
        <v>3</v>
      </c>
      <c r="O5" s="73">
        <f t="shared" ref="O5:O11" ca="1" si="5">IF(N5&gt;6,6,N5)</f>
        <v>3</v>
      </c>
      <c r="P5" s="99"/>
      <c r="Q5" s="73">
        <f ca="1">_xlfn.NORM.INV(RAND(),$I$5,$G$2*$H$2)</f>
        <v>0.90575731039836083</v>
      </c>
      <c r="R5" s="73">
        <f t="shared" ref="R5:R11" ca="1" si="6">ranpoi(L5,RAND()*M5)</f>
        <v>8</v>
      </c>
      <c r="S5" s="73">
        <f t="shared" ref="S5:S11" ca="1" si="7">IF(R5&gt;6,6,R5)</f>
        <v>6</v>
      </c>
      <c r="T5" s="99"/>
      <c r="U5" s="73">
        <f ca="1">_xlfn.NORM.INV(RAND(),$I$5,$G$2*$H$2)</f>
        <v>0.80351075053245502</v>
      </c>
      <c r="V5" s="73">
        <f t="shared" ref="V5:V11" ca="1" si="8">ranpoi(L5,RAND()*M5)</f>
        <v>1</v>
      </c>
      <c r="W5" s="73">
        <f t="shared" ref="W5:W11" ca="1" si="9">IF(V5&gt;6,6,V5)</f>
        <v>1</v>
      </c>
      <c r="X5" s="99"/>
      <c r="Y5" s="73">
        <f ca="1">_xlfn.NORM.INV(RAND(),$I$5,$G$2*$H$2)</f>
        <v>0.78865934772955615</v>
      </c>
      <c r="Z5" s="73">
        <f t="shared" ref="Z5:Z11" ca="1" si="10">ranpoi(L5,RAND()*M5)</f>
        <v>0</v>
      </c>
      <c r="AA5" s="73">
        <f t="shared" ref="AA5:AA11" ca="1" si="11">IF(Z5&gt;6,6,Z5)</f>
        <v>0</v>
      </c>
      <c r="AB5" s="99"/>
      <c r="AC5" s="73">
        <f ca="1">_xlfn.NORM.INV(RAND(),$I$5,$G$2*$H$2)</f>
        <v>0.85570392753059354</v>
      </c>
      <c r="AD5" s="73">
        <f t="shared" ref="AD5:AD11" ca="1" si="12">ranpoi(L5,RAND()*M5)</f>
        <v>0</v>
      </c>
      <c r="AE5" s="73">
        <f t="shared" ref="AE5:AE11" ca="1" si="13">IF(AD5&gt;6,6,AD5)</f>
        <v>0</v>
      </c>
      <c r="AF5" s="99"/>
      <c r="AG5" s="73">
        <f ca="1">_xlfn.NORM.INV(RAND(),$I$5,$G$2*$H$2)</f>
        <v>0.90319270420123177</v>
      </c>
      <c r="AH5" s="73">
        <f t="shared" ref="AH5:AH11" ca="1" si="14">ranpoi(L5,RAND()*M5)</f>
        <v>6</v>
      </c>
      <c r="AI5" s="73">
        <f t="shared" ref="AI5:AI11" ca="1" si="15">IF(AH5&gt;6,6,AH5)</f>
        <v>6</v>
      </c>
      <c r="AJ5" s="99"/>
      <c r="AK5" s="73">
        <f ca="1">_xlfn.NORM.INV(RAND(),$I$5,$G$2*$H$2)</f>
        <v>0.83681232359744173</v>
      </c>
      <c r="AL5" s="73">
        <f t="shared" ref="AL5:AL11" ca="1" si="16">ranpoi(L5,RAND()*M5)</f>
        <v>1</v>
      </c>
      <c r="AM5" s="73">
        <f t="shared" ref="AM5:AM11" ca="1" si="17">IF(AL5&gt;6,6,AL5)</f>
        <v>1</v>
      </c>
      <c r="AN5" s="99"/>
      <c r="AO5" s="75"/>
      <c r="AR5" s="72">
        <v>2</v>
      </c>
      <c r="AS5" s="73" t="str">
        <f t="dataTable" ref="AS5:AV103" dt2D="0" dtr="0" r1="AR1" ca="1"/>
        <v>Boston</v>
      </c>
      <c r="AT5" s="73" t="str">
        <v>NY Islanders</v>
      </c>
      <c r="AU5" s="73" t="str">
        <v>Tampa Bay</v>
      </c>
      <c r="AV5" s="75" t="str">
        <v>Washington</v>
      </c>
      <c r="AW5" s="72">
        <v>2</v>
      </c>
      <c r="AX5" s="73" t="str">
        <f t="dataTable" ref="AX5:BA103" dt2D="0" dtr="0" r1="AW1" ca="1"/>
        <v>Minnesota</v>
      </c>
      <c r="AY5" s="73" t="str">
        <v>Vancouver</v>
      </c>
      <c r="AZ5" s="73" t="str">
        <v>St. Louis</v>
      </c>
      <c r="BA5" s="75" t="str">
        <v>Winnipeg</v>
      </c>
      <c r="BI5" s="99"/>
      <c r="BM5" s="99"/>
      <c r="BQ5" s="99"/>
      <c r="BU5" s="99"/>
      <c r="BY5" s="99"/>
      <c r="CC5" s="99"/>
      <c r="CG5" s="99"/>
      <c r="CH5" s="75"/>
      <c r="CK5" s="72">
        <v>2</v>
      </c>
      <c r="CL5" s="73" t="str">
        <f t="dataTable" ref="CL5:CM103" dt2D="0" dtr="0" r1="CK1" ca="1"/>
        <v>NY Islanders</v>
      </c>
      <c r="CM5" s="75" t="str">
        <v>Detroit</v>
      </c>
      <c r="CN5" s="72">
        <v>2</v>
      </c>
      <c r="CO5" s="73" t="str">
        <f t="dataTable" ref="CO5:CP103" dt2D="0" dtr="0" r1="CL1" ca="1"/>
        <v>Vancouver</v>
      </c>
      <c r="CP5" s="75" t="str">
        <v>Winnipeg</v>
      </c>
      <c r="CQ5" s="72"/>
      <c r="CX5" s="99"/>
      <c r="DB5" s="99"/>
      <c r="DF5" s="99"/>
      <c r="DJ5" s="99"/>
      <c r="DN5" s="99"/>
      <c r="DR5" s="99"/>
      <c r="DV5" s="99"/>
      <c r="DW5" s="75"/>
      <c r="DZ5" s="72">
        <v>2</v>
      </c>
      <c r="EA5" s="73" t="str">
        <f t="dataTable" ref="EA5:EB503" dt2D="0" dtr="0" r1="EE1" ca="1"/>
        <v>Tampa Bay</v>
      </c>
      <c r="EB5" s="75" t="str">
        <v>Winnipeg</v>
      </c>
      <c r="EE5" s="72"/>
      <c r="EN5" s="99"/>
      <c r="ES5" s="99"/>
      <c r="EW5" s="99"/>
      <c r="FA5" s="99"/>
      <c r="FE5" s="99"/>
      <c r="FI5" s="99"/>
      <c r="FL5" s="99"/>
      <c r="FN5" s="75"/>
      <c r="FP5" s="73">
        <v>3</v>
      </c>
      <c r="FQ5" s="73" t="str">
        <v>Winnipeg</v>
      </c>
    </row>
    <row r="6" spans="1:173">
      <c r="A6" s="73">
        <v>3</v>
      </c>
      <c r="B6" s="73" t="s">
        <v>444</v>
      </c>
      <c r="C6" s="73">
        <f>VLOOKUP(B6,Schedule!$A$2:$B$31,2,0)/100</f>
        <v>0.84438445187368572</v>
      </c>
      <c r="D6" s="73">
        <f>VLOOKUP(B6,'Team Stats'!$A$3:$H$32,7,0)</f>
        <v>3.13</v>
      </c>
      <c r="E6" s="73">
        <f>VLOOKUP(B6,'Team Stats'!$A$3:$H$32,8,0)</f>
        <v>2.4900000000000002</v>
      </c>
      <c r="F6" s="74"/>
      <c r="G6" s="73">
        <v>2</v>
      </c>
      <c r="H6" s="73">
        <v>5</v>
      </c>
      <c r="I6" s="73">
        <f t="shared" si="0"/>
        <v>0.85372907708176415</v>
      </c>
      <c r="J6" s="73">
        <f t="shared" si="1"/>
        <v>2.92</v>
      </c>
      <c r="K6" s="73">
        <f t="shared" si="2"/>
        <v>2.69</v>
      </c>
      <c r="L6" s="73">
        <f>J6-(I2-K7)</f>
        <v>2.7243333333333335</v>
      </c>
      <c r="M6" s="95">
        <f t="shared" ca="1" si="3"/>
        <v>0.82271214783281388</v>
      </c>
      <c r="N6" s="73">
        <f t="shared" ca="1" si="4"/>
        <v>2</v>
      </c>
      <c r="O6" s="73">
        <f t="shared" ca="1" si="5"/>
        <v>2</v>
      </c>
      <c r="P6" s="99">
        <f t="shared" ref="P6:P10" ca="1" si="18">IF(O6&gt;O7,H6,H7)</f>
        <v>4</v>
      </c>
      <c r="Q6" s="73">
        <f ca="1">_xlfn.NORM.INV(RAND(),$I$6,$G$2*$H$2)</f>
        <v>0.87963700136760548</v>
      </c>
      <c r="R6" s="73">
        <f t="shared" ca="1" si="6"/>
        <v>5</v>
      </c>
      <c r="S6" s="73">
        <f t="shared" ca="1" si="7"/>
        <v>5</v>
      </c>
      <c r="T6" s="99">
        <f t="shared" ref="T6:T10" ca="1" si="19">IF(R6&gt;R7,H6,H7)</f>
        <v>5</v>
      </c>
      <c r="U6" s="73">
        <f ca="1">_xlfn.NORM.INV(RAND(),$I$6,$G$2*$H$2)</f>
        <v>0.84484028839416159</v>
      </c>
      <c r="V6" s="73">
        <f t="shared" ca="1" si="8"/>
        <v>3</v>
      </c>
      <c r="W6" s="73">
        <f t="shared" ca="1" si="9"/>
        <v>3</v>
      </c>
      <c r="X6" s="99">
        <f ca="1">IF(V6&gt;V7,H6,H7)</f>
        <v>5</v>
      </c>
      <c r="Y6" s="73">
        <f ca="1">_xlfn.NORM.INV(RAND(),$I$6,$G$2*$H$2)</f>
        <v>0.82446341665794876</v>
      </c>
      <c r="Z6" s="73">
        <f t="shared" ca="1" si="10"/>
        <v>3</v>
      </c>
      <c r="AA6" s="73">
        <f t="shared" ca="1" si="11"/>
        <v>3</v>
      </c>
      <c r="AB6" s="99">
        <f t="shared" ref="AB6:AB10" ca="1" si="20">IF(Z6&gt;Z7,H6,H7)</f>
        <v>4</v>
      </c>
      <c r="AC6" s="73">
        <f ca="1">_xlfn.NORM.INV(RAND(),$I$6,$G$2*$H$2)</f>
        <v>0.87757443551474623</v>
      </c>
      <c r="AD6" s="73">
        <f t="shared" ca="1" si="12"/>
        <v>13</v>
      </c>
      <c r="AE6" s="73">
        <f t="shared" ca="1" si="13"/>
        <v>6</v>
      </c>
      <c r="AF6" s="99">
        <f ca="1">IF((COUNTIF(P6:P7,4)+COUNTIF(T6:T7,4)+COUNTIF(X6:X7,4)+COUNTIF(AB6:AB7,4))=4,"",IF((COUNTIF(P6:P7,5)+COUNTIF(T6:T7,5)+COUNTIF(X6:X7,5)+COUNTIF(AB6:AB7,5))=4,"",IF(AE6&gt;AE7,H6,H7)))</f>
        <v>5</v>
      </c>
      <c r="AG6" s="73">
        <f ca="1">_xlfn.NORM.INV(RAND(),$I$6,$G$2*$H$2)</f>
        <v>0.86831965951705636</v>
      </c>
      <c r="AH6" s="73">
        <f t="shared" ca="1" si="14"/>
        <v>10</v>
      </c>
      <c r="AI6" s="73">
        <f t="shared" ca="1" si="15"/>
        <v>6</v>
      </c>
      <c r="AJ6" s="99">
        <f ca="1">IF((COUNTIF(P6:P7,4)+COUNTIF(T6:T7,4)+COUNTIF(X6:X7,4)+COUNTIF(AB6:AB7,4)+COUNTIF(AF6:AF7,5))=4,"",IF((COUNTIF(P6:P7,5)+COUNTIF(T6:T7,5)+COUNTIF(X6:X7,5)+COUNTIF(AB6:AB7,5)+COUNTIF(AF6:AF7,5))=4,"",IF(AI6&gt;AI7,H6,H7)))</f>
        <v>5</v>
      </c>
      <c r="AK6" s="73">
        <f ca="1">_xlfn.NORM.INV(RAND(),$I$6,$G$2*$H$2)</f>
        <v>0.82287985558263643</v>
      </c>
      <c r="AL6" s="73">
        <f t="shared" ca="1" si="16"/>
        <v>1</v>
      </c>
      <c r="AM6" s="73">
        <f t="shared" ca="1" si="17"/>
        <v>1</v>
      </c>
      <c r="AN6" s="99" t="str">
        <f ca="1">IF((COUNTIF(P6:P7,4)+COUNTIF(T6:T7,4)+COUNTIF(X6:X7,4)+COUNTIF(AB6:AB7,4)+COUNTIF(AF6:AF7,4)+COUNTIF(AJ6:AJ7,4))=4,"",IF((COUNTIF(P6:P7,5)+COUNTIF(T6:T7,5)+COUNTIF(X6:X7,5)+COUNTIF(AB6:AB7,5)+COUNTIF(AF6:AF7,5)+COUNTIF(AJ6:AJ7,5))=4,"",IF(AM6&gt;AM7,H6,H7)))</f>
        <v/>
      </c>
      <c r="AO6" s="75">
        <f ca="1">IF((COUNTIF(P6:P7,4)+COUNTIF(T6:T7,4)+COUNTIF(X6:X7,4)+COUNTIF(AB6:AB7,4)+COUNTIF(AF6:AF7,4)+COUNTIF(AJ6:AJ7,4)+COUNTIF(AN6:AN7,4)&gt;COUNTIF(P6:P7,5)+COUNTIF(T6:T7,5)+COUNTIF(X6:X7,5)+COUNTIF(AB6:AB7,5)+COUNTIF(AF6:AF7,5)+COUNTIF(AJ6:AJ7,5)+COUNTIF(AN6:AN7,5)),H6,H7)</f>
        <v>4</v>
      </c>
      <c r="AP6" s="73" t="str">
        <f t="shared" ref="AP6:AP10" ca="1" si="21">VLOOKUP(AO6,$A$4:$E$11,2,0)</f>
        <v>Pittsburgh</v>
      </c>
      <c r="AQ6" s="73">
        <f t="shared" ref="AQ6:AQ10" ca="1" si="22">7-(COUNTIF(P6,"")+COUNTIF(T6,"")+COUNTIF(X6,"")+COUNTIF(AB6,"")+COUNTIF(AF6,"")+COUNTIF(AJ6,"")+COUNTIF(AN6,""))</f>
        <v>6</v>
      </c>
      <c r="AR6" s="72">
        <v>3</v>
      </c>
      <c r="AS6" s="73" t="str">
        <v>Montreal</v>
      </c>
      <c r="AT6" s="73" t="str">
        <v>NY Islanders</v>
      </c>
      <c r="AU6" s="73" t="str">
        <v>Tampa Bay</v>
      </c>
      <c r="AV6" s="75" t="str">
        <v>NY Rangers</v>
      </c>
      <c r="AW6" s="72">
        <v>3</v>
      </c>
      <c r="AX6" s="73" t="str">
        <v>Minnesota</v>
      </c>
      <c r="AY6" s="73" t="str">
        <v>Vancouver</v>
      </c>
      <c r="AZ6" s="73" t="str">
        <v>St. Louis</v>
      </c>
      <c r="BA6" s="75" t="str">
        <v>Winnipeg</v>
      </c>
      <c r="BB6" s="73">
        <f t="shared" ref="BB6:BB10" ca="1" si="23">VLOOKUP(AO6,$A$4:$E$11,3,0)</f>
        <v>0.84703329894020341</v>
      </c>
      <c r="BC6" s="73">
        <f t="shared" ref="BC6:BC10" ca="1" si="24">VLOOKUP(AO6,$A$4:$L$11,4,0)</f>
        <v>2.63</v>
      </c>
      <c r="BD6" s="73">
        <f t="shared" ref="BD6:BD10" ca="1" si="25">VLOOKUP(AO6,$A$4:$L$11,5,0)</f>
        <v>2.4700000000000002</v>
      </c>
      <c r="BE6" s="73">
        <f ca="1">BC6-(I2-BD4)</f>
        <v>2.3443333333333332</v>
      </c>
      <c r="BF6" s="73">
        <f ca="1">_xlfn.NORM.INV(RAND(),BB6,$G$2*$H$2)</f>
        <v>0.83937486286421703</v>
      </c>
      <c r="BG6" s="73">
        <f ca="1">ranpoi(L6,RAND()*BF6)</f>
        <v>12</v>
      </c>
      <c r="BH6" s="73">
        <f t="shared" ref="BH6:BH10" ca="1" si="26">IF(BG6&gt;6,6,BG6)</f>
        <v>6</v>
      </c>
      <c r="BI6" s="99"/>
      <c r="BJ6" s="73">
        <f ca="1">_xlfn.NORM.INV(RAND(),BB6,$G$2*$H$2)</f>
        <v>0.82280975370267728</v>
      </c>
      <c r="BK6" s="73">
        <f t="shared" ref="BK6:BK10" ca="1" si="27">ranpoi(BE6,RAND()*BJ6)</f>
        <v>4</v>
      </c>
      <c r="BL6" s="73">
        <f t="shared" ref="BL6:BL10" ca="1" si="28">IF(BK6&gt;6,6,BK6)</f>
        <v>4</v>
      </c>
      <c r="BM6" s="99"/>
      <c r="BN6" s="73">
        <f t="shared" ref="BN6:BN10" ca="1" si="29">_xlfn.NORM.INV(RAND(),BB6,$G$2*$H$2)</f>
        <v>0.94632255070175975</v>
      </c>
      <c r="BO6" s="73">
        <f t="shared" ref="BO6:BO10" ca="1" si="30">ranpoi(BE6,RAND()*BN6)</f>
        <v>40</v>
      </c>
      <c r="BP6" s="73">
        <f t="shared" ref="BP6:BP10" ca="1" si="31">IF(BO6&gt;6,6,BO6)</f>
        <v>6</v>
      </c>
      <c r="BQ6" s="99"/>
      <c r="BR6" s="73">
        <f t="shared" ref="BR6:BR10" ca="1" si="32">_xlfn.NORM.INV(RAND(),BB6,$G$2*$H$2)</f>
        <v>0.9033489460207722</v>
      </c>
      <c r="BS6" s="73">
        <f t="shared" ref="BS6:BS10" ca="1" si="33">ranpoi(BE6,RAND()*BR6)</f>
        <v>6</v>
      </c>
      <c r="BT6" s="73">
        <f t="shared" ref="BT6:BT10" ca="1" si="34">IF(BS6&gt;6,6,BS6)</f>
        <v>6</v>
      </c>
      <c r="BU6" s="99"/>
      <c r="BV6" s="73">
        <f t="shared" ref="BV6:BV10" ca="1" si="35">_xlfn.NORM.INV(RAND(),BB6,$G$2*$H$2)</f>
        <v>0.81284354135050119</v>
      </c>
      <c r="BW6" s="73">
        <f t="shared" ref="BW6:BW10" ca="1" si="36">ranpoi(BE6,RAND()*BV6)</f>
        <v>1</v>
      </c>
      <c r="BX6" s="73">
        <f t="shared" ref="BX6:BX10" ca="1" si="37">IF(BW6&gt;6,6,BW6)</f>
        <v>1</v>
      </c>
      <c r="BY6" s="99"/>
      <c r="BZ6" s="73">
        <f t="shared" ref="BZ6:BZ10" ca="1" si="38">_xlfn.NORM.INV(RAND(),BB6,$G$2*$H$2)</f>
        <v>0.86630911521421927</v>
      </c>
      <c r="CA6" s="73">
        <f t="shared" ref="CA6:CA10" ca="1" si="39">ranpoi(BE6,RAND())</f>
        <v>5</v>
      </c>
      <c r="CB6" s="73">
        <f t="shared" ref="CB6:CB10" ca="1" si="40">IF(CA6&gt;6,6,CA6)</f>
        <v>5</v>
      </c>
      <c r="CC6" s="99"/>
      <c r="CD6" s="73">
        <f t="shared" ref="CD6:CD10" ca="1" si="41">_xlfn.NORM.INV(RAND(),BB6,$G$2*$H$2)</f>
        <v>0.85213876883012241</v>
      </c>
      <c r="CE6" s="73">
        <f t="shared" ref="CE6:CE10" ca="1" si="42">ranpoi(BE6,RAND())</f>
        <v>7</v>
      </c>
      <c r="CF6" s="73">
        <f t="shared" ref="CF6:CF10" ca="1" si="43">IF(CE6&gt;6,6,CE6)</f>
        <v>6</v>
      </c>
      <c r="CG6" s="99"/>
      <c r="CH6" s="75"/>
      <c r="CK6" s="72">
        <v>3</v>
      </c>
      <c r="CL6" s="73" t="str">
        <v>NY Islanders</v>
      </c>
      <c r="CM6" s="75" t="str">
        <v>Detroit</v>
      </c>
      <c r="CN6" s="72">
        <v>3</v>
      </c>
      <c r="CO6" s="73" t="str">
        <v>Vancouver</v>
      </c>
      <c r="CP6" s="75" t="str">
        <v>Winnipeg</v>
      </c>
      <c r="CQ6" s="72"/>
      <c r="CX6" s="99"/>
      <c r="DB6" s="99"/>
      <c r="DF6" s="99"/>
      <c r="DJ6" s="99"/>
      <c r="DN6" s="99"/>
      <c r="DR6" s="99"/>
      <c r="DV6" s="99"/>
      <c r="DW6" s="75"/>
      <c r="DZ6" s="72">
        <v>3</v>
      </c>
      <c r="EA6" s="73" t="str">
        <v>Tampa Bay</v>
      </c>
      <c r="EB6" s="75" t="str">
        <v>Winnipeg</v>
      </c>
      <c r="EE6" s="72"/>
      <c r="EN6" s="99"/>
      <c r="ES6" s="99"/>
      <c r="EW6" s="99"/>
      <c r="FA6" s="99"/>
      <c r="FE6" s="99"/>
      <c r="FI6" s="99"/>
      <c r="FL6" s="99"/>
      <c r="FN6" s="75"/>
      <c r="FP6" s="73">
        <v>4</v>
      </c>
      <c r="FQ6" s="73" t="str">
        <v>Winnipeg</v>
      </c>
    </row>
    <row r="7" spans="1:173">
      <c r="A7" s="73">
        <v>4</v>
      </c>
      <c r="B7" s="73" t="s">
        <v>445</v>
      </c>
      <c r="C7" s="73">
        <f>VLOOKUP(B7,Schedule!$A$2:$B$31,2,0)/100</f>
        <v>0.84703329894020341</v>
      </c>
      <c r="D7" s="73">
        <f>VLOOKUP(B7,'Team Stats'!$A$3:$H$32,7,0)</f>
        <v>2.63</v>
      </c>
      <c r="E7" s="73">
        <f>VLOOKUP(B7,'Team Stats'!$A$3:$H$32,8,0)</f>
        <v>2.4700000000000002</v>
      </c>
      <c r="F7" s="74"/>
      <c r="H7" s="73">
        <v>4</v>
      </c>
      <c r="I7" s="73">
        <f t="shared" si="0"/>
        <v>0.84703329894020341</v>
      </c>
      <c r="J7" s="73">
        <f t="shared" si="1"/>
        <v>2.63</v>
      </c>
      <c r="K7" s="73">
        <f t="shared" si="2"/>
        <v>2.4700000000000002</v>
      </c>
      <c r="L7" s="73">
        <f>J7-(I2-K6)</f>
        <v>2.6543333333333332</v>
      </c>
      <c r="M7" s="95">
        <f t="shared" ca="1" si="3"/>
        <v>0.90433891564617896</v>
      </c>
      <c r="N7" s="73">
        <f t="shared" ca="1" si="4"/>
        <v>3</v>
      </c>
      <c r="O7" s="73">
        <f t="shared" ca="1" si="5"/>
        <v>3</v>
      </c>
      <c r="P7" s="99"/>
      <c r="Q7" s="73">
        <f ca="1">_xlfn.NORM.INV(RAND(),$I$7,$G$2*$H$2)</f>
        <v>0.87336930258276668</v>
      </c>
      <c r="R7" s="73">
        <f t="shared" ca="1" si="6"/>
        <v>4</v>
      </c>
      <c r="S7" s="73">
        <f t="shared" ca="1" si="7"/>
        <v>4</v>
      </c>
      <c r="T7" s="99"/>
      <c r="U7" s="73">
        <f ca="1">_xlfn.NORM.INV(RAND(),$I$7,$G$2*$H$2)</f>
        <v>0.85171947905811496</v>
      </c>
      <c r="V7" s="73">
        <f t="shared" ca="1" si="8"/>
        <v>1</v>
      </c>
      <c r="W7" s="73">
        <f t="shared" ca="1" si="9"/>
        <v>1</v>
      </c>
      <c r="X7" s="99"/>
      <c r="Y7" s="73">
        <f ca="1">_xlfn.NORM.INV(RAND(),$I$7,$G$2*$H$2)</f>
        <v>0.8096024204251534</v>
      </c>
      <c r="Z7" s="73">
        <f t="shared" ca="1" si="10"/>
        <v>12</v>
      </c>
      <c r="AA7" s="73">
        <f t="shared" ca="1" si="11"/>
        <v>6</v>
      </c>
      <c r="AB7" s="99"/>
      <c r="AC7" s="73">
        <f ca="1">_xlfn.NORM.INV(RAND(),$I$7,$G$2*$H$2)</f>
        <v>0.85782933232365721</v>
      </c>
      <c r="AD7" s="73">
        <f t="shared" ca="1" si="12"/>
        <v>0</v>
      </c>
      <c r="AE7" s="73">
        <f t="shared" ca="1" si="13"/>
        <v>0</v>
      </c>
      <c r="AF7" s="99"/>
      <c r="AG7" s="73">
        <f ca="1">_xlfn.NORM.INV(RAND(),$I$7,$G$2*$H$2)</f>
        <v>0.84190525986704168</v>
      </c>
      <c r="AH7" s="73">
        <f t="shared" ca="1" si="14"/>
        <v>1</v>
      </c>
      <c r="AI7" s="73">
        <f t="shared" ca="1" si="15"/>
        <v>1</v>
      </c>
      <c r="AJ7" s="99"/>
      <c r="AK7" s="73">
        <f ca="1">_xlfn.NORM.INV(RAND(),$I$7,$G$2*$H$2)</f>
        <v>0.86610667887576764</v>
      </c>
      <c r="AL7" s="73">
        <f t="shared" ca="1" si="16"/>
        <v>7</v>
      </c>
      <c r="AM7" s="73">
        <f t="shared" ca="1" si="17"/>
        <v>6</v>
      </c>
      <c r="AN7" s="99"/>
      <c r="AO7" s="75"/>
      <c r="AR7" s="72">
        <v>4</v>
      </c>
      <c r="AS7" s="73" t="str">
        <v>Boston</v>
      </c>
      <c r="AT7" s="73" t="str">
        <v>NY Islanders</v>
      </c>
      <c r="AU7" s="73" t="str">
        <v>Tampa Bay</v>
      </c>
      <c r="AV7" s="75" t="str">
        <v>NY Rangers</v>
      </c>
      <c r="AW7" s="72">
        <v>4</v>
      </c>
      <c r="AX7" s="73" t="str">
        <v>Minnesota</v>
      </c>
      <c r="AY7" s="73" t="str">
        <v>Vancouver</v>
      </c>
      <c r="AZ7" s="73" t="str">
        <v>St. Louis</v>
      </c>
      <c r="BA7" s="75" t="str">
        <v>Winnipeg</v>
      </c>
      <c r="BI7" s="99"/>
      <c r="BM7" s="99"/>
      <c r="BQ7" s="99"/>
      <c r="BU7" s="99"/>
      <c r="BY7" s="99"/>
      <c r="CC7" s="99"/>
      <c r="CG7" s="99"/>
      <c r="CH7" s="75"/>
      <c r="CK7" s="72">
        <v>4</v>
      </c>
      <c r="CL7" s="73" t="str">
        <v>Pittsburgh</v>
      </c>
      <c r="CM7" s="75" t="str">
        <v>Tampa Bay</v>
      </c>
      <c r="CN7" s="72">
        <v>4</v>
      </c>
      <c r="CO7" s="73" t="str">
        <v>Vancouver</v>
      </c>
      <c r="CP7" s="75" t="str">
        <v>Winnipeg</v>
      </c>
      <c r="CQ7" s="72"/>
      <c r="CX7" s="99"/>
      <c r="DB7" s="99"/>
      <c r="DF7" s="99"/>
      <c r="DJ7" s="99"/>
      <c r="DN7" s="99"/>
      <c r="DR7" s="99"/>
      <c r="DV7" s="99"/>
      <c r="DW7" s="75"/>
      <c r="DZ7" s="72">
        <v>4</v>
      </c>
      <c r="EA7" s="73" t="str">
        <v>Tampa Bay</v>
      </c>
      <c r="EB7" s="75" t="str">
        <v>Winnipeg</v>
      </c>
      <c r="EE7" s="72"/>
      <c r="EN7" s="99"/>
      <c r="ES7" s="99"/>
      <c r="EW7" s="99"/>
      <c r="FA7" s="99"/>
      <c r="FE7" s="99"/>
      <c r="FI7" s="99"/>
      <c r="FL7" s="99"/>
      <c r="FN7" s="75"/>
      <c r="FP7" s="73">
        <v>5</v>
      </c>
      <c r="FQ7" s="73" t="str">
        <v>Winnipeg</v>
      </c>
    </row>
    <row r="8" spans="1:173" ht="15.75" thickBot="1">
      <c r="A8" s="73">
        <v>5</v>
      </c>
      <c r="B8" s="73" t="s">
        <v>458</v>
      </c>
      <c r="C8" s="73">
        <f>VLOOKUP(B8,Schedule!$A$2:$B$31,2,0)/100</f>
        <v>0.85372907708176415</v>
      </c>
      <c r="D8" s="73">
        <f>VLOOKUP(B8,'Team Stats'!$A$3:$H$32,7,0)</f>
        <v>2.92</v>
      </c>
      <c r="E8" s="73">
        <f>VLOOKUP(B8,'Team Stats'!$A$3:$H$32,8,0)</f>
        <v>2.69</v>
      </c>
      <c r="F8" s="74"/>
      <c r="G8" s="73">
        <v>3</v>
      </c>
      <c r="H8" s="73">
        <v>6</v>
      </c>
      <c r="I8" s="73">
        <f t="shared" si="0"/>
        <v>0.84854221314066169</v>
      </c>
      <c r="J8" s="73">
        <f t="shared" si="1"/>
        <v>2.77</v>
      </c>
      <c r="K8" s="73">
        <f t="shared" si="2"/>
        <v>2.54</v>
      </c>
      <c r="L8" s="73">
        <f>J8-(I2-K9)</f>
        <v>2.5943333333333336</v>
      </c>
      <c r="M8" s="95">
        <f t="shared" ca="1" si="3"/>
        <v>0.82783618202726972</v>
      </c>
      <c r="N8" s="73">
        <f t="shared" ca="1" si="4"/>
        <v>7</v>
      </c>
      <c r="O8" s="73">
        <f t="shared" ca="1" si="5"/>
        <v>6</v>
      </c>
      <c r="P8" s="99">
        <f t="shared" ca="1" si="18"/>
        <v>3</v>
      </c>
      <c r="Q8" s="73">
        <f ca="1">_xlfn.NORM.INV(RAND(),$I$8,$G$2*$H$2)</f>
        <v>0.87617638397395592</v>
      </c>
      <c r="R8" s="73">
        <f t="shared" ca="1" si="6"/>
        <v>2</v>
      </c>
      <c r="S8" s="73">
        <f t="shared" ca="1" si="7"/>
        <v>2</v>
      </c>
      <c r="T8" s="99">
        <f t="shared" ca="1" si="19"/>
        <v>3</v>
      </c>
      <c r="U8" s="73">
        <f ca="1">_xlfn.NORM.INV(RAND(),$I$8,$G$2*$H$2)</f>
        <v>0.78951077636128608</v>
      </c>
      <c r="V8" s="73">
        <f t="shared" ca="1" si="8"/>
        <v>1</v>
      </c>
      <c r="W8" s="73">
        <f t="shared" ca="1" si="9"/>
        <v>1</v>
      </c>
      <c r="X8" s="99">
        <f t="shared" ref="X8:X10" ca="1" si="44">IF(V8&gt;V9,H8,H9)</f>
        <v>3</v>
      </c>
      <c r="Y8" s="73">
        <f ca="1">_xlfn.NORM.INV(RAND(),$I$8,$G$2*$H$2)</f>
        <v>0.91705356979916397</v>
      </c>
      <c r="Z8" s="73">
        <f t="shared" ca="1" si="10"/>
        <v>2</v>
      </c>
      <c r="AA8" s="73">
        <f t="shared" ca="1" si="11"/>
        <v>2</v>
      </c>
      <c r="AB8" s="99">
        <f t="shared" ca="1" si="20"/>
        <v>3</v>
      </c>
      <c r="AC8" s="73">
        <f ca="1">_xlfn.NORM.INV(RAND(),$I$8,$G$2*$H$2)</f>
        <v>0.84839883406283867</v>
      </c>
      <c r="AD8" s="73">
        <f t="shared" ca="1" si="12"/>
        <v>2</v>
      </c>
      <c r="AE8" s="73">
        <f t="shared" ca="1" si="13"/>
        <v>2</v>
      </c>
      <c r="AF8" s="99" t="str">
        <f ca="1">IF((COUNTIF(P8:P9,6)+COUNTIF(T8:T9,6)+COUNTIF(X8:X9,6)+COUNTIF(AB8:AB9,6))=4,"",IF((COUNTIF(P8:P9,3)+COUNTIF(T8:T9,3)+COUNTIF(X8:X9,3)+COUNTIF(AB8:AB9,3))=4,"",IF(AE8&gt;AE9,H8,H9)))</f>
        <v/>
      </c>
      <c r="AG8" s="73">
        <f ca="1">_xlfn.NORM.INV(RAND(),$I$8,$G$2*$H$2)</f>
        <v>0.86598972584394984</v>
      </c>
      <c r="AH8" s="73">
        <f t="shared" ca="1" si="14"/>
        <v>1</v>
      </c>
      <c r="AI8" s="73">
        <f t="shared" ca="1" si="15"/>
        <v>1</v>
      </c>
      <c r="AJ8" s="99" t="str">
        <f ca="1">IF((COUNTIF(P8:P9,6)+COUNTIF(T8:T9,6)+COUNTIF(X8:X9,6)+COUNTIF(AB8:AB9,6)+COUNTIF(AF8:AF9,6))=4,"",IF((COUNTIF(P8:P9,3)+COUNTIF(T8:T9,3)+COUNTIF(X8:X9,3)+COUNTIF(AB8:AB9,3)+COUNTIF(AF8:AF9,3))=4,"",IF(AI8&gt;AI9,H8,H9)))</f>
        <v/>
      </c>
      <c r="AK8" s="73">
        <f ca="1">_xlfn.NORM.INV(RAND(),$I$8,$G$2*$H$2)</f>
        <v>0.8335322060277458</v>
      </c>
      <c r="AL8" s="73">
        <f t="shared" ca="1" si="16"/>
        <v>0</v>
      </c>
      <c r="AM8" s="73">
        <f t="shared" ca="1" si="17"/>
        <v>0</v>
      </c>
      <c r="AN8" s="99" t="str">
        <f ca="1">IF((COUNTIF(P8:P9,6)+COUNTIF(T8:T9,6)+COUNTIF(X8:X9,6)+COUNTIF(AB8:AB9,6)+COUNTIF(AF8:AF9,6)+COUNTIF(AJ8:AJ9,6))=4,"",IF((COUNTIF(P8:P9,3)+COUNTIF(T8:T9,3)+COUNTIF(X8:X9,3)+COUNTIF(AB8:AB9,3)+COUNTIF(AF8:AF9,3)+COUNTIF(AJ8:AJ9,3))=4,"",IF(AM8&gt;AM9,H8,H9)))</f>
        <v/>
      </c>
      <c r="AO8" s="75">
        <f ca="1">IF((COUNTIF(P8:P9,6)+COUNTIF(T8:T9,6)+COUNTIF(X8:X9,6)+COUNTIF(AB8:AB9,6)+COUNTIF(AF8:AF9,6)+COUNTIF(AJ8:AJ9,6)+COUNTIF(AN8:AN9,6)&gt;COUNTIF(P8:P9,3)+COUNTIF(T8:T9,3)+COUNTIF(X8:X9,3)+COUNTIF(AB8:AB9,3)+COUNTIF(AF8:AF9,3)+COUNTIF(AJ8:AJ9,3)+COUNTIF(AN8:AN9,3)),H8,H9)</f>
        <v>3</v>
      </c>
      <c r="AP8" s="73" t="str">
        <f t="shared" ca="1" si="21"/>
        <v>Tampa Bay</v>
      </c>
      <c r="AQ8" s="73">
        <f t="shared" ca="1" si="22"/>
        <v>4</v>
      </c>
      <c r="AR8" s="72">
        <v>5</v>
      </c>
      <c r="AS8" s="73" t="str">
        <v>Boston</v>
      </c>
      <c r="AT8" s="73" t="str">
        <v>Pittsburgh</v>
      </c>
      <c r="AU8" s="73" t="str">
        <v>Detroit</v>
      </c>
      <c r="AV8" s="75" t="str">
        <v>Washington</v>
      </c>
      <c r="AW8" s="72">
        <v>5</v>
      </c>
      <c r="AX8" s="73" t="str">
        <v>Minnesota</v>
      </c>
      <c r="AY8" s="73" t="str">
        <v>Vancouver</v>
      </c>
      <c r="AZ8" s="73" t="str">
        <v>St. Louis</v>
      </c>
      <c r="BA8" s="75" t="str">
        <v>Winnipeg</v>
      </c>
      <c r="BB8" s="73">
        <f t="shared" ca="1" si="23"/>
        <v>0.84438445187368572</v>
      </c>
      <c r="BC8" s="73">
        <f t="shared" ca="1" si="24"/>
        <v>3.13</v>
      </c>
      <c r="BD8" s="73">
        <f t="shared" ca="1" si="25"/>
        <v>2.4900000000000002</v>
      </c>
      <c r="BE8" s="73">
        <f ca="1">BC8-(I2-BD10)</f>
        <v>2.7143333333333333</v>
      </c>
      <c r="BF8" s="73">
        <f ca="1">_xlfn.NORM.INV(RAND(),BB8,$G$2*$H$2)</f>
        <v>0.83439111234157692</v>
      </c>
      <c r="BG8" s="73">
        <f ca="1">ranpoi(L8,RAND()*BF8)</f>
        <v>2</v>
      </c>
      <c r="BH8" s="73">
        <f t="shared" ca="1" si="26"/>
        <v>2</v>
      </c>
      <c r="BI8" s="99">
        <f ca="1">IF(BH8&gt;BH10,AO8,AO10)</f>
        <v>3</v>
      </c>
      <c r="BJ8" s="73">
        <f t="shared" ref="BJ8:BJ10" ca="1" si="45">_xlfn.NORM.INV(RAND(),BB8,$G$2*$H$2)</f>
        <v>0.83403376476889068</v>
      </c>
      <c r="BK8" s="73">
        <f t="shared" ca="1" si="27"/>
        <v>2</v>
      </c>
      <c r="BL8" s="73">
        <f t="shared" ca="1" si="28"/>
        <v>2</v>
      </c>
      <c r="BM8" s="99">
        <f ca="1">IF(BL8&gt;BL10,AO8,AO10)</f>
        <v>3</v>
      </c>
      <c r="BN8" s="73">
        <f t="shared" ca="1" si="29"/>
        <v>0.81034164644049222</v>
      </c>
      <c r="BO8" s="73">
        <f t="shared" ca="1" si="30"/>
        <v>0</v>
      </c>
      <c r="BP8" s="73">
        <f t="shared" ca="1" si="31"/>
        <v>0</v>
      </c>
      <c r="BQ8" s="99">
        <f t="shared" ref="BQ8" ca="1" si="46">IF(BP8&gt;BP10,AO8,AO10)</f>
        <v>2</v>
      </c>
      <c r="BR8" s="73">
        <f t="shared" ca="1" si="32"/>
        <v>0.83159357216484453</v>
      </c>
      <c r="BS8" s="73">
        <f t="shared" ca="1" si="33"/>
        <v>3</v>
      </c>
      <c r="BT8" s="73">
        <f t="shared" ca="1" si="34"/>
        <v>3</v>
      </c>
      <c r="BU8" s="99">
        <f t="shared" ref="BU8" ca="1" si="47">IF(BT8&gt;BT10,AO8,AO10)</f>
        <v>3</v>
      </c>
      <c r="BV8" s="73">
        <f t="shared" ca="1" si="35"/>
        <v>0.87633141227592071</v>
      </c>
      <c r="BW8" s="73">
        <f t="shared" ca="1" si="36"/>
        <v>1</v>
      </c>
      <c r="BX8" s="73">
        <f t="shared" ca="1" si="37"/>
        <v>1</v>
      </c>
      <c r="BY8" s="99">
        <f ca="1">IF((COUNTIF(BI8:BI9,AO8)+COUNTIF(BM8:BM9,AO8)+COUNTIF(BQ8:BQ9,AO8)+COUNTIF(BU8:BU9,AO8))=4,"",IF((COUNTIF(BI8:BI9,AO10)+COUNTIF(BM8:BM9,AO10)+COUNTIF(BQ8:BQ9,AO10)+COUNTIF(BU8:BU9,AO10))=4,"",IF(BX8&gt;BX10,AO8,AO10)))</f>
        <v>3</v>
      </c>
      <c r="BZ8" s="73">
        <f t="shared" ca="1" si="38"/>
        <v>0.85186043842772097</v>
      </c>
      <c r="CA8" s="73">
        <f t="shared" ca="1" si="39"/>
        <v>15</v>
      </c>
      <c r="CB8" s="73">
        <f t="shared" ca="1" si="40"/>
        <v>6</v>
      </c>
      <c r="CC8" s="99" t="str">
        <f t="shared" ref="CC8" ca="1" si="48">IF((COUNTIF(BI8:BI9,AO8)+COUNTIF(BM8:BM9,AO8)+COUNTIF(BQ8:BQ9,AO8)+COUNTIF(BU8:BU9,AO8)+COUNTIF(BY8:BY9,AO8))=4,"",IF((COUNTIF(BI8:BI9,AO10)+COUNTIF(BM8:BM9,AO10)+COUNTIF(BQ8:BQ9,AO10)+COUNTIF(BU8:BU9,AO10)+COUNTIF(BY8:BY9,AO10))=4,"",IF(CB8&gt;CB10,AO8,AO10)))</f>
        <v/>
      </c>
      <c r="CD8" s="73">
        <f t="shared" ca="1" si="41"/>
        <v>0.89429973663294215</v>
      </c>
      <c r="CE8" s="73">
        <f t="shared" ca="1" si="42"/>
        <v>0</v>
      </c>
      <c r="CF8" s="73">
        <f t="shared" ca="1" si="43"/>
        <v>0</v>
      </c>
      <c r="CG8" s="99" t="str">
        <f ca="1">IF((COUNTIF(BI8:BI9,AO8)+COUNTIF(BM8:BM9,AO8)+COUNTIF(BQ8:BQ9,AO8)+COUNTIF(BU8:BU9,AO8)+COUNTIF(BY8:BY9,AO8)+COUNTIF(CC8:CC9,AO8))=4,"",IF((COUNTIF(BI8:BI9,AO10)+COUNTIF(BM8:BM9,AO10)+COUNTIF(BQ8:BQ9,AO10)+COUNTIF(BU8:BU9,AO10)+COUNTIF(BY8:BY9,AO10)+COUNTIF(CC8:CC9,AO10))=4,"",IF(CB8&gt;CB10,AO8,AO10)))</f>
        <v/>
      </c>
      <c r="CH8" s="75">
        <f ca="1">IF((COUNTIF(BI8:BI9,AO8)+COUNTIF(BM8:BM9,AO8)+COUNTIF(BQ8:BQ9,AO8)+COUNTIF(BU8:BU9,AO8)+COUNTIF(BY8:BY9,AO8)+COUNTIF(CC8:CC9,AO8)+COUNTIF(CG8:CG9,AO8)&gt;COUNTIF(BI8:BI9,AO10)+COUNTIF(BM8:BM9,AO10)+COUNTIF(BQ8:BQ9,AO10)+COUNTIF(BU8:BU9,AO10)+COUNTIF(BY8:BY9,AO10)+COUNTIF(CC8:CC9,AO10)+COUNTIF(CG8:CG9,AO10)),AO8,AO10)</f>
        <v>3</v>
      </c>
      <c r="CI8" s="73" t="str">
        <f t="shared" ref="CI8" ca="1" si="49">VLOOKUP(CH8,$A$4:$E$11,2,0)</f>
        <v>Tampa Bay</v>
      </c>
      <c r="CJ8" s="73">
        <f ca="1">7-(COUNTIF(BI8,"")+COUNTIF(BM8,"")+COUNTIF(BQ8,"")+COUNTIF(BU8,"")+COUNTIF(BY8,"")+COUNTIF(CC8,"")+COUNTIF(CG8,""))</f>
        <v>5</v>
      </c>
      <c r="CK8" s="72">
        <v>5</v>
      </c>
      <c r="CL8" s="73" t="str">
        <v>Boston</v>
      </c>
      <c r="CM8" s="75" t="str">
        <v>Tampa Bay</v>
      </c>
      <c r="CN8" s="72">
        <v>5</v>
      </c>
      <c r="CO8" s="73" t="str">
        <v>Vancouver</v>
      </c>
      <c r="CP8" s="75" t="str">
        <v>Winnipeg</v>
      </c>
      <c r="CQ8" s="72">
        <f ca="1">VLOOKUP(CH8,$A$4:$E$11,3,0)</f>
        <v>0.84438445187368572</v>
      </c>
      <c r="CR8" s="73">
        <f ca="1">VLOOKUP(CH8,$A$4:$E$11,4,0)</f>
        <v>3.13</v>
      </c>
      <c r="CS8" s="73">
        <f ca="1">VLOOKUP(CH8,$A$4:$E$11,5,0)</f>
        <v>2.4900000000000002</v>
      </c>
      <c r="CT8" s="73">
        <f ca="1">CR8-(I2-CS4)</f>
        <v>2.9343333333333335</v>
      </c>
      <c r="CU8" s="73">
        <f ca="1">_xlfn.NORM.INV(RAND(),$I$8,$G$2*$H$2)</f>
        <v>0.86310243127461561</v>
      </c>
      <c r="CV8" s="73">
        <f t="shared" ref="CV8" ca="1" si="50">ranpoi(CT8,(RAND()*CU8))</f>
        <v>0</v>
      </c>
      <c r="CW8" s="73">
        <f t="shared" ref="CW8" ca="1" si="51">IF(CV8&gt;6,6,CV8)</f>
        <v>0</v>
      </c>
      <c r="CX8" s="99"/>
      <c r="CY8" s="73">
        <f ca="1">_xlfn.NORM.INV(RAND(),$I$8,$G$2*$H$2)</f>
        <v>0.79073309535686731</v>
      </c>
      <c r="CZ8" s="73">
        <f ca="1">ranpoi(CT8,(RAND()*CU8))</f>
        <v>0</v>
      </c>
      <c r="DA8" s="73">
        <f t="shared" ref="DA8" ca="1" si="52">IF(CZ8&gt;6,6,CZ8)</f>
        <v>0</v>
      </c>
      <c r="DB8" s="99"/>
      <c r="DC8" s="73">
        <f ca="1">_xlfn.NORM.INV(RAND(),$I$8,$G$2*$H$2)</f>
        <v>0.79100825168042332</v>
      </c>
      <c r="DD8" s="73">
        <f ca="1">ranpoi(CT8,(RAND()*CU8))</f>
        <v>9</v>
      </c>
      <c r="DE8" s="73">
        <f t="shared" ref="DE8" ca="1" si="53">IF(DD8&gt;6,6,DD8)</f>
        <v>6</v>
      </c>
      <c r="DF8" s="99"/>
      <c r="DG8" s="73">
        <f ca="1">_xlfn.NORM.INV(RAND(),$I$8,$G$2*$H$2)</f>
        <v>0.85360711867622807</v>
      </c>
      <c r="DH8" s="73">
        <f ca="1">ranpoi(CT8,(RAND()*CU8))</f>
        <v>9</v>
      </c>
      <c r="DI8" s="73">
        <f t="shared" ref="DI8" ca="1" si="54">IF(DH8&gt;6,6,DH8)</f>
        <v>6</v>
      </c>
      <c r="DJ8" s="99"/>
      <c r="DK8" s="73">
        <f ca="1">_xlfn.NORM.INV(RAND(),$I$8,$G$2*$H$2)</f>
        <v>0.83415275812000333</v>
      </c>
      <c r="DL8" s="73">
        <f ca="1">ranpoi(CT8,(RAND()*CU8))</f>
        <v>6</v>
      </c>
      <c r="DM8" s="73">
        <f t="shared" ref="DM8" ca="1" si="55">IF(DL8&gt;6,6,DL8)</f>
        <v>6</v>
      </c>
      <c r="DN8" s="99"/>
      <c r="DO8" s="73">
        <f ca="1">_xlfn.NORM.INV(RAND(),$I$8,$G$2*$H$2)</f>
        <v>0.78587717118318656</v>
      </c>
      <c r="DP8" s="73">
        <f ca="1">ranpoi(CT8,(RAND()*CU8))</f>
        <v>4</v>
      </c>
      <c r="DQ8" s="73">
        <f t="shared" ref="DQ8" ca="1" si="56">IF(DP8&gt;6,6,DP8)</f>
        <v>4</v>
      </c>
      <c r="DR8" s="99"/>
      <c r="DS8" s="73">
        <f ca="1">_xlfn.NORM.INV(RAND(),$I$8,$G$2*$H$2)</f>
        <v>0.84066808089642864</v>
      </c>
      <c r="DT8" s="73">
        <f ca="1">ranpoi(CT8,(RAND()*CU8))</f>
        <v>1</v>
      </c>
      <c r="DU8" s="73">
        <f t="shared" ref="DU8" ca="1" si="57">IF(DT8&gt;6,6,DT8)</f>
        <v>1</v>
      </c>
      <c r="DV8" s="99"/>
      <c r="DW8" s="75"/>
      <c r="DZ8" s="72">
        <v>5</v>
      </c>
      <c r="EA8" s="73" t="str">
        <v>Tampa Bay</v>
      </c>
      <c r="EB8" s="75" t="str">
        <v>Winnipeg</v>
      </c>
      <c r="EE8" s="71">
        <f ca="1">DW17</f>
        <v>7</v>
      </c>
      <c r="EF8" s="76" t="str">
        <f ca="1">EB4</f>
        <v>Winnipeg</v>
      </c>
      <c r="EG8" s="76">
        <f ca="1">VLOOKUP($EE$8,$A$17:$E$24,3,0)</f>
        <v>0.84777092564648793</v>
      </c>
      <c r="EH8" s="76" t="e">
        <f ca="1">VLOOKUP($EE$8,$A$17:$E$24,4,0)</f>
        <v>#N/A</v>
      </c>
      <c r="EI8" s="76" t="e">
        <f ca="1">VLOOKUP($EE$8,$A$17:$E$24,5,0)</f>
        <v>#N/A</v>
      </c>
      <c r="EJ8" s="76" t="e">
        <f ca="1">EH8-(I2-EI4)</f>
        <v>#N/A</v>
      </c>
      <c r="EK8" s="76">
        <f t="shared" ref="EK8" ca="1" si="58">_xlfn.NORM.INV(RAND(),EG8,$G$2*$H$2)</f>
        <v>0.87036144265662585</v>
      </c>
      <c r="EL8" s="76" t="e">
        <f t="shared" ref="EL8" ca="1" si="59">ranpoi(EJ8,(RAND()*EK8))</f>
        <v>#VALUE!</v>
      </c>
      <c r="EM8" s="76" t="e">
        <f t="shared" ref="EM8" ca="1" si="60">IF(EL8&gt;6,6,EL8)</f>
        <v>#VALUE!</v>
      </c>
      <c r="EN8" s="100"/>
      <c r="EO8" s="76">
        <f ca="1">_xlfn.NORM.INV(RAND(),EG8,$G$2*$H$2)</f>
        <v>0.84971858810236256</v>
      </c>
      <c r="EP8" s="76" t="e">
        <f t="shared" ref="EP8" ca="1" si="61">ranpoi(EJ8,(RAND()*EO8))</f>
        <v>#VALUE!</v>
      </c>
      <c r="EQ8" s="76"/>
      <c r="ER8" s="76" t="e">
        <f t="shared" ref="ER8" ca="1" si="62">IF(EP8&gt;6,6,EP8)</f>
        <v>#VALUE!</v>
      </c>
      <c r="ES8" s="100"/>
      <c r="ET8" s="76">
        <f ca="1">_xlfn.NORM.INV(RAND(),EG8,$G$2*$H$2)</f>
        <v>0.86558222505666371</v>
      </c>
      <c r="EU8" s="76" t="e">
        <f ca="1">ranpoi(EJ8,(RAND()*ET8))</f>
        <v>#VALUE!</v>
      </c>
      <c r="EV8" s="76" t="e">
        <f t="shared" ref="EV8" ca="1" si="63">IF(EU8&gt;6,6,EU8)</f>
        <v>#VALUE!</v>
      </c>
      <c r="EW8" s="100"/>
      <c r="EX8" s="76">
        <f ca="1">_xlfn.NORM.INV(RAND(),EG8,$G$2*$H$2)</f>
        <v>0.92191238699268507</v>
      </c>
      <c r="EY8" s="76" t="e">
        <f ca="1">ranpoi(EJ8,(RAND()*EX8))</f>
        <v>#VALUE!</v>
      </c>
      <c r="EZ8" s="76" t="e">
        <f t="shared" ref="EZ8" ca="1" si="64">IF(EY8&gt;6,6,EY8)</f>
        <v>#VALUE!</v>
      </c>
      <c r="FA8" s="100"/>
      <c r="FB8" s="76">
        <f ca="1">_xlfn.NORM.INV(RAND(),EG8,$G$2*$H$2)</f>
        <v>0.86264737155708404</v>
      </c>
      <c r="FC8" s="76" t="e">
        <f ca="1">ranpoi(EJ8,(RAND()*FB8))</f>
        <v>#VALUE!</v>
      </c>
      <c r="FD8" s="76" t="e">
        <f t="shared" ref="FD8" ca="1" si="65">IF(FC8&gt;6,6,FC8)</f>
        <v>#VALUE!</v>
      </c>
      <c r="FE8" s="100"/>
      <c r="FF8" s="76">
        <f ca="1">_xlfn.NORM.INV(RAND(),EG8,$G$2*$H$2)</f>
        <v>0.86983635733001818</v>
      </c>
      <c r="FG8" s="76" t="e">
        <f ca="1">ranpoi(EJ8,(RAND()*FF8))</f>
        <v>#VALUE!</v>
      </c>
      <c r="FH8" s="76" t="e">
        <f t="shared" ref="FH8" ca="1" si="66">IF(FG8&gt;6,6,FG8)</f>
        <v>#VALUE!</v>
      </c>
      <c r="FI8" s="100"/>
      <c r="FJ8" s="76">
        <f ca="1">_xlfn.NORM.INV(RAND(),EG8,$G$2*$H$2)</f>
        <v>0.79989163129549434</v>
      </c>
      <c r="FK8" s="76" t="e">
        <f ca="1">ranpoi(EJ8,(RAND()*FJ8))</f>
        <v>#VALUE!</v>
      </c>
      <c r="FL8" s="100"/>
      <c r="FM8" s="76"/>
      <c r="FN8" s="77"/>
      <c r="FP8" s="73">
        <v>6</v>
      </c>
      <c r="FQ8" s="73" t="str">
        <v>Winnipeg</v>
      </c>
    </row>
    <row r="9" spans="1:173" ht="15.75" thickBot="1">
      <c r="A9" s="73">
        <v>6</v>
      </c>
      <c r="B9" s="73" t="s">
        <v>451</v>
      </c>
      <c r="C9" s="73">
        <f>VLOOKUP(B9,Schedule!$A$2:$B$31,2,0)/100</f>
        <v>0.84854221314066169</v>
      </c>
      <c r="D9" s="73">
        <f>VLOOKUP(B9,'Team Stats'!$A$3:$H$32,7,0)</f>
        <v>2.77</v>
      </c>
      <c r="E9" s="73">
        <f>VLOOKUP(B9,'Team Stats'!$A$3:$H$32,8,0)</f>
        <v>2.54</v>
      </c>
      <c r="F9" s="74"/>
      <c r="H9" s="73">
        <v>3</v>
      </c>
      <c r="I9" s="73">
        <f t="shared" si="0"/>
        <v>0.84438445187368572</v>
      </c>
      <c r="J9" s="73">
        <f t="shared" si="1"/>
        <v>3.13</v>
      </c>
      <c r="K9" s="73">
        <f t="shared" si="2"/>
        <v>2.4900000000000002</v>
      </c>
      <c r="L9" s="73">
        <f>J9-(I2-K8)</f>
        <v>3.0043333333333333</v>
      </c>
      <c r="M9" s="95">
        <f t="shared" ca="1" si="3"/>
        <v>0.87394601422955531</v>
      </c>
      <c r="N9" s="73">
        <f t="shared" ca="1" si="4"/>
        <v>11</v>
      </c>
      <c r="O9" s="73">
        <f t="shared" ca="1" si="5"/>
        <v>6</v>
      </c>
      <c r="P9" s="99"/>
      <c r="Q9" s="73">
        <f ca="1">_xlfn.NORM.INV(RAND(),$I$9,$G$2*$H$2)</f>
        <v>0.96629997249071298</v>
      </c>
      <c r="R9" s="73">
        <f t="shared" ca="1" si="6"/>
        <v>2</v>
      </c>
      <c r="S9" s="73">
        <f t="shared" ca="1" si="7"/>
        <v>2</v>
      </c>
      <c r="T9" s="99"/>
      <c r="U9" s="73">
        <f ca="1">_xlfn.NORM.INV(RAND(),$I$9,$G$2*$H$2)</f>
        <v>0.80926321956112313</v>
      </c>
      <c r="V9" s="73">
        <f t="shared" ca="1" si="8"/>
        <v>4</v>
      </c>
      <c r="W9" s="73">
        <f t="shared" ca="1" si="9"/>
        <v>4</v>
      </c>
      <c r="X9" s="99"/>
      <c r="Y9" s="73">
        <f ca="1">_xlfn.NORM.INV(RAND(),$I$9,$G$2*$H$2)</f>
        <v>0.86956850075040271</v>
      </c>
      <c r="Z9" s="73">
        <f t="shared" ca="1" si="10"/>
        <v>8</v>
      </c>
      <c r="AA9" s="73">
        <f t="shared" ca="1" si="11"/>
        <v>6</v>
      </c>
      <c r="AB9" s="99"/>
      <c r="AC9" s="73">
        <f ca="1">_xlfn.NORM.INV(RAND(),$I$9,$G$2*$H$2)</f>
        <v>0.81009906165316647</v>
      </c>
      <c r="AD9" s="73">
        <f t="shared" ca="1" si="12"/>
        <v>15</v>
      </c>
      <c r="AE9" s="73">
        <f t="shared" ca="1" si="13"/>
        <v>6</v>
      </c>
      <c r="AF9" s="99"/>
      <c r="AG9" s="73">
        <f ca="1">_xlfn.NORM.INV(RAND(),$I$9,$G$2*$H$2)</f>
        <v>0.84570917062398876</v>
      </c>
      <c r="AH9" s="73">
        <f t="shared" ca="1" si="14"/>
        <v>10</v>
      </c>
      <c r="AI9" s="73">
        <f t="shared" ca="1" si="15"/>
        <v>6</v>
      </c>
      <c r="AJ9" s="99"/>
      <c r="AK9" s="73">
        <f ca="1">_xlfn.NORM.INV(RAND(),$I$9,$G$2*$H$2)</f>
        <v>0.88646603456521533</v>
      </c>
      <c r="AL9" s="73">
        <f t="shared" ca="1" si="16"/>
        <v>2</v>
      </c>
      <c r="AM9" s="73">
        <f t="shared" ca="1" si="17"/>
        <v>2</v>
      </c>
      <c r="AN9" s="99"/>
      <c r="AO9" s="75"/>
      <c r="AR9" s="72">
        <v>6</v>
      </c>
      <c r="AS9" s="73" t="str">
        <v>Montreal</v>
      </c>
      <c r="AT9" s="73" t="str">
        <v>NY Islanders</v>
      </c>
      <c r="AU9" s="73" t="str">
        <v>Detroit</v>
      </c>
      <c r="AV9" s="75" t="str">
        <v>NY Rangers</v>
      </c>
      <c r="AW9" s="72">
        <v>6</v>
      </c>
      <c r="AX9" s="73" t="str">
        <v>Minnesota</v>
      </c>
      <c r="AY9" s="73" t="str">
        <v>Vancouver</v>
      </c>
      <c r="AZ9" s="73" t="str">
        <v>St. Louis</v>
      </c>
      <c r="BA9" s="75" t="str">
        <v>Winnipeg</v>
      </c>
      <c r="BI9" s="99"/>
      <c r="BM9" s="99"/>
      <c r="BQ9" s="99"/>
      <c r="BU9" s="99"/>
      <c r="BY9" s="99"/>
      <c r="CC9" s="99"/>
      <c r="CG9" s="99"/>
      <c r="CH9" s="75"/>
      <c r="CK9" s="72">
        <v>6</v>
      </c>
      <c r="CL9" s="73" t="str">
        <v>Pittsburgh</v>
      </c>
      <c r="CM9" s="75" t="str">
        <v>Tampa Bay</v>
      </c>
      <c r="CN9" s="72">
        <v>6</v>
      </c>
      <c r="CO9" s="73" t="str">
        <v>Vancouver</v>
      </c>
      <c r="CP9" s="75" t="str">
        <v>Winnipeg</v>
      </c>
      <c r="CQ9" s="71"/>
      <c r="CR9" s="76"/>
      <c r="CS9" s="76"/>
      <c r="CT9" s="76"/>
      <c r="CU9" s="76"/>
      <c r="CV9" s="76"/>
      <c r="CW9" s="76"/>
      <c r="CX9" s="100"/>
      <c r="CY9" s="76"/>
      <c r="CZ9" s="76"/>
      <c r="DA9" s="76"/>
      <c r="DB9" s="100"/>
      <c r="DC9" s="76"/>
      <c r="DD9" s="76"/>
      <c r="DE9" s="76"/>
      <c r="DF9" s="100"/>
      <c r="DG9" s="76"/>
      <c r="DH9" s="76"/>
      <c r="DI9" s="76"/>
      <c r="DJ9" s="100"/>
      <c r="DK9" s="76"/>
      <c r="DL9" s="76"/>
      <c r="DM9" s="76"/>
      <c r="DN9" s="100"/>
      <c r="DO9" s="76"/>
      <c r="DP9" s="76"/>
      <c r="DQ9" s="76"/>
      <c r="DR9" s="100"/>
      <c r="DS9" s="76"/>
      <c r="DT9" s="76"/>
      <c r="DU9" s="76"/>
      <c r="DV9" s="100"/>
      <c r="DW9" s="77"/>
      <c r="DZ9" s="72">
        <v>6</v>
      </c>
      <c r="EA9" s="73" t="str">
        <v>NY Islanders</v>
      </c>
      <c r="EB9" s="75" t="str">
        <v>Winnipeg</v>
      </c>
      <c r="FP9" s="73">
        <v>7</v>
      </c>
      <c r="FQ9" s="73" t="str">
        <v>Winnipeg</v>
      </c>
    </row>
    <row r="10" spans="1:173" ht="15.75" thickBot="1">
      <c r="A10" s="73">
        <v>7</v>
      </c>
      <c r="B10" s="73" t="s">
        <v>446</v>
      </c>
      <c r="C10" s="73">
        <f>VLOOKUP(B10,Schedule!$A$2:$B$31,2,0)/100</f>
        <v>0.84540679915027861</v>
      </c>
      <c r="D10" s="73">
        <f>VLOOKUP(B10,'Team Stats'!$A$3:$H$32,7,0)</f>
        <v>2.85</v>
      </c>
      <c r="E10" s="73">
        <f>VLOOKUP(B10,'Team Stats'!$A$3:$H$32,8,0)</f>
        <v>2.4</v>
      </c>
      <c r="F10" s="74"/>
      <c r="G10" s="73">
        <v>4</v>
      </c>
      <c r="H10" s="73">
        <v>2</v>
      </c>
      <c r="I10" s="73">
        <f t="shared" si="0"/>
        <v>0.84439541672686491</v>
      </c>
      <c r="J10" s="73">
        <f t="shared" si="1"/>
        <v>3.01</v>
      </c>
      <c r="K10" s="73">
        <f t="shared" si="2"/>
        <v>2.25</v>
      </c>
      <c r="L10" s="73">
        <f>J10-(I2-K11)</f>
        <v>2.7443333333333331</v>
      </c>
      <c r="M10" s="95">
        <f t="shared" ca="1" si="3"/>
        <v>0.83712182611575903</v>
      </c>
      <c r="N10" s="73">
        <f t="shared" ca="1" si="4"/>
        <v>2</v>
      </c>
      <c r="O10" s="73">
        <f t="shared" ca="1" si="5"/>
        <v>2</v>
      </c>
      <c r="P10" s="99">
        <f t="shared" ca="1" si="18"/>
        <v>2</v>
      </c>
      <c r="Q10" s="73">
        <f ca="1">_xlfn.NORM.INV(RAND(),$I$10,$G$2*$H$2)</f>
        <v>0.8812699305691315</v>
      </c>
      <c r="R10" s="73">
        <f t="shared" ca="1" si="6"/>
        <v>5</v>
      </c>
      <c r="S10" s="73">
        <f t="shared" ca="1" si="7"/>
        <v>5</v>
      </c>
      <c r="T10" s="99">
        <f t="shared" ca="1" si="19"/>
        <v>2</v>
      </c>
      <c r="U10" s="73">
        <f ca="1">_xlfn.NORM.INV(RAND(),$I$10,$G$2*$H$2)</f>
        <v>0.85375275861756017</v>
      </c>
      <c r="V10" s="73">
        <f t="shared" ca="1" si="8"/>
        <v>0</v>
      </c>
      <c r="W10" s="73">
        <f t="shared" ca="1" si="9"/>
        <v>0</v>
      </c>
      <c r="X10" s="99">
        <f t="shared" ca="1" si="44"/>
        <v>7</v>
      </c>
      <c r="Y10" s="73">
        <f ca="1">_xlfn.NORM.INV(RAND(),$I$10,$G$2*$H$2)</f>
        <v>0.82830281643287429</v>
      </c>
      <c r="Z10" s="73">
        <f t="shared" ca="1" si="10"/>
        <v>1</v>
      </c>
      <c r="AA10" s="73">
        <f t="shared" ca="1" si="11"/>
        <v>1</v>
      </c>
      <c r="AB10" s="99">
        <f t="shared" ca="1" si="20"/>
        <v>7</v>
      </c>
      <c r="AC10" s="73">
        <f ca="1">_xlfn.NORM.INV(RAND(),$I$10,$G$2*$H$2)</f>
        <v>0.7592695607234814</v>
      </c>
      <c r="AD10" s="73">
        <f t="shared" ca="1" si="12"/>
        <v>6</v>
      </c>
      <c r="AE10" s="73">
        <f t="shared" ca="1" si="13"/>
        <v>6</v>
      </c>
      <c r="AF10" s="99">
        <f ca="1">IF((COUNTIF(P10:P11,7)+COUNTIF(T10:T11,7)+COUNTIF(X10:X11,7)+COUNTIF(AB10:AB11,7))=4,"",IF((COUNTIF(P10:P11,2)+COUNTIF(T10:T11,2)+COUNTIF(X10:X11,2)+COUNTIF(AB10:AB11,2))=4,"",IF(AE10&gt;AE11,H10,H11)))</f>
        <v>2</v>
      </c>
      <c r="AG10" s="73">
        <f ca="1">_xlfn.NORM.INV(RAND(),$I$10,$G$2*$H$2)</f>
        <v>0.84421829541152782</v>
      </c>
      <c r="AH10" s="73">
        <f t="shared" ca="1" si="14"/>
        <v>3</v>
      </c>
      <c r="AI10" s="73">
        <f t="shared" ca="1" si="15"/>
        <v>3</v>
      </c>
      <c r="AJ10" s="99">
        <f ca="1">IF((COUNTIF(P10:P11,7)+COUNTIF(T10:T11,7)+COUNTIF(X10:X11,7)+COUNTIF(AB10:AB11,7)+COUNTIF(AF10:AF11,7))=4,"",IF((COUNTIF(P10:P11,2)+COUNTIF(T10:T11,2)+COUNTIF(X10:X11,2)+COUNTIF(AB10:AB11,2)+COUNTIF(AF10:AF11,2))=4,"",IF(AI10&gt;AI11,H10,H11)))</f>
        <v>7</v>
      </c>
      <c r="AK10" s="73">
        <f ca="1">_xlfn.NORM.INV(RAND(),$I$10,$G$2*$H$2)</f>
        <v>0.8350789671255141</v>
      </c>
      <c r="AL10" s="73">
        <f t="shared" ca="1" si="16"/>
        <v>5</v>
      </c>
      <c r="AM10" s="73">
        <f t="shared" ca="1" si="17"/>
        <v>5</v>
      </c>
      <c r="AN10" s="99">
        <f ca="1">IF((COUNTIF(P10:P11,7)+COUNTIF(T10:T11,7)+COUNTIF(X10:X11,7)+COUNTIF(AB10:AB11,7)+COUNTIF(AF10:AF11,7)+COUNTIF(AJ10:AJ11,7))=4,"",IF((COUNTIF(P10:P11,2)+COUNTIF(T10:T11,2)+COUNTIF(X10:X11,2)+COUNTIF(AB10:AB11,2)+COUNTIF(AF10:AF11,2)+COUNTIF(AJ10:AJ11,2))=4,"",IF(AM10&gt;AM11,H10,H11)))</f>
        <v>2</v>
      </c>
      <c r="AO10" s="75">
        <f ca="1">IF((COUNTIF(P10:P11,7)+COUNTIF(T10:T11,7)+COUNTIF(X10:X11,7)+COUNTIF(AB10:AB11,7)+COUNTIF(AF10:AF11,7)+COUNTIF(AJ10:AJ11,7)+COUNTIF(AN10:AN11,7)&gt;COUNTIF(P10:P11,2)+COUNTIF(T10:T11,2)+COUNTIF(X10:X11,2)+COUNTIF(AB10:AB11,2)+COUNTIF(AF10:AF11,2)+COUNTIF(AJ10:AJ11,2)+COUNTIF(AN10:AN11,2)),H11,H10)</f>
        <v>2</v>
      </c>
      <c r="AP10" s="73" t="str">
        <f t="shared" ca="1" si="21"/>
        <v>NY Rangers</v>
      </c>
      <c r="AQ10" s="73">
        <f t="shared" ca="1" si="22"/>
        <v>7</v>
      </c>
      <c r="AR10" s="72">
        <v>7</v>
      </c>
      <c r="AS10" s="73" t="str">
        <v>Montreal</v>
      </c>
      <c r="AT10" s="73" t="str">
        <v>NY Islanders</v>
      </c>
      <c r="AU10" s="73" t="str">
        <v>Detroit</v>
      </c>
      <c r="AV10" s="75" t="str">
        <v>NY Rangers</v>
      </c>
      <c r="AW10" s="72">
        <v>7</v>
      </c>
      <c r="AX10" s="73" t="str">
        <v>Minnesota</v>
      </c>
      <c r="AY10" s="73" t="str">
        <v>Vancouver</v>
      </c>
      <c r="AZ10" s="73" t="str">
        <v>St. Louis</v>
      </c>
      <c r="BA10" s="75" t="str">
        <v>Winnipeg</v>
      </c>
      <c r="BB10" s="76">
        <f t="shared" ca="1" si="23"/>
        <v>0.84439541672686491</v>
      </c>
      <c r="BC10" s="76">
        <f t="shared" ca="1" si="24"/>
        <v>3.01</v>
      </c>
      <c r="BD10" s="76">
        <f t="shared" ca="1" si="25"/>
        <v>2.25</v>
      </c>
      <c r="BE10" s="76">
        <f ca="1">BC10-(I2-BD7)</f>
        <v>0.34433333333333316</v>
      </c>
      <c r="BF10" s="76">
        <f ca="1">_xlfn.NORM.INV(RAND(),BB10,$G$2*$H$2)</f>
        <v>0.7806767296646322</v>
      </c>
      <c r="BG10" s="76">
        <f ca="1">ranpoi(L10,RAND()*BF10)</f>
        <v>1</v>
      </c>
      <c r="BH10" s="76">
        <f t="shared" ca="1" si="26"/>
        <v>1</v>
      </c>
      <c r="BI10" s="100"/>
      <c r="BJ10" s="76">
        <f t="shared" ca="1" si="45"/>
        <v>0.80411917589942494</v>
      </c>
      <c r="BK10" s="76">
        <f t="shared" ca="1" si="27"/>
        <v>0</v>
      </c>
      <c r="BL10" s="76">
        <f t="shared" ca="1" si="28"/>
        <v>0</v>
      </c>
      <c r="BM10" s="100"/>
      <c r="BN10" s="76">
        <f t="shared" ca="1" si="29"/>
        <v>0.78452267279606835</v>
      </c>
      <c r="BO10" s="76">
        <f t="shared" ca="1" si="30"/>
        <v>0</v>
      </c>
      <c r="BP10" s="76">
        <f t="shared" ca="1" si="31"/>
        <v>0</v>
      </c>
      <c r="BQ10" s="100"/>
      <c r="BR10" s="76">
        <f t="shared" ca="1" si="32"/>
        <v>0.86053418123803715</v>
      </c>
      <c r="BS10" s="76">
        <f t="shared" ca="1" si="33"/>
        <v>0</v>
      </c>
      <c r="BT10" s="76">
        <f t="shared" ca="1" si="34"/>
        <v>0</v>
      </c>
      <c r="BU10" s="100"/>
      <c r="BV10" s="76">
        <f t="shared" ca="1" si="35"/>
        <v>0.84915569611588382</v>
      </c>
      <c r="BW10" s="76">
        <f t="shared" ca="1" si="36"/>
        <v>0</v>
      </c>
      <c r="BX10" s="76">
        <f t="shared" ca="1" si="37"/>
        <v>0</v>
      </c>
      <c r="BY10" s="100"/>
      <c r="BZ10" s="76">
        <f t="shared" ca="1" si="38"/>
        <v>0.79482816839784798</v>
      </c>
      <c r="CA10" s="76">
        <f t="shared" ca="1" si="39"/>
        <v>6</v>
      </c>
      <c r="CB10" s="76">
        <f t="shared" ca="1" si="40"/>
        <v>6</v>
      </c>
      <c r="CC10" s="100"/>
      <c r="CD10" s="76">
        <f t="shared" ca="1" si="41"/>
        <v>0.8212775893836306</v>
      </c>
      <c r="CE10" s="76">
        <f t="shared" ca="1" si="42"/>
        <v>0</v>
      </c>
      <c r="CF10" s="76">
        <f t="shared" ca="1" si="43"/>
        <v>0</v>
      </c>
      <c r="CG10" s="100"/>
      <c r="CH10" s="77"/>
      <c r="CK10" s="72">
        <v>7</v>
      </c>
      <c r="CL10" s="73" t="str">
        <v>NY Islanders</v>
      </c>
      <c r="CM10" s="75" t="str">
        <v>Tampa Bay</v>
      </c>
      <c r="CN10" s="72">
        <v>7</v>
      </c>
      <c r="CO10" s="73" t="str">
        <v>Vancouver</v>
      </c>
      <c r="CP10" s="75" t="str">
        <v>Winnipeg</v>
      </c>
      <c r="DZ10" s="72">
        <v>7</v>
      </c>
      <c r="EA10" s="73" t="str">
        <v>NY Islanders</v>
      </c>
      <c r="EB10" s="75" t="str">
        <v>Winnipeg</v>
      </c>
      <c r="FP10" s="73">
        <v>8</v>
      </c>
      <c r="FQ10" s="73" t="str">
        <v>Winnipeg</v>
      </c>
    </row>
    <row r="11" spans="1:173" ht="15.75" thickBot="1">
      <c r="A11" s="73">
        <v>8</v>
      </c>
      <c r="B11" s="73" t="s">
        <v>447</v>
      </c>
      <c r="C11" s="73">
        <f>VLOOKUP(B11,Schedule!$A$2:$B$31,2,0)/100</f>
        <v>0.84918202417441924</v>
      </c>
      <c r="D11" s="73">
        <f>VLOOKUP(B11,'Team Stats'!$A$3:$H$32,7,0)</f>
        <v>2.54</v>
      </c>
      <c r="E11" s="73">
        <f>VLOOKUP(B11,'Team Stats'!$A$3:$H$32,8,0)</f>
        <v>2.38</v>
      </c>
      <c r="F11" s="74"/>
      <c r="H11" s="73">
        <v>7</v>
      </c>
      <c r="I11" s="73">
        <f t="shared" si="0"/>
        <v>0.84540679915027861</v>
      </c>
      <c r="J11" s="73">
        <f t="shared" si="1"/>
        <v>2.85</v>
      </c>
      <c r="K11" s="73">
        <f t="shared" si="2"/>
        <v>2.4</v>
      </c>
      <c r="L11" s="73">
        <f>J11-(I2-K10)</f>
        <v>2.4343333333333335</v>
      </c>
      <c r="M11" s="96">
        <f ca="1">_xlfn.NORM.INV(RAND(),I11,G$2*H$2)</f>
        <v>0.83418113387204507</v>
      </c>
      <c r="N11" s="73">
        <f t="shared" ca="1" si="4"/>
        <v>0</v>
      </c>
      <c r="O11" s="73">
        <f t="shared" ca="1" si="5"/>
        <v>0</v>
      </c>
      <c r="P11" s="100"/>
      <c r="Q11" s="76">
        <f ca="1">_xlfn.NORM.INV(RAND(),$I$11,G$2*$H$2)</f>
        <v>0.81194042342254646</v>
      </c>
      <c r="R11" s="76">
        <f t="shared" ca="1" si="6"/>
        <v>2</v>
      </c>
      <c r="S11" s="76">
        <f t="shared" ca="1" si="7"/>
        <v>2</v>
      </c>
      <c r="T11" s="100"/>
      <c r="U11" s="76">
        <f ca="1">_xlfn.NORM.INV(RAND(),$I$11,G$2*$H$2)</f>
        <v>0.81415565852294136</v>
      </c>
      <c r="V11" s="76">
        <f t="shared" ca="1" si="8"/>
        <v>9</v>
      </c>
      <c r="W11" s="76">
        <f t="shared" ca="1" si="9"/>
        <v>6</v>
      </c>
      <c r="X11" s="100"/>
      <c r="Y11" s="76">
        <f ca="1">_xlfn.NORM.INV(RAND(),$I$11,G$2*$H$2)</f>
        <v>0.90485977794984618</v>
      </c>
      <c r="Z11" s="76">
        <f t="shared" ca="1" si="10"/>
        <v>10</v>
      </c>
      <c r="AA11" s="76">
        <f t="shared" ca="1" si="11"/>
        <v>6</v>
      </c>
      <c r="AB11" s="100"/>
      <c r="AC11" s="76">
        <f ca="1">_xlfn.NORM.INV(RAND(),$I$11,G$2*$H$2)</f>
        <v>0.77096519120018991</v>
      </c>
      <c r="AD11" s="76">
        <f t="shared" ca="1" si="12"/>
        <v>0</v>
      </c>
      <c r="AE11" s="76">
        <f t="shared" ca="1" si="13"/>
        <v>0</v>
      </c>
      <c r="AF11" s="100"/>
      <c r="AG11" s="76">
        <f ca="1">_xlfn.NORM.INV(RAND(),$I$11,G$2*$H$2)</f>
        <v>0.87107729281715174</v>
      </c>
      <c r="AH11" s="76">
        <f t="shared" ca="1" si="14"/>
        <v>3</v>
      </c>
      <c r="AI11" s="76">
        <f t="shared" ca="1" si="15"/>
        <v>3</v>
      </c>
      <c r="AJ11" s="100"/>
      <c r="AK11" s="76">
        <f ca="1">_xlfn.NORM.INV(RAND(),$I$11,G$2*$H$2)</f>
        <v>0.77985555610879675</v>
      </c>
      <c r="AL11" s="76">
        <f t="shared" ca="1" si="16"/>
        <v>4</v>
      </c>
      <c r="AM11" s="76">
        <f t="shared" ca="1" si="17"/>
        <v>4</v>
      </c>
      <c r="AN11" s="100"/>
      <c r="AO11" s="77"/>
      <c r="AR11" s="72">
        <v>8</v>
      </c>
      <c r="AS11" s="73" t="str">
        <v>Montreal</v>
      </c>
      <c r="AT11" s="73" t="str">
        <v>Pittsburgh</v>
      </c>
      <c r="AU11" s="73" t="str">
        <v>Tampa Bay</v>
      </c>
      <c r="AV11" s="75" t="str">
        <v>NY Rangers</v>
      </c>
      <c r="AW11" s="72">
        <v>8</v>
      </c>
      <c r="AX11" s="73" t="str">
        <v>Minnesota</v>
      </c>
      <c r="AY11" s="73" t="str">
        <v>Vancouver</v>
      </c>
      <c r="AZ11" s="73" t="str">
        <v>St. Louis</v>
      </c>
      <c r="BA11" s="75" t="str">
        <v>Winnipeg</v>
      </c>
      <c r="CK11" s="72">
        <v>8</v>
      </c>
      <c r="CL11" s="73" t="str">
        <v>Pittsburgh</v>
      </c>
      <c r="CM11" s="75" t="str">
        <v>Detroit</v>
      </c>
      <c r="CN11" s="72">
        <v>8</v>
      </c>
      <c r="CO11" s="73" t="str">
        <v>Vancouver</v>
      </c>
      <c r="CP11" s="75" t="str">
        <v>Winnipeg</v>
      </c>
      <c r="DZ11" s="72">
        <v>8</v>
      </c>
      <c r="EA11" s="73" t="str">
        <v>NY Islanders</v>
      </c>
      <c r="EB11" s="75" t="str">
        <v>Winnipeg</v>
      </c>
      <c r="EE11" s="111" t="s">
        <v>441</v>
      </c>
      <c r="EF11" s="112"/>
      <c r="EG11" s="112"/>
      <c r="EH11" s="112"/>
      <c r="EI11" s="112"/>
      <c r="EJ11" s="92"/>
      <c r="EK11" s="111" t="s">
        <v>442</v>
      </c>
      <c r="EL11" s="112"/>
      <c r="EM11" s="112"/>
      <c r="EN11" s="112"/>
      <c r="EO11" s="112"/>
      <c r="EP11" s="70"/>
      <c r="ER11" s="102" t="s">
        <v>175</v>
      </c>
      <c r="ES11" s="103" t="s">
        <v>176</v>
      </c>
      <c r="ET11" s="91"/>
      <c r="EU11" s="92" t="str">
        <f>EF12</f>
        <v>Montreal</v>
      </c>
      <c r="EV11" s="92" t="str">
        <f>EF15</f>
        <v>NY Rangers</v>
      </c>
      <c r="EW11" s="92" t="str">
        <f>EF18</f>
        <v>Tampa Bay</v>
      </c>
      <c r="EX11" s="92" t="str">
        <f>EF21</f>
        <v>Pittsburgh</v>
      </c>
      <c r="EY11" s="92" t="str">
        <f>EF24</f>
        <v>NY Islanders</v>
      </c>
      <c r="EZ11" s="92" t="str">
        <f>EF27</f>
        <v>Detroit</v>
      </c>
      <c r="FA11" s="92" t="str">
        <f>EF30</f>
        <v>Washington</v>
      </c>
      <c r="FB11" s="92" t="str">
        <f>EF33</f>
        <v>Boston</v>
      </c>
      <c r="FC11" s="92" t="str">
        <f>EL12</f>
        <v>Nashville</v>
      </c>
      <c r="FD11" s="92" t="str">
        <f>EL15</f>
        <v>Anaheim</v>
      </c>
      <c r="FE11" s="92" t="str">
        <f>EL18</f>
        <v>St. Louis</v>
      </c>
      <c r="FF11" s="92" t="str">
        <f>EL21</f>
        <v>Vancouver</v>
      </c>
      <c r="FG11" s="92" t="str">
        <f>EL24</f>
        <v>Calgary</v>
      </c>
      <c r="FH11" s="92" t="str">
        <f>EL27</f>
        <v>Chicago</v>
      </c>
      <c r="FI11" s="92" t="str">
        <f>EL30</f>
        <v>Winnipeg</v>
      </c>
      <c r="FJ11" s="70" t="str">
        <f>EL33</f>
        <v>Minnesota</v>
      </c>
      <c r="FP11" s="73">
        <v>9</v>
      </c>
      <c r="FQ11" s="73" t="str">
        <v>Winnipeg</v>
      </c>
    </row>
    <row r="12" spans="1:173">
      <c r="F12" s="74"/>
      <c r="M12" s="81"/>
      <c r="AE12" s="79"/>
      <c r="AR12" s="72">
        <v>9</v>
      </c>
      <c r="AS12" s="73" t="str">
        <v>Montreal</v>
      </c>
      <c r="AT12" s="73" t="str">
        <v>NY Islanders</v>
      </c>
      <c r="AU12" s="73" t="str">
        <v>Tampa Bay</v>
      </c>
      <c r="AV12" s="75" t="str">
        <v>Washington</v>
      </c>
      <c r="AW12" s="72">
        <v>9</v>
      </c>
      <c r="AX12" s="73" t="str">
        <v>Minnesota</v>
      </c>
      <c r="AY12" s="73" t="str">
        <v>Vancouver</v>
      </c>
      <c r="AZ12" s="73" t="str">
        <v>St. Louis</v>
      </c>
      <c r="BA12" s="75" t="str">
        <v>Winnipeg</v>
      </c>
      <c r="CK12" s="72">
        <v>9</v>
      </c>
      <c r="CL12" s="73" t="str">
        <v>Boston</v>
      </c>
      <c r="CM12" s="75" t="str">
        <v>Tampa Bay</v>
      </c>
      <c r="CN12" s="72">
        <v>9</v>
      </c>
      <c r="CO12" s="73" t="str">
        <v>Vancouver</v>
      </c>
      <c r="CP12" s="75" t="str">
        <v>Winnipeg</v>
      </c>
      <c r="DZ12" s="72">
        <v>9</v>
      </c>
      <c r="EA12" s="73" t="str">
        <v>Detroit</v>
      </c>
      <c r="EB12" s="75" t="str">
        <v>Winnipeg</v>
      </c>
      <c r="EE12" s="72">
        <v>1</v>
      </c>
      <c r="EF12" s="73" t="str">
        <f>B4</f>
        <v>Montreal</v>
      </c>
      <c r="EK12" s="72">
        <v>1</v>
      </c>
      <c r="EL12" s="73" t="str">
        <f>B17</f>
        <v>Nashville</v>
      </c>
      <c r="EP12" s="75"/>
      <c r="ER12" s="72" t="s">
        <v>8</v>
      </c>
      <c r="ES12" s="104">
        <v>86.328215151746576</v>
      </c>
      <c r="ET12" s="72">
        <v>1</v>
      </c>
      <c r="EU12" s="73">
        <f ca="1">EJ14</f>
        <v>5</v>
      </c>
      <c r="EV12" s="73">
        <f ca="1">EJ17</f>
        <v>12</v>
      </c>
      <c r="EW12" s="73">
        <f ca="1">EJ20</f>
        <v>23</v>
      </c>
      <c r="EX12" s="73">
        <f ca="1">EJ23</f>
        <v>17</v>
      </c>
      <c r="EY12" s="73">
        <f ca="1">EJ26</f>
        <v>6</v>
      </c>
      <c r="EZ12" s="73">
        <f ca="1">EJ29</f>
        <v>4</v>
      </c>
      <c r="FA12" s="73">
        <f ca="1">EJ32</f>
        <v>7</v>
      </c>
      <c r="FB12" s="73">
        <f ca="1">EJ35</f>
        <v>9</v>
      </c>
      <c r="FC12" s="73">
        <f ca="1">EP14</f>
        <v>7</v>
      </c>
      <c r="FD12" s="73">
        <f ca="1">EP17</f>
        <v>7</v>
      </c>
      <c r="FE12" s="73">
        <f ca="1">EP20</f>
        <v>14</v>
      </c>
      <c r="FF12" s="73">
        <f ca="1">EP23</f>
        <v>21</v>
      </c>
      <c r="FG12" s="73">
        <f ca="1">EP26</f>
        <v>7</v>
      </c>
      <c r="FH12" s="73">
        <f ca="1">EP29</f>
        <v>7</v>
      </c>
      <c r="FI12" s="73">
        <f ca="1">EP32</f>
        <v>28</v>
      </c>
      <c r="FJ12" s="75">
        <f ca="1">EP35</f>
        <v>14</v>
      </c>
      <c r="FP12" s="73">
        <v>10</v>
      </c>
      <c r="FQ12" s="73" t="str">
        <v>Winnipeg</v>
      </c>
    </row>
    <row r="13" spans="1:173" ht="15.75" thickBot="1">
      <c r="F13" s="79"/>
      <c r="AR13" s="72">
        <v>10</v>
      </c>
      <c r="AS13" s="73" t="str">
        <v>Boston</v>
      </c>
      <c r="AT13" s="73" t="str">
        <v>Pittsburgh</v>
      </c>
      <c r="AU13" s="73" t="str">
        <v>Tampa Bay</v>
      </c>
      <c r="AV13" s="75" t="str">
        <v>NY Rangers</v>
      </c>
      <c r="AW13" s="72">
        <v>10</v>
      </c>
      <c r="AX13" s="73" t="str">
        <v>Minnesota</v>
      </c>
      <c r="AY13" s="73" t="str">
        <v>Vancouver</v>
      </c>
      <c r="AZ13" s="73" t="str">
        <v>St. Louis</v>
      </c>
      <c r="BA13" s="75" t="str">
        <v>Winnipeg</v>
      </c>
      <c r="CK13" s="72">
        <v>10</v>
      </c>
      <c r="CL13" s="73" t="str">
        <v>NY Islanders</v>
      </c>
      <c r="CM13" s="75" t="str">
        <v>Tampa Bay</v>
      </c>
      <c r="CN13" s="72">
        <v>10</v>
      </c>
      <c r="CO13" s="73" t="str">
        <v>Vancouver</v>
      </c>
      <c r="CP13" s="75" t="str">
        <v>Winnipeg</v>
      </c>
      <c r="DZ13" s="72">
        <v>10</v>
      </c>
      <c r="EA13" s="73" t="str">
        <v>Tampa Bay</v>
      </c>
      <c r="EB13" s="75" t="str">
        <v>Winnipeg</v>
      </c>
      <c r="EE13" s="72"/>
      <c r="EF13" s="73" t="s">
        <v>522</v>
      </c>
      <c r="EG13" s="73" t="s">
        <v>523</v>
      </c>
      <c r="EH13" s="73" t="s">
        <v>524</v>
      </c>
      <c r="EI13" s="79" t="s">
        <v>521</v>
      </c>
      <c r="EJ13" s="79" t="s">
        <v>526</v>
      </c>
      <c r="EK13" s="72"/>
      <c r="EL13" s="79" t="s">
        <v>522</v>
      </c>
      <c r="EM13" s="79" t="s">
        <v>523</v>
      </c>
      <c r="EN13" s="79" t="s">
        <v>524</v>
      </c>
      <c r="EO13" s="79" t="s">
        <v>521</v>
      </c>
      <c r="EP13" s="75" t="s">
        <v>526</v>
      </c>
      <c r="ER13" s="72" t="s">
        <v>24</v>
      </c>
      <c r="ES13" s="104">
        <v>85.861880801617573</v>
      </c>
      <c r="ET13" s="72">
        <v>2</v>
      </c>
      <c r="EU13" s="73">
        <f t="dataTable" ref="EU13:FJ111" dt2D="0" dtr="0" r1="EQ11" ca="1"/>
        <v>6</v>
      </c>
      <c r="EV13" s="73">
        <v>5</v>
      </c>
      <c r="EW13" s="73">
        <v>26</v>
      </c>
      <c r="EX13" s="73">
        <v>6</v>
      </c>
      <c r="EY13" s="73">
        <v>18</v>
      </c>
      <c r="EZ13" s="73">
        <v>6</v>
      </c>
      <c r="FA13" s="73">
        <v>11</v>
      </c>
      <c r="FB13" s="73">
        <v>11</v>
      </c>
      <c r="FC13" s="73">
        <v>7</v>
      </c>
      <c r="FD13" s="73">
        <v>7</v>
      </c>
      <c r="FE13" s="73">
        <v>14</v>
      </c>
      <c r="FF13" s="73">
        <v>21</v>
      </c>
      <c r="FG13" s="73">
        <v>7</v>
      </c>
      <c r="FH13" s="73">
        <v>7</v>
      </c>
      <c r="FI13" s="73">
        <v>28</v>
      </c>
      <c r="FJ13" s="75">
        <v>14</v>
      </c>
      <c r="FP13" s="73">
        <v>11</v>
      </c>
      <c r="FQ13" s="73" t="str">
        <v>Winnipeg</v>
      </c>
    </row>
    <row r="14" spans="1:173">
      <c r="F14" s="79"/>
      <c r="M14" s="111" t="s">
        <v>474</v>
      </c>
      <c r="N14" s="112"/>
      <c r="O14" s="112"/>
      <c r="P14" s="112"/>
      <c r="Q14" s="112"/>
      <c r="R14" s="112"/>
      <c r="S14" s="112"/>
      <c r="T14" s="112"/>
      <c r="U14" s="112"/>
      <c r="V14" s="112"/>
      <c r="W14" s="112"/>
      <c r="X14" s="112"/>
      <c r="Y14" s="112"/>
      <c r="Z14" s="112"/>
      <c r="AA14" s="112"/>
      <c r="AB14" s="112"/>
      <c r="AC14" s="112"/>
      <c r="AD14" s="112"/>
      <c r="AE14" s="112"/>
      <c r="AF14" s="112"/>
      <c r="AG14" s="112"/>
      <c r="AH14" s="112"/>
      <c r="AI14" s="112"/>
      <c r="AJ14" s="112"/>
      <c r="AK14" s="112"/>
      <c r="AL14" s="112"/>
      <c r="AM14" s="112"/>
      <c r="AN14" s="112"/>
      <c r="AO14" s="70"/>
      <c r="AR14" s="72">
        <v>11</v>
      </c>
      <c r="AS14" s="73" t="str">
        <v>Boston</v>
      </c>
      <c r="AT14" s="73" t="str">
        <v>NY Islanders</v>
      </c>
      <c r="AU14" s="73" t="str">
        <v>Tampa Bay</v>
      </c>
      <c r="AV14" s="75" t="str">
        <v>NY Rangers</v>
      </c>
      <c r="AW14" s="72">
        <v>11</v>
      </c>
      <c r="AX14" s="73" t="str">
        <v>Minnesota</v>
      </c>
      <c r="AY14" s="73" t="str">
        <v>Vancouver</v>
      </c>
      <c r="AZ14" s="73" t="str">
        <v>St. Louis</v>
      </c>
      <c r="BA14" s="75" t="str">
        <v>Winnipeg</v>
      </c>
      <c r="BB14" s="92"/>
      <c r="BC14" s="92"/>
      <c r="BD14" s="92"/>
      <c r="BE14" s="92"/>
      <c r="BF14" s="112" t="s">
        <v>475</v>
      </c>
      <c r="BG14" s="112"/>
      <c r="BH14" s="112"/>
      <c r="BI14" s="112"/>
      <c r="BJ14" s="112"/>
      <c r="BK14" s="112"/>
      <c r="BL14" s="112"/>
      <c r="BM14" s="112"/>
      <c r="BN14" s="112"/>
      <c r="BO14" s="112"/>
      <c r="BP14" s="112"/>
      <c r="BQ14" s="112"/>
      <c r="BR14" s="112"/>
      <c r="BS14" s="112"/>
      <c r="BT14" s="112"/>
      <c r="BU14" s="112"/>
      <c r="BV14" s="112"/>
      <c r="BW14" s="112"/>
      <c r="BX14" s="112"/>
      <c r="BY14" s="112"/>
      <c r="BZ14" s="112"/>
      <c r="CA14" s="112"/>
      <c r="CB14" s="112"/>
      <c r="CC14" s="112"/>
      <c r="CD14" s="112"/>
      <c r="CE14" s="112"/>
      <c r="CF14" s="112"/>
      <c r="CG14" s="112"/>
      <c r="CH14" s="70"/>
      <c r="CK14" s="72">
        <v>11</v>
      </c>
      <c r="CL14" s="73" t="str">
        <v>NY Islanders</v>
      </c>
      <c r="CM14" s="75" t="str">
        <v>Tampa Bay</v>
      </c>
      <c r="CN14" s="72">
        <v>11</v>
      </c>
      <c r="CO14" s="73" t="str">
        <v>Vancouver</v>
      </c>
      <c r="CP14" s="75" t="str">
        <v>Winnipeg</v>
      </c>
      <c r="CQ14" s="91"/>
      <c r="CR14" s="92"/>
      <c r="CS14" s="92"/>
      <c r="CT14" s="92"/>
      <c r="CU14" s="112" t="s">
        <v>476</v>
      </c>
      <c r="CV14" s="112"/>
      <c r="CW14" s="112"/>
      <c r="CX14" s="112"/>
      <c r="CY14" s="112"/>
      <c r="CZ14" s="112"/>
      <c r="DA14" s="112"/>
      <c r="DB14" s="112"/>
      <c r="DC14" s="112"/>
      <c r="DD14" s="112"/>
      <c r="DE14" s="112"/>
      <c r="DF14" s="112"/>
      <c r="DG14" s="112"/>
      <c r="DH14" s="112"/>
      <c r="DI14" s="112"/>
      <c r="DJ14" s="112"/>
      <c r="DK14" s="112"/>
      <c r="DL14" s="112"/>
      <c r="DM14" s="112"/>
      <c r="DN14" s="112"/>
      <c r="DO14" s="112"/>
      <c r="DP14" s="112"/>
      <c r="DQ14" s="112"/>
      <c r="DR14" s="112"/>
      <c r="DS14" s="112"/>
      <c r="DT14" s="112"/>
      <c r="DU14" s="112"/>
      <c r="DV14" s="112"/>
      <c r="DW14" s="70"/>
      <c r="DZ14" s="72">
        <v>11</v>
      </c>
      <c r="EA14" s="73" t="str">
        <v>Detroit</v>
      </c>
      <c r="EB14" s="75" t="str">
        <v>Winnipeg</v>
      </c>
      <c r="EE14" s="72"/>
      <c r="EF14" s="73">
        <f ca="1">COUNTIF(AS4:AS103,EF12)/COUNT(AR4:AR103)</f>
        <v>0.4</v>
      </c>
      <c r="EG14" s="73">
        <f ca="1">COUNTIF(CK4:CP103,EF12)/COUNT(CK4:CK103)</f>
        <v>7.0000000000000007E-2</v>
      </c>
      <c r="EH14" s="73">
        <f ca="1">COUNTIF(DZ4:EB503,EF12)/COUNT(DZ4:DZ503)</f>
        <v>2.4E-2</v>
      </c>
      <c r="EI14" s="73">
        <f ca="1">COUNTIF(FP3:FQ502,EF12)/COUNT(FP3:FP502)</f>
        <v>0</v>
      </c>
      <c r="EJ14" s="73">
        <f ca="1">AQ4+IF(AP4=EF12,CJ4,0)+IF(CI4=EF12,DX4,0)+IF(DW4=EE12,FO3,0)</f>
        <v>5</v>
      </c>
      <c r="EK14" s="72"/>
      <c r="EL14" s="73">
        <f ca="1">COUNTIF(AX4:BA103,EL12)/COUNT(AW4:AW103)</f>
        <v>0</v>
      </c>
      <c r="EM14" s="73">
        <f ca="1">COUNTIF(CO4:CP103,EL12)/COUNT(CN4:CN103)</f>
        <v>0</v>
      </c>
      <c r="EN14" s="73">
        <f ca="1">COUNTIF(EA4:EB503,EL12)/COUNT(DZ4:DZ503)</f>
        <v>0</v>
      </c>
      <c r="EO14" s="73">
        <f ca="1">COUNTIF(FQ3:FQ502,EL12)/COUNT(FP3:FP502)</f>
        <v>0</v>
      </c>
      <c r="EP14" s="75">
        <f ca="1">AQ17+IF(AP17=EL12,CJ17,0)+IF(CI17=EL12,DX17,0)+IF(DW17=EK12,FO3,0)</f>
        <v>7</v>
      </c>
      <c r="ER14" s="72" t="s">
        <v>0</v>
      </c>
      <c r="ES14" s="104">
        <v>85.530082434087518</v>
      </c>
      <c r="ET14" s="72">
        <v>3</v>
      </c>
      <c r="EU14" s="73">
        <v>10</v>
      </c>
      <c r="EV14" s="73">
        <v>7</v>
      </c>
      <c r="EW14" s="73">
        <v>17</v>
      </c>
      <c r="EX14" s="73">
        <v>21</v>
      </c>
      <c r="EY14" s="73">
        <v>5</v>
      </c>
      <c r="EZ14" s="73">
        <v>6</v>
      </c>
      <c r="FA14" s="73">
        <v>13</v>
      </c>
      <c r="FB14" s="73">
        <v>6</v>
      </c>
      <c r="FC14" s="73">
        <v>7</v>
      </c>
      <c r="FD14" s="73">
        <v>7</v>
      </c>
      <c r="FE14" s="73">
        <v>14</v>
      </c>
      <c r="FF14" s="73">
        <v>21</v>
      </c>
      <c r="FG14" s="73">
        <v>7</v>
      </c>
      <c r="FH14" s="73">
        <v>7</v>
      </c>
      <c r="FI14" s="73">
        <v>28</v>
      </c>
      <c r="FJ14" s="75">
        <v>14</v>
      </c>
      <c r="FP14" s="73">
        <v>12</v>
      </c>
      <c r="FQ14" s="73" t="str">
        <v>Winnipeg</v>
      </c>
    </row>
    <row r="15" spans="1:173" ht="15.75" thickBot="1">
      <c r="F15" s="79"/>
      <c r="M15" s="115" t="s">
        <v>467</v>
      </c>
      <c r="N15" s="114"/>
      <c r="O15" s="114"/>
      <c r="P15" s="114"/>
      <c r="Q15" s="114" t="s">
        <v>468</v>
      </c>
      <c r="R15" s="114"/>
      <c r="S15" s="114"/>
      <c r="T15" s="114"/>
      <c r="U15" s="114" t="s">
        <v>469</v>
      </c>
      <c r="V15" s="114"/>
      <c r="W15" s="114"/>
      <c r="X15" s="114"/>
      <c r="Y15" s="114" t="s">
        <v>470</v>
      </c>
      <c r="Z15" s="114"/>
      <c r="AA15" s="114"/>
      <c r="AB15" s="114"/>
      <c r="AC15" s="114" t="s">
        <v>471</v>
      </c>
      <c r="AD15" s="114"/>
      <c r="AE15" s="114"/>
      <c r="AF15" s="114"/>
      <c r="AG15" s="114" t="s">
        <v>472</v>
      </c>
      <c r="AH15" s="114"/>
      <c r="AI15" s="114"/>
      <c r="AJ15" s="114"/>
      <c r="AK15" s="114" t="s">
        <v>473</v>
      </c>
      <c r="AL15" s="114"/>
      <c r="AM15" s="114"/>
      <c r="AN15" s="114"/>
      <c r="AO15" s="75" t="s">
        <v>466</v>
      </c>
      <c r="AR15" s="72">
        <v>12</v>
      </c>
      <c r="AS15" s="73" t="str">
        <v>Boston</v>
      </c>
      <c r="AT15" s="73" t="str">
        <v>Pittsburgh</v>
      </c>
      <c r="AU15" s="73" t="str">
        <v>Tampa Bay</v>
      </c>
      <c r="AV15" s="75" t="str">
        <v>Washington</v>
      </c>
      <c r="AW15" s="72">
        <v>12</v>
      </c>
      <c r="AX15" s="73" t="str">
        <v>Minnesota</v>
      </c>
      <c r="AY15" s="73" t="str">
        <v>Vancouver</v>
      </c>
      <c r="AZ15" s="73" t="str">
        <v>St. Louis</v>
      </c>
      <c r="BA15" s="75" t="str">
        <v>Winnipeg</v>
      </c>
      <c r="BF15" s="114" t="s">
        <v>467</v>
      </c>
      <c r="BG15" s="114"/>
      <c r="BH15" s="114"/>
      <c r="BI15" s="114"/>
      <c r="BJ15" s="114" t="s">
        <v>468</v>
      </c>
      <c r="BK15" s="114"/>
      <c r="BL15" s="114"/>
      <c r="BM15" s="114"/>
      <c r="BN15" s="114" t="s">
        <v>469</v>
      </c>
      <c r="BO15" s="114"/>
      <c r="BP15" s="114"/>
      <c r="BQ15" s="114"/>
      <c r="BR15" s="114" t="s">
        <v>470</v>
      </c>
      <c r="BS15" s="114"/>
      <c r="BT15" s="114"/>
      <c r="BU15" s="114"/>
      <c r="BV15" s="114" t="s">
        <v>471</v>
      </c>
      <c r="BW15" s="114"/>
      <c r="BX15" s="114"/>
      <c r="BY15" s="114"/>
      <c r="BZ15" s="114" t="s">
        <v>472</v>
      </c>
      <c r="CA15" s="114"/>
      <c r="CB15" s="114"/>
      <c r="CC15" s="114"/>
      <c r="CD15" s="114" t="s">
        <v>473</v>
      </c>
      <c r="CE15" s="114"/>
      <c r="CF15" s="114"/>
      <c r="CG15" s="114"/>
      <c r="CH15" s="75" t="s">
        <v>466</v>
      </c>
      <c r="CK15" s="72">
        <v>12</v>
      </c>
      <c r="CL15" s="73" t="str">
        <v>Pittsburgh</v>
      </c>
      <c r="CM15" s="75" t="str">
        <v>Detroit</v>
      </c>
      <c r="CN15" s="72">
        <v>12</v>
      </c>
      <c r="CO15" s="73" t="str">
        <v>Vancouver</v>
      </c>
      <c r="CP15" s="75" t="str">
        <v>Winnipeg</v>
      </c>
      <c r="CQ15" s="72"/>
      <c r="CU15" s="114" t="s">
        <v>467</v>
      </c>
      <c r="CV15" s="114"/>
      <c r="CW15" s="114"/>
      <c r="CX15" s="114"/>
      <c r="CY15" s="114" t="s">
        <v>468</v>
      </c>
      <c r="CZ15" s="114"/>
      <c r="DA15" s="114"/>
      <c r="DB15" s="114"/>
      <c r="DC15" s="114" t="s">
        <v>469</v>
      </c>
      <c r="DD15" s="114"/>
      <c r="DE15" s="114"/>
      <c r="DF15" s="114"/>
      <c r="DG15" s="114" t="s">
        <v>470</v>
      </c>
      <c r="DH15" s="114"/>
      <c r="DI15" s="114"/>
      <c r="DJ15" s="114"/>
      <c r="DK15" s="114" t="s">
        <v>471</v>
      </c>
      <c r="DL15" s="114"/>
      <c r="DM15" s="114"/>
      <c r="DN15" s="114"/>
      <c r="DO15" s="114" t="s">
        <v>472</v>
      </c>
      <c r="DP15" s="114"/>
      <c r="DQ15" s="114"/>
      <c r="DR15" s="114"/>
      <c r="DS15" s="114" t="s">
        <v>473</v>
      </c>
      <c r="DT15" s="114"/>
      <c r="DU15" s="114"/>
      <c r="DV15" s="114"/>
      <c r="DW15" s="75" t="s">
        <v>466</v>
      </c>
      <c r="DZ15" s="72">
        <v>12</v>
      </c>
      <c r="EA15" s="73" t="str">
        <v>Tampa Bay</v>
      </c>
      <c r="EB15" s="75" t="str">
        <v>Winnipeg</v>
      </c>
      <c r="EE15" s="72">
        <v>2</v>
      </c>
      <c r="EF15" s="73" t="str">
        <f>B5</f>
        <v>NY Rangers</v>
      </c>
      <c r="EK15" s="72">
        <v>2</v>
      </c>
      <c r="EL15" s="73" t="str">
        <f>B18</f>
        <v>Anaheim</v>
      </c>
      <c r="EP15" s="75"/>
      <c r="ER15" s="72" t="s">
        <v>10</v>
      </c>
      <c r="ES15" s="104">
        <v>85.502478257351129</v>
      </c>
      <c r="ET15" s="72">
        <v>4</v>
      </c>
      <c r="EU15" s="73">
        <v>13</v>
      </c>
      <c r="EV15" s="73">
        <v>26</v>
      </c>
      <c r="EW15" s="73">
        <v>7</v>
      </c>
      <c r="EX15" s="73">
        <v>4</v>
      </c>
      <c r="EY15" s="73">
        <v>16</v>
      </c>
      <c r="EZ15" s="73">
        <v>14</v>
      </c>
      <c r="FA15" s="73">
        <v>7</v>
      </c>
      <c r="FB15" s="73">
        <v>6</v>
      </c>
      <c r="FC15" s="73">
        <v>7</v>
      </c>
      <c r="FD15" s="73">
        <v>7</v>
      </c>
      <c r="FE15" s="73">
        <v>14</v>
      </c>
      <c r="FF15" s="73">
        <v>21</v>
      </c>
      <c r="FG15" s="73">
        <v>7</v>
      </c>
      <c r="FH15" s="73">
        <v>7</v>
      </c>
      <c r="FI15" s="73">
        <v>28</v>
      </c>
      <c r="FJ15" s="75">
        <v>14</v>
      </c>
      <c r="FP15" s="73">
        <v>13</v>
      </c>
      <c r="FQ15" s="73" t="str">
        <v>Winnipeg</v>
      </c>
    </row>
    <row r="16" spans="1:173">
      <c r="A16" s="78" t="s">
        <v>442</v>
      </c>
      <c r="B16" s="78" t="s">
        <v>206</v>
      </c>
      <c r="C16" s="78" t="s">
        <v>176</v>
      </c>
      <c r="D16" s="78" t="s">
        <v>431</v>
      </c>
      <c r="E16" s="78" t="s">
        <v>432</v>
      </c>
      <c r="F16" s="74"/>
      <c r="G16" s="78" t="s">
        <v>459</v>
      </c>
      <c r="H16" s="78" t="s">
        <v>460</v>
      </c>
      <c r="I16" s="78" t="s">
        <v>461</v>
      </c>
      <c r="J16" s="78" t="s">
        <v>464</v>
      </c>
      <c r="K16" s="78" t="s">
        <v>479</v>
      </c>
      <c r="L16" s="78" t="s">
        <v>481</v>
      </c>
      <c r="M16" s="94" t="s">
        <v>483</v>
      </c>
      <c r="N16" s="78" t="s">
        <v>463</v>
      </c>
      <c r="O16" s="78" t="s">
        <v>482</v>
      </c>
      <c r="P16" s="98" t="s">
        <v>466</v>
      </c>
      <c r="Q16" s="78" t="s">
        <v>462</v>
      </c>
      <c r="R16" s="78" t="s">
        <v>463</v>
      </c>
      <c r="S16" s="78" t="s">
        <v>482</v>
      </c>
      <c r="T16" s="98" t="s">
        <v>466</v>
      </c>
      <c r="U16" s="78" t="s">
        <v>462</v>
      </c>
      <c r="V16" s="78" t="s">
        <v>463</v>
      </c>
      <c r="W16" s="78" t="s">
        <v>482</v>
      </c>
      <c r="X16" s="98" t="s">
        <v>466</v>
      </c>
      <c r="Y16" s="78" t="s">
        <v>462</v>
      </c>
      <c r="Z16" s="78" t="s">
        <v>463</v>
      </c>
      <c r="AA16" s="78" t="s">
        <v>482</v>
      </c>
      <c r="AB16" s="98" t="s">
        <v>466</v>
      </c>
      <c r="AC16" s="78" t="s">
        <v>462</v>
      </c>
      <c r="AD16" s="78" t="s">
        <v>463</v>
      </c>
      <c r="AE16" s="78" t="s">
        <v>482</v>
      </c>
      <c r="AF16" s="98" t="s">
        <v>466</v>
      </c>
      <c r="AG16" s="78" t="s">
        <v>462</v>
      </c>
      <c r="AH16" s="78" t="s">
        <v>463</v>
      </c>
      <c r="AI16" s="78" t="s">
        <v>482</v>
      </c>
      <c r="AJ16" s="98" t="s">
        <v>466</v>
      </c>
      <c r="AK16" s="78" t="s">
        <v>462</v>
      </c>
      <c r="AL16" s="78" t="s">
        <v>463</v>
      </c>
      <c r="AM16" s="78" t="s">
        <v>482</v>
      </c>
      <c r="AN16" s="98" t="s">
        <v>466</v>
      </c>
      <c r="AO16" s="75"/>
      <c r="AR16" s="72">
        <v>13</v>
      </c>
      <c r="AS16" s="73" t="str">
        <v>Montreal</v>
      </c>
      <c r="AT16" s="73" t="str">
        <v>Pittsburgh</v>
      </c>
      <c r="AU16" s="73" t="str">
        <v>Detroit</v>
      </c>
      <c r="AV16" s="75" t="str">
        <v>NY Rangers</v>
      </c>
      <c r="AW16" s="72">
        <v>13</v>
      </c>
      <c r="AX16" s="73" t="str">
        <v>Minnesota</v>
      </c>
      <c r="AY16" s="73" t="str">
        <v>Vancouver</v>
      </c>
      <c r="AZ16" s="73" t="str">
        <v>St. Louis</v>
      </c>
      <c r="BA16" s="75" t="str">
        <v>Winnipeg</v>
      </c>
      <c r="BB16" s="78" t="s">
        <v>484</v>
      </c>
      <c r="BC16" s="78" t="s">
        <v>431</v>
      </c>
      <c r="BD16" s="78" t="s">
        <v>432</v>
      </c>
      <c r="BE16" s="78" t="s">
        <v>481</v>
      </c>
      <c r="BF16" s="78" t="s">
        <v>462</v>
      </c>
      <c r="BG16" s="78" t="s">
        <v>463</v>
      </c>
      <c r="BH16" s="78" t="s">
        <v>482</v>
      </c>
      <c r="BI16" s="98" t="s">
        <v>466</v>
      </c>
      <c r="BJ16" s="78" t="s">
        <v>462</v>
      </c>
      <c r="BK16" s="78" t="s">
        <v>463</v>
      </c>
      <c r="BL16" s="78" t="s">
        <v>482</v>
      </c>
      <c r="BM16" s="98" t="s">
        <v>466</v>
      </c>
      <c r="BN16" s="78" t="s">
        <v>462</v>
      </c>
      <c r="BO16" s="78" t="s">
        <v>463</v>
      </c>
      <c r="BP16" s="78" t="s">
        <v>482</v>
      </c>
      <c r="BQ16" s="98" t="s">
        <v>466</v>
      </c>
      <c r="BR16" s="78" t="s">
        <v>462</v>
      </c>
      <c r="BS16" s="78" t="s">
        <v>463</v>
      </c>
      <c r="BT16" s="78" t="s">
        <v>482</v>
      </c>
      <c r="BU16" s="98" t="s">
        <v>466</v>
      </c>
      <c r="BV16" s="78" t="s">
        <v>462</v>
      </c>
      <c r="BW16" s="78" t="s">
        <v>463</v>
      </c>
      <c r="BX16" s="78" t="s">
        <v>482</v>
      </c>
      <c r="BY16" s="98" t="s">
        <v>466</v>
      </c>
      <c r="BZ16" s="78" t="s">
        <v>462</v>
      </c>
      <c r="CA16" s="78" t="s">
        <v>463</v>
      </c>
      <c r="CB16" s="78" t="s">
        <v>482</v>
      </c>
      <c r="CC16" s="98" t="s">
        <v>466</v>
      </c>
      <c r="CD16" s="78" t="s">
        <v>462</v>
      </c>
      <c r="CE16" s="78" t="s">
        <v>463</v>
      </c>
      <c r="CF16" s="78" t="s">
        <v>482</v>
      </c>
      <c r="CG16" s="98" t="s">
        <v>466</v>
      </c>
      <c r="CH16" s="75"/>
      <c r="CK16" s="72">
        <v>13</v>
      </c>
      <c r="CL16" s="73" t="str">
        <v>Boston</v>
      </c>
      <c r="CM16" s="75" t="str">
        <v>Detroit</v>
      </c>
      <c r="CN16" s="72">
        <v>13</v>
      </c>
      <c r="CO16" s="73" t="str">
        <v>Vancouver</v>
      </c>
      <c r="CP16" s="75" t="str">
        <v>Winnipeg</v>
      </c>
      <c r="CQ16" s="94" t="s">
        <v>484</v>
      </c>
      <c r="CR16" s="78" t="s">
        <v>431</v>
      </c>
      <c r="CS16" s="78" t="s">
        <v>432</v>
      </c>
      <c r="CT16" s="78" t="s">
        <v>481</v>
      </c>
      <c r="CU16" s="78" t="s">
        <v>462</v>
      </c>
      <c r="CV16" s="78" t="s">
        <v>463</v>
      </c>
      <c r="CW16" s="78" t="s">
        <v>482</v>
      </c>
      <c r="CX16" s="98" t="s">
        <v>466</v>
      </c>
      <c r="CY16" s="78" t="s">
        <v>462</v>
      </c>
      <c r="CZ16" s="78" t="s">
        <v>463</v>
      </c>
      <c r="DA16" s="78" t="s">
        <v>482</v>
      </c>
      <c r="DB16" s="98" t="s">
        <v>466</v>
      </c>
      <c r="DC16" s="78" t="s">
        <v>462</v>
      </c>
      <c r="DD16" s="78" t="s">
        <v>463</v>
      </c>
      <c r="DE16" s="78" t="s">
        <v>482</v>
      </c>
      <c r="DF16" s="98" t="s">
        <v>466</v>
      </c>
      <c r="DG16" s="78" t="s">
        <v>462</v>
      </c>
      <c r="DH16" s="78" t="s">
        <v>463</v>
      </c>
      <c r="DI16" s="78" t="s">
        <v>482</v>
      </c>
      <c r="DJ16" s="98" t="s">
        <v>466</v>
      </c>
      <c r="DK16" s="78" t="s">
        <v>462</v>
      </c>
      <c r="DL16" s="78" t="s">
        <v>463</v>
      </c>
      <c r="DM16" s="78" t="s">
        <v>482</v>
      </c>
      <c r="DN16" s="98" t="s">
        <v>466</v>
      </c>
      <c r="DO16" s="78" t="s">
        <v>462</v>
      </c>
      <c r="DP16" s="78" t="s">
        <v>463</v>
      </c>
      <c r="DQ16" s="78" t="s">
        <v>482</v>
      </c>
      <c r="DR16" s="98" t="s">
        <v>466</v>
      </c>
      <c r="DS16" s="78" t="s">
        <v>462</v>
      </c>
      <c r="DT16" s="78" t="s">
        <v>463</v>
      </c>
      <c r="DU16" s="78" t="s">
        <v>482</v>
      </c>
      <c r="DV16" s="98" t="s">
        <v>466</v>
      </c>
      <c r="DW16" s="75"/>
      <c r="DZ16" s="72">
        <v>13</v>
      </c>
      <c r="EA16" s="73" t="str">
        <v>Washington</v>
      </c>
      <c r="EB16" s="75" t="str">
        <v>Winnipeg</v>
      </c>
      <c r="EE16" s="72"/>
      <c r="EF16" s="73" t="s">
        <v>522</v>
      </c>
      <c r="EG16" s="73" t="s">
        <v>523</v>
      </c>
      <c r="EH16" s="73" t="s">
        <v>524</v>
      </c>
      <c r="EI16" s="79" t="s">
        <v>521</v>
      </c>
      <c r="EJ16" s="79" t="s">
        <v>526</v>
      </c>
      <c r="EK16" s="72"/>
      <c r="EL16" s="79" t="s">
        <v>522</v>
      </c>
      <c r="EM16" s="79" t="s">
        <v>523</v>
      </c>
      <c r="EN16" s="79" t="s">
        <v>524</v>
      </c>
      <c r="EO16" s="79" t="s">
        <v>521</v>
      </c>
      <c r="EP16" s="97" t="s">
        <v>526</v>
      </c>
      <c r="ER16" s="72" t="s">
        <v>27</v>
      </c>
      <c r="ES16" s="104">
        <v>85.372907708176413</v>
      </c>
      <c r="ET16" s="72">
        <v>5</v>
      </c>
      <c r="EU16" s="73">
        <v>7</v>
      </c>
      <c r="EV16" s="73">
        <v>6</v>
      </c>
      <c r="EW16" s="73">
        <v>6</v>
      </c>
      <c r="EX16" s="73">
        <v>6</v>
      </c>
      <c r="EY16" s="73">
        <v>23</v>
      </c>
      <c r="EZ16" s="73">
        <v>15</v>
      </c>
      <c r="FA16" s="73">
        <v>10</v>
      </c>
      <c r="FB16" s="73">
        <v>12</v>
      </c>
      <c r="FC16" s="73">
        <v>7</v>
      </c>
      <c r="FD16" s="73">
        <v>7</v>
      </c>
      <c r="FE16" s="73">
        <v>14</v>
      </c>
      <c r="FF16" s="73">
        <v>21</v>
      </c>
      <c r="FG16" s="73">
        <v>7</v>
      </c>
      <c r="FH16" s="73">
        <v>7</v>
      </c>
      <c r="FI16" s="73">
        <v>28</v>
      </c>
      <c r="FJ16" s="75">
        <v>14</v>
      </c>
      <c r="FP16" s="73">
        <v>14</v>
      </c>
      <c r="FQ16" s="73" t="str">
        <v>Winnipeg</v>
      </c>
    </row>
    <row r="17" spans="1:173">
      <c r="A17" s="73">
        <v>1</v>
      </c>
      <c r="B17" s="73" t="s">
        <v>448</v>
      </c>
      <c r="C17" s="73">
        <f>VLOOKUP(B17,Schedule!$A$2:$B$31,2,0)/100</f>
        <v>0.8456786728740262</v>
      </c>
      <c r="D17" s="73" t="e">
        <f>VLOOKUP(B17,'Team Stats'!$B$4:$H$32,13,0)</f>
        <v>#N/A</v>
      </c>
      <c r="E17" s="73" t="e">
        <f>VLOOKUP(B17,'Team Stats'!$B$4:$H$32,14,0)</f>
        <v>#N/A</v>
      </c>
      <c r="F17" s="74"/>
      <c r="G17" s="73">
        <v>1</v>
      </c>
      <c r="H17" s="73">
        <v>1</v>
      </c>
      <c r="I17" s="73">
        <f>VLOOKUP(H17,$A$17:$C$24,3,0)</f>
        <v>0.8456786728740262</v>
      </c>
      <c r="J17" s="73" t="e">
        <f>VLOOKUP(H17,$A$17:$E$24,4,0)</f>
        <v>#N/A</v>
      </c>
      <c r="K17" s="73" t="e">
        <f>VLOOKUP(H17,$A$17:$E$24,5,0)</f>
        <v>#N/A</v>
      </c>
      <c r="L17" s="73" t="e">
        <f>J17-(I2-K18)</f>
        <v>#N/A</v>
      </c>
      <c r="M17" s="95">
        <f t="shared" ref="M17:M24" ca="1" si="67">_xlfn.NORM.INV(RAND(),I17,G$2*H$2)</f>
        <v>0.82623295359250293</v>
      </c>
      <c r="N17" s="73" t="e">
        <f ca="1">ranpoi(L17,RAND()*M17)</f>
        <v>#VALUE!</v>
      </c>
      <c r="O17" s="73" t="e">
        <f ca="1">IF(N17&gt;6,6,N17)</f>
        <v>#VALUE!</v>
      </c>
      <c r="P17" s="99" t="e">
        <f ca="1">IF(O17&gt;O18,H17,H18)</f>
        <v>#VALUE!</v>
      </c>
      <c r="Q17" s="73">
        <f ca="1">_xlfn.NORM.INV(RAND(),I17,$G$2*$H$2)</f>
        <v>0.83912496785890356</v>
      </c>
      <c r="R17" s="73" t="e">
        <f ca="1">ranpoi(L17,RAND()*M17)</f>
        <v>#VALUE!</v>
      </c>
      <c r="S17" s="73" t="e">
        <f ca="1">IF(R17&gt;6,6,R17)</f>
        <v>#VALUE!</v>
      </c>
      <c r="T17" s="99" t="e">
        <f ca="1">IF(S17&gt;S18,H17,H18)</f>
        <v>#VALUE!</v>
      </c>
      <c r="U17" s="73">
        <f ca="1">_xlfn.NORM.INV(RAND(),$I$17,$G$2*$H$2)</f>
        <v>0.87695443571071996</v>
      </c>
      <c r="V17" s="73" t="e">
        <f ca="1">ranpoi(L17,RAND()*M17)</f>
        <v>#VALUE!</v>
      </c>
      <c r="W17" s="73" t="e">
        <f ca="1">IF(V17&gt;6,6,V17)</f>
        <v>#VALUE!</v>
      </c>
      <c r="X17" s="99" t="e">
        <f ca="1">IF(W17&gt;W18,H17,H18)</f>
        <v>#VALUE!</v>
      </c>
      <c r="Y17" s="73">
        <f ca="1">_xlfn.NORM.INV(RAND(),$I$17,$G$2*$H$2)</f>
        <v>0.78865698321288047</v>
      </c>
      <c r="Z17" s="73" t="e">
        <f ca="1">ranpoi(L17,RAND()*M17)</f>
        <v>#VALUE!</v>
      </c>
      <c r="AA17" s="73" t="e">
        <f ca="1">IF(Z17&gt;6,6,Z17)</f>
        <v>#VALUE!</v>
      </c>
      <c r="AB17" s="99" t="e">
        <f ca="1">IF(AA17&gt;AA18,H17,H18)</f>
        <v>#VALUE!</v>
      </c>
      <c r="AC17" s="73">
        <f ca="1">_xlfn.NORM.INV(RAND(),$I$17,$G$2*$H$2)</f>
        <v>0.85893444192645818</v>
      </c>
      <c r="AD17" s="73" t="e">
        <f ca="1">ranpoi(L17,RAND()*M17)</f>
        <v>#VALUE!</v>
      </c>
      <c r="AE17" s="73" t="e">
        <f ca="1">IF(AD17&gt;6,6,AD17)</f>
        <v>#VALUE!</v>
      </c>
      <c r="AF17" s="99" t="e">
        <f ca="1">IF((COUNTIF(P17:P18,1)+COUNTIF(T17:T18,1)+COUNTIF(X17:X18,1)+COUNTIF(AB17:AB18,1))=4,"",IF((COUNTIF(P17:P18,8)+COUNTIF(T17:T18,8)+COUNTIF(X17:X18,8)+COUNTIF(AB4:AB5,8))=4,"",IF(AE17&gt;AE18,H17,H18)))</f>
        <v>#VALUE!</v>
      </c>
      <c r="AG17" s="73">
        <f ca="1">_xlfn.NORM.INV(RAND(),$I$17,$G$2*$H$2)</f>
        <v>0.86331933967883967</v>
      </c>
      <c r="AH17" s="73" t="e">
        <f ca="1">ranpoi(L17,RAND()*M17)</f>
        <v>#VALUE!</v>
      </c>
      <c r="AI17" s="73" t="e">
        <f ca="1">IF(AH17&gt;6,6,AH17)</f>
        <v>#VALUE!</v>
      </c>
      <c r="AJ17" s="99" t="e">
        <f ca="1">IF((COUNTIF(P17:P18,1)+COUNTIF(T17:T18,1)+COUNTIF(X17:X18,1)+COUNTIF(AB17:AB18,1)+COUNTIF(AF17:AF18,1))=4,"",IF((COUNTIF(P17:P18,8)+COUNTIF(T17:T18,8)+COUNTIF(X17:X18,8)+COUNTIF(AB17:AB18,8)+COUNTIF(AF17:AF18,8))=4,"",IF(AI17&gt;AI18,H17,H18)))</f>
        <v>#VALUE!</v>
      </c>
      <c r="AK17" s="73">
        <f ca="1">_xlfn.NORM.INV(RAND(),$I$17,$G$2*$H$2)</f>
        <v>0.97510894782129975</v>
      </c>
      <c r="AL17" s="73" t="e">
        <f ca="1">ranpoi(L17,RAND()*M17)</f>
        <v>#VALUE!</v>
      </c>
      <c r="AM17" s="73" t="e">
        <f ca="1">IF(AL17&gt;6,6,AL17)</f>
        <v>#VALUE!</v>
      </c>
      <c r="AN17" s="99" t="e">
        <f ca="1">IF((COUNTIF(P17:P18,1)+COUNTIF(T17:T18,1)+COUNTIF(X17:X18,1)+COUNTIF(AB17:AB18,1)+COUNTIF(AF17:AF18,1)+COUNTIF(AJ17:AJ18,1))=4,"",IF((COUNTIF(P17:P18,8)+COUNTIF(T17:T18,8)+COUNTIF(X17:X18,8)+COUNTIF(AB17:AB18,8)+COUNTIF(AF17:AF18,8)+COUNTIF(AJ17:AJ18,8))=4,"",IF(AM17&gt;AM18,H17,H18)))</f>
        <v>#VALUE!</v>
      </c>
      <c r="AO17" s="75">
        <f ca="1">IF((COUNTIF(P17:P18,1)+COUNTIF(T17:T18,1)+COUNTIF(X17:X18,1)+COUNTIF(AB17:AB18,1)+COUNTIF(AF17:AF18,1)+COUNTIF(AJ17:AJ18,1)+COUNTIF(AN17:AN18,1)&gt;COUNTIF(P17:P18,8)+COUNTIF(T17:T18,8)+COUNTIF(X17:X18,8)+COUNTIF(AB17:AB18,8)+COUNTIF(AF17:AF18,8)+COUNTIF(AJ17:AJ18,8)+COUNTIF(AN17:AN18,8)),H17,H18)</f>
        <v>8</v>
      </c>
      <c r="AP17" s="73" t="str">
        <f ca="1">VLOOKUP(AO17,$A$17:$E$24,2,0)</f>
        <v>Minnesota</v>
      </c>
      <c r="AQ17" s="73">
        <f ca="1">7-(COUNTIF(P17,"")+COUNTIF(T17,"")+COUNTIF(X17,"")+COUNTIF(AB17,"")+COUNTIF(AF17,"")+COUNTIF(AJ17,"")+COUNTIF(AN17,""))</f>
        <v>7</v>
      </c>
      <c r="AR17" s="72">
        <v>14</v>
      </c>
      <c r="AS17" s="73" t="str">
        <v>Boston</v>
      </c>
      <c r="AT17" s="73" t="str">
        <v>NY Islanders</v>
      </c>
      <c r="AU17" s="73" t="str">
        <v>Tampa Bay</v>
      </c>
      <c r="AV17" s="75" t="str">
        <v>NY Rangers</v>
      </c>
      <c r="AW17" s="72">
        <v>14</v>
      </c>
      <c r="AX17" s="73" t="str">
        <v>Minnesota</v>
      </c>
      <c r="AY17" s="73" t="str">
        <v>Vancouver</v>
      </c>
      <c r="AZ17" s="73" t="str">
        <v>St. Louis</v>
      </c>
      <c r="BA17" s="75" t="str">
        <v>Winnipeg</v>
      </c>
      <c r="BB17" s="73">
        <f ca="1">VLOOKUP(AO17,$A$17:$E$24,3,0)</f>
        <v>0.84558509389146563</v>
      </c>
      <c r="BC17" s="73" t="e">
        <f ca="1">VLOOKUP(AO17,$A$17:$E$24,4,0)</f>
        <v>#N/A</v>
      </c>
      <c r="BD17" s="73" t="e">
        <f ca="1">VLOOKUP(AO17,$A$17:$E$24,5,0)</f>
        <v>#N/A</v>
      </c>
      <c r="BE17" s="73" t="e">
        <f ca="1">BC17-(I2-BD19)</f>
        <v>#N/A</v>
      </c>
      <c r="BF17" s="73">
        <f ca="1">_xlfn.NORM.INV(RAND(),BB17,$G$2*$H$2)</f>
        <v>0.87294435222478872</v>
      </c>
      <c r="BG17" s="73" t="e">
        <f ca="1">ranpoi(BE17,RAND()*BF17)</f>
        <v>#VALUE!</v>
      </c>
      <c r="BH17" s="73" t="e">
        <f ca="1">IF(BG17&gt;6,6,BG17)</f>
        <v>#VALUE!</v>
      </c>
      <c r="BI17" s="99" t="e">
        <f ca="1">IF(BH17&gt;BH19,AO17,AO19)</f>
        <v>#VALUE!</v>
      </c>
      <c r="BJ17" s="73">
        <f ca="1">_xlfn.NORM.INV(RAND(),BB17,$G$2*$H$2)</f>
        <v>0.91613007946907299</v>
      </c>
      <c r="BK17" s="73" t="e">
        <f ca="1">ranpoi(BE17,RAND()*BJ17)</f>
        <v>#VALUE!</v>
      </c>
      <c r="BL17" s="73" t="e">
        <f ca="1">IF(BK17&gt;6,6,BK17)</f>
        <v>#VALUE!</v>
      </c>
      <c r="BM17" s="99" t="e">
        <f ca="1">IF(BL17&gt;BL19,AO17,AO19)</f>
        <v>#VALUE!</v>
      </c>
      <c r="BN17" s="73">
        <f ca="1">_xlfn.NORM.INV(RAND(),BB17,$G$2*$H$2)</f>
        <v>0.87413742453617693</v>
      </c>
      <c r="BO17" s="73" t="e">
        <f ca="1">ranpoi(BE17,RAND()*BN17)</f>
        <v>#VALUE!</v>
      </c>
      <c r="BP17" s="73" t="e">
        <f ca="1">IF(BO17&gt;6,6,BO17)</f>
        <v>#VALUE!</v>
      </c>
      <c r="BQ17" s="99" t="e">
        <f ca="1">IF(BP17&gt;BP19,AO17,AO19)</f>
        <v>#VALUE!</v>
      </c>
      <c r="BR17" s="73">
        <f ca="1">_xlfn.NORM.INV(RAND(),BB17,$G$2*$H$2)</f>
        <v>0.85768223633493734</v>
      </c>
      <c r="BS17" s="73" t="e">
        <f ca="1">ranpoi(BE17,RAND()*BR17)</f>
        <v>#VALUE!</v>
      </c>
      <c r="BT17" s="73" t="e">
        <f ca="1">IF(BS17&gt;6,6,BS17)</f>
        <v>#VALUE!</v>
      </c>
      <c r="BU17" s="99" t="e">
        <f ca="1">IF(BT17&gt;BT19,AO17,AO19)</f>
        <v>#VALUE!</v>
      </c>
      <c r="BV17" s="73">
        <f ca="1">_xlfn.NORM.INV(RAND(),BB17,$G$2*$H$2)</f>
        <v>0.84393371268217499</v>
      </c>
      <c r="BW17" s="73" t="e">
        <f ca="1">ranpoi(BE17,RAND()*BV17)</f>
        <v>#VALUE!</v>
      </c>
      <c r="BX17" s="73" t="e">
        <f ca="1">IF(BW17&gt;6,6,BW17)</f>
        <v>#VALUE!</v>
      </c>
      <c r="BY17" s="99" t="e">
        <f ca="1">IF((COUNTIF(BI17:BI18,AO17)+COUNTIF(BM17:BM18,AO17)+COUNTIF(BQ17:BQ18,AO17)+COUNTIF(BU17:BU18,AO17))=4,"",IF((COUNTIF(BI17:BI18,AO19)+COUNTIF(BM17:BM18,AO19)+COUNTIF(BQ17:BQ18,AO19)+COUNTIF(BU17:BU18,AO19))=4,"",IF(BX17&gt;BX19,AO17,AO19)))</f>
        <v>#VALUE!</v>
      </c>
      <c r="BZ17" s="73">
        <f ca="1">_xlfn.NORM.INV(RAND(),BB17,$G$2*$H$2)</f>
        <v>0.82476135202519574</v>
      </c>
      <c r="CA17" s="73" t="e">
        <f ca="1">ranpoi(BE17,RAND()*BZ17)</f>
        <v>#VALUE!</v>
      </c>
      <c r="CB17" s="73" t="e">
        <f ca="1">IF(CA17&gt;6,6,CA17)</f>
        <v>#VALUE!</v>
      </c>
      <c r="CC17" s="99" t="e">
        <f ca="1">IF((COUNTIF(BI17:BI18,AO17)+COUNTIF(BM17:BM18,AO17)+COUNTIF(BQ17:BQ18,AO17)+COUNTIF(BU17:BU18,AO17)+COUNTIF(BY17:BY18,AO17))=4,"",IF((COUNTIF(BI17:BI18,AO19)+COUNTIF(BM17:BM18,AO19)+COUNTIF(BQ17:BQ18,AO19)+COUNTIF(BU17:BU18,AO19)+COUNTIF(BY17:BY18,AO19))=4,"",IF(CB17&gt;CB19,AO17,AO19)))</f>
        <v>#VALUE!</v>
      </c>
      <c r="CD17" s="73">
        <f ca="1">_xlfn.NORM.INV(RAND(),BB17,$G$2*$H$2)</f>
        <v>0.78296252107234354</v>
      </c>
      <c r="CE17" s="73" t="e">
        <f ca="1">ranpoi(BE17,RAND()*CD17)</f>
        <v>#VALUE!</v>
      </c>
      <c r="CF17" s="73" t="e">
        <f ca="1">IF(CE17&gt;6,6,CE17)</f>
        <v>#VALUE!</v>
      </c>
      <c r="CG17" s="99" t="e">
        <f ca="1">IF((COUNTIF(BI17:BI18,AO17)+COUNTIF(BM17:BM18,AO17)+COUNTIF(BQ17:BQ18,AO17)+COUNTIF(BU17:BU18,AO17)+COUNTIF(BY17:BY18,AO17)+COUNTIF(CC17:CC18,AO17))=4,"",IF((COUNTIF(BI17:BI18,AO19)+COUNTIF(BM17:BM18,AO19)+COUNTIF(BQ17:BQ18,AO19)+COUNTIF(BU17:BU18,AO19)+COUNTIF(BY17:BY18,AO19)+COUNTIF(CC17:CC18,AO19))=4,"",IF(CF17&gt;CF19,AO17,AO19)))</f>
        <v>#VALUE!</v>
      </c>
      <c r="CH17" s="75">
        <f ca="1">IF((COUNTIF(BI17:BI18,AO17)+COUNTIF(BM17:BM18,AO17)+COUNTIF(BQ17:BQ18,AO17)+COUNTIF(BU17:BU18,AO17)+COUNTIF(BY17:BY18,AO17)+COUNTIF(CC17:CC18,AO17)+COUNTIF(CG17:CG18,AO17)&gt;COUNTIF(BI17:BI18,AO19)+COUNTIF(BM17:BM18,AO19)+COUNTIF(BQ17:BQ18,AO19)+COUNTIF(BU17:BU18,AO19)+COUNTIF(BY17:BY18,AO19)+COUNTIF(CC17:CC18,AO19)+COUNTIF(CG17:CG18,AO19)),AO17,AO19)</f>
        <v>4</v>
      </c>
      <c r="CI17" s="73" t="str">
        <f ca="1">VLOOKUP(CH17,$A$17:$E$24,2,0)</f>
        <v>Vancouver</v>
      </c>
      <c r="CJ17" s="73">
        <f ca="1">7-(COUNTIF(BI17,"")+COUNTIF(BM17,"")+COUNTIF(BQ17,"")+COUNTIF(BU17,"")+COUNTIF(BY17,"")+COUNTIF(CC17,"")+COUNTIF(CG17,""))</f>
        <v>7</v>
      </c>
      <c r="CK17" s="72">
        <v>14</v>
      </c>
      <c r="CL17" s="73" t="str">
        <v>NY Islanders</v>
      </c>
      <c r="CM17" s="75" t="str">
        <v>Tampa Bay</v>
      </c>
      <c r="CN17" s="72">
        <v>14</v>
      </c>
      <c r="CO17" s="73" t="str">
        <v>Vancouver</v>
      </c>
      <c r="CP17" s="75" t="str">
        <v>Winnipeg</v>
      </c>
      <c r="CQ17" s="72">
        <f ca="1">VLOOKUP(CH17,$A$17:$E$24,3,0)</f>
        <v>0.84804182291797114</v>
      </c>
      <c r="CR17" s="73" t="e">
        <f ca="1">VLOOKUP(CH17,$A$17:$E$24,4,0)</f>
        <v>#N/A</v>
      </c>
      <c r="CS17" s="73" t="e">
        <f ca="1">VLOOKUP(CH17,$A$17:$E$24,5,0)</f>
        <v>#N/A</v>
      </c>
      <c r="CT17" s="73" t="e">
        <f ca="1">CR17-(I2-CS21)</f>
        <v>#N/A</v>
      </c>
      <c r="CU17" s="73">
        <f ca="1">_xlfn.NORM.INV(RAND(),CQ17,$G$2*$H$2)</f>
        <v>0.84976669386847625</v>
      </c>
      <c r="CV17" s="73" t="e">
        <f ca="1">ranpoi(CT17,(RAND()*CU17))</f>
        <v>#VALUE!</v>
      </c>
      <c r="CW17" s="73" t="e">
        <f ca="1">IF(CV17&gt;6,6,CV17)</f>
        <v>#VALUE!</v>
      </c>
      <c r="CX17" s="99" t="e">
        <f ca="1">IF(CW17&gt;CW21,CH17,CH21)</f>
        <v>#VALUE!</v>
      </c>
      <c r="CY17" s="73">
        <f ca="1">_xlfn.NORM.INV(RAND(),CQ17,$G$2*$H$2)</f>
        <v>0.86603535957749556</v>
      </c>
      <c r="CZ17" s="73" t="e">
        <f ca="1">ranpoi(CT17,(RAND()*CY17))</f>
        <v>#VALUE!</v>
      </c>
      <c r="DA17" s="73" t="e">
        <f ca="1">IF(CZ17&gt;6,6,CZ17)</f>
        <v>#VALUE!</v>
      </c>
      <c r="DB17" s="99" t="e">
        <f ca="1">IF(DA17&gt;DA21,CH17,CH21)</f>
        <v>#VALUE!</v>
      </c>
      <c r="DC17" s="73">
        <f ca="1">_xlfn.NORM.INV(RAND(),CQ17,$G$2*$H$2)</f>
        <v>0.88219930771844723</v>
      </c>
      <c r="DD17" s="73" t="e">
        <f ca="1">ranpoi(CT17,(RAND()*DC17))</f>
        <v>#VALUE!</v>
      </c>
      <c r="DE17" s="73" t="e">
        <f ca="1">IF(DD17&gt;6,6,DD17)</f>
        <v>#VALUE!</v>
      </c>
      <c r="DF17" s="99" t="e">
        <f ca="1">IF(DE17&gt;DE21,CH17,CH21)</f>
        <v>#VALUE!</v>
      </c>
      <c r="DG17" s="73">
        <f ca="1">_xlfn.NORM.INV(RAND(),CQ17,$G$2*$H$2)</f>
        <v>0.86852226941824828</v>
      </c>
      <c r="DH17" s="73" t="e">
        <f ca="1">ranpoi(CT17,(RAND()*DG17))</f>
        <v>#VALUE!</v>
      </c>
      <c r="DI17" s="73" t="e">
        <f ca="1">IF(DH17&gt;6,6,DH17)</f>
        <v>#VALUE!</v>
      </c>
      <c r="DJ17" s="99" t="e">
        <f ca="1">IF(DI17&gt;DI21,CH17,CH21)</f>
        <v>#VALUE!</v>
      </c>
      <c r="DK17" s="73">
        <f ca="1">_xlfn.NORM.INV(RAND(),CQ17,$G$2*$H$2)</f>
        <v>0.91345090324913558</v>
      </c>
      <c r="DL17" s="73" t="e">
        <f ca="1">ranpoi(CT17,(RAND()*DK17))</f>
        <v>#VALUE!</v>
      </c>
      <c r="DM17" s="73" t="e">
        <f ca="1">IF(DL17&gt;6,6,DL17)</f>
        <v>#VALUE!</v>
      </c>
      <c r="DN17" s="99" t="e">
        <f ca="1">IF((COUNTIF(CX17:CX18,CH17)+COUNTIF(DB17:DB18,CH17)+COUNTIF(DF17:DF18,CH17)+COUNTIF(DJ17:DJ18,CH17))=4,"",IF((COUNTIF(CX17:CX18,CH21)+COUNTIF(DB17:DB18,CH21)+COUNTIF(DF17:DF18,CH21)+COUNTIF(DJ17:DJ18,CH21))=4,"",IF(DM17&gt;DM21,CH17,CH21)))</f>
        <v>#VALUE!</v>
      </c>
      <c r="DO17" s="73">
        <f ca="1">_xlfn.NORM.INV(RAND(),CQ17,$G$2*$H$2)</f>
        <v>0.85852466034055541</v>
      </c>
      <c r="DP17" s="73" t="e">
        <f ca="1">ranpoi(CT17,(RAND()*DO17))</f>
        <v>#VALUE!</v>
      </c>
      <c r="DQ17" s="73" t="e">
        <f ca="1">IF(DP17&gt;6,6,DP17)</f>
        <v>#VALUE!</v>
      </c>
      <c r="DR17" s="99" t="e">
        <f ca="1">IF((COUNTIF(CX17:CX18,CH17)+COUNTIF(DB17:DB18,CH17)+COUNTIF(DF17:DF18,CH17)+COUNTIF(DJ17:DJ18,CH17)+COUNTIF(DN17:DN18,CH17))=4,"",IF((COUNTIF(CX17:CX18,CH21)+COUNTIF(DB17:DB18,CH21)+COUNTIF(DF17:DF18,CH21)+COUNTIF(DJ17:DJ18,CH21)+COUNTIF(DN17:DN18,CH21))=4,"",IF(DQ17&gt;DQ21,CH17,CH21)))</f>
        <v>#VALUE!</v>
      </c>
      <c r="DS17" s="73">
        <f ca="1">_xlfn.NORM.INV(RAND(),CQ17,$G$2*$H$2)</f>
        <v>0.81068800352321813</v>
      </c>
      <c r="DT17" s="73" t="e">
        <f ca="1">ranpoi(CT17,(RAND()*DS17))</f>
        <v>#VALUE!</v>
      </c>
      <c r="DU17" s="73" t="e">
        <f ca="1">IF(DT17&gt;6,6,DT17)</f>
        <v>#VALUE!</v>
      </c>
      <c r="DV17" s="99" t="e">
        <f ca="1">IF((COUNTIF(CX17:CX18,CH17)+COUNTIF(DB17:DB18,CH17)+COUNTIF(DF17:DF18,CH17)+COUNTIF(DJ17:DJ18,CH17)+COUNTIF(DN17:DN18,CH17)+COUNTIF(DR17:DR18,CH17))=4,"",IF((COUNTIF(CX17:CX18,CH21)+COUNTIF(DB17:DB18,CH21)+COUNTIF(DF17:DF18,CH21)+COUNTIF(DJ17:DJ18,CH21)+COUNTIF(DN17:DN18,CH21)+COUNTIF(DR17:DR18,BW))=4,"",IF(DU17&gt;DU21,CH17,CH21)))</f>
        <v>#VALUE!</v>
      </c>
      <c r="DW17" s="75">
        <f ca="1">IF((COUNTIF(CX17:CX18,CH17)+COUNTIF(DB17:DB18,CH17)+COUNTIF(DF17:DF18,CH17)+COUNTIF(DJ17:DJ18,CH17)+COUNTIF(DN17:DN18,CH17)+COUNTIF(DR17:DR18,CH17)+COUNTIF(DV17:DV18,CH17)&gt;COUNTIF(CX17:CX18,CH21)+COUNTIF(DB17:DB18,CH21)+COUNTIF(DF17:DF18,CH21)+COUNTIF(DJ17:DJ18,CH21)+COUNTIF(DN17:DN18,CH21)+COUNTIF(DR17:DR18,CH21)+COUNTIF(DV17:DV18,CH21)),CH17,CH21)</f>
        <v>7</v>
      </c>
      <c r="DX17" s="73">
        <f ca="1">7-(COUNTIF(CX17,"")+COUNTIF(DB17,"")+COUNTIF(DF17,"")+COUNTIF(DJ17,"")+COUNTIF(DN17,"")+COUNTIF(DR17,"")+COUNTIF(DV17,""))</f>
        <v>7</v>
      </c>
      <c r="DZ17" s="72">
        <v>14</v>
      </c>
      <c r="EA17" s="73" t="str">
        <v>Tampa Bay</v>
      </c>
      <c r="EB17" s="75" t="str">
        <v>Winnipeg</v>
      </c>
      <c r="EE17" s="72"/>
      <c r="EF17" s="73">
        <f ca="1">COUNTIF(AS4:AV103,EF15)/COUNT(AR4:AR103)</f>
        <v>0.52</v>
      </c>
      <c r="EG17" s="73">
        <f ca="1">COUNTIF(CL4:CM103,EF15)/COUNT(CK4:CK103)</f>
        <v>0.02</v>
      </c>
      <c r="EH17" s="73">
        <f ca="1">COUNTIF(EA4:EB503,EF15)/COUNT(DZ4:DZ503)</f>
        <v>1.4E-2</v>
      </c>
      <c r="EI17" s="73">
        <f ca="1">COUNTIF(FQ3:FQ502,EF15)/COUNT(FP3:FP502)</f>
        <v>0</v>
      </c>
      <c r="EJ17" s="73">
        <f ca="1">AQ10+IF(AP10=EF15,CJ8,0)+IF(CI8=EF15,DX4,0)+IF(DW4=EE15,FO3,0)</f>
        <v>12</v>
      </c>
      <c r="EK17" s="72"/>
      <c r="EL17" s="73">
        <f ca="1">COUNTIF(AX4:BA103,EL15)/COUNT(AW4:AW103)</f>
        <v>0</v>
      </c>
      <c r="EM17" s="73">
        <f ca="1">COUNTIF(CO4:CP103,EL15)/COUNT(CN4:CN103)</f>
        <v>0</v>
      </c>
      <c r="EN17" s="73">
        <f ca="1">COUNTIF(EA4:EB503,EL15)/COUNT(DZ4:DZ503)</f>
        <v>0</v>
      </c>
      <c r="EO17" s="73">
        <f ca="1">COUNTIF(FQ3:FQ502,EL15)/COUNT(FP3:FP502)</f>
        <v>0</v>
      </c>
      <c r="EP17" s="75">
        <f ca="1">AQ23+IF(AP23=EL15,CJ21,0)+IF(CI21=EL15,DX17,0)+IF(DW17=EK15,FO3,0)</f>
        <v>7</v>
      </c>
      <c r="ER17" s="72" t="s">
        <v>177</v>
      </c>
      <c r="ES17" s="104">
        <v>85.347807451801742</v>
      </c>
      <c r="ET17" s="72">
        <v>6</v>
      </c>
      <c r="EU17" s="73">
        <v>6</v>
      </c>
      <c r="EV17" s="73">
        <v>6</v>
      </c>
      <c r="EW17" s="73">
        <v>16</v>
      </c>
      <c r="EX17" s="73">
        <v>6</v>
      </c>
      <c r="EY17" s="73">
        <v>11</v>
      </c>
      <c r="EZ17" s="73">
        <v>5</v>
      </c>
      <c r="FA17" s="73">
        <v>11</v>
      </c>
      <c r="FB17" s="73">
        <v>24</v>
      </c>
      <c r="FC17" s="73">
        <v>7</v>
      </c>
      <c r="FD17" s="73">
        <v>7</v>
      </c>
      <c r="FE17" s="73">
        <v>14</v>
      </c>
      <c r="FF17" s="73">
        <v>21</v>
      </c>
      <c r="FG17" s="73">
        <v>7</v>
      </c>
      <c r="FH17" s="73">
        <v>7</v>
      </c>
      <c r="FI17" s="73">
        <v>28</v>
      </c>
      <c r="FJ17" s="75">
        <v>14</v>
      </c>
      <c r="FP17" s="73">
        <v>15</v>
      </c>
      <c r="FQ17" s="73" t="str">
        <v>Winnipeg</v>
      </c>
    </row>
    <row r="18" spans="1:173">
      <c r="A18" s="73">
        <v>2</v>
      </c>
      <c r="B18" s="73" t="s">
        <v>449</v>
      </c>
      <c r="C18" s="73">
        <f>VLOOKUP(B18,Schedule!$A$2:$B$31,2,0)/100</f>
        <v>0.85502478257351133</v>
      </c>
      <c r="D18" s="73" t="e">
        <f>VLOOKUP(B18,'Team Stats'!$B$4:$H$32,13,0)</f>
        <v>#N/A</v>
      </c>
      <c r="E18" s="73" t="e">
        <f>VLOOKUP(B18,'Team Stats'!$B$4:$H$32,14,0)</f>
        <v>#N/A</v>
      </c>
      <c r="F18" s="74"/>
      <c r="H18" s="73">
        <v>8</v>
      </c>
      <c r="I18" s="73">
        <f t="shared" ref="I18:I24" si="68">VLOOKUP(H18,$A$17:$C$24,3,0)</f>
        <v>0.84558509389146563</v>
      </c>
      <c r="J18" s="73" t="e">
        <f t="shared" ref="J18:J24" si="69">VLOOKUP(H18,$A$17:$E$24,4,0)</f>
        <v>#N/A</v>
      </c>
      <c r="K18" s="73" t="e">
        <f t="shared" ref="K18:K24" si="70">VLOOKUP(H18,$A$17:$E$24,5,0)</f>
        <v>#N/A</v>
      </c>
      <c r="L18" s="73" t="e">
        <f>J18-(I2-K17)</f>
        <v>#N/A</v>
      </c>
      <c r="M18" s="95">
        <f t="shared" ca="1" si="67"/>
        <v>0.90145895804000453</v>
      </c>
      <c r="N18" s="73" t="e">
        <f t="shared" ref="N18:N24" ca="1" si="71">ranpoi(L18,RAND()*M18)</f>
        <v>#VALUE!</v>
      </c>
      <c r="O18" s="73" t="e">
        <f t="shared" ref="O18:O24" ca="1" si="72">IF(N18&gt;6,6,N18)</f>
        <v>#VALUE!</v>
      </c>
      <c r="P18" s="99"/>
      <c r="Q18" s="73">
        <f ca="1">_xlfn.NORM.INV(RAND(),I18,$G$2*$H$2)</f>
        <v>0.79900662830687563</v>
      </c>
      <c r="R18" s="73" t="e">
        <f t="shared" ref="R18:R24" ca="1" si="73">ranpoi(L18,RAND()*M18)</f>
        <v>#VALUE!</v>
      </c>
      <c r="S18" s="73" t="e">
        <f t="shared" ref="S18:S24" ca="1" si="74">IF(R18&gt;6,6,R18)</f>
        <v>#VALUE!</v>
      </c>
      <c r="T18" s="99"/>
      <c r="U18" s="73">
        <f ca="1">_xlfn.NORM.INV(RAND(),I18,$G$2*$H$2)</f>
        <v>0.87573776887540367</v>
      </c>
      <c r="V18" s="73" t="e">
        <f t="shared" ref="V18:V24" ca="1" si="75">ranpoi(L18,RAND()*M18)</f>
        <v>#VALUE!</v>
      </c>
      <c r="W18" s="73" t="e">
        <f t="shared" ref="W18:W24" ca="1" si="76">IF(V18&gt;6,6,V18)</f>
        <v>#VALUE!</v>
      </c>
      <c r="X18" s="99"/>
      <c r="Y18" s="73">
        <f ca="1">_xlfn.NORM.INV(RAND(),I18,$G$2*$H$2)</f>
        <v>0.86859367038775892</v>
      </c>
      <c r="Z18" s="73" t="e">
        <f t="shared" ref="Z18:Z24" ca="1" si="77">ranpoi(L18,RAND()*M18)</f>
        <v>#VALUE!</v>
      </c>
      <c r="AA18" s="73" t="e">
        <f t="shared" ref="AA18:AA24" ca="1" si="78">IF(Z18&gt;6,6,Z18)</f>
        <v>#VALUE!</v>
      </c>
      <c r="AB18" s="99"/>
      <c r="AC18" s="73">
        <f ca="1">_xlfn.NORM.INV(RAND(),I18,$G$2*$H$2)</f>
        <v>0.878149009007274</v>
      </c>
      <c r="AD18" s="73" t="e">
        <f t="shared" ref="AD18:AD24" ca="1" si="79">ranpoi(L18,RAND()*M18)</f>
        <v>#VALUE!</v>
      </c>
      <c r="AE18" s="73" t="e">
        <f t="shared" ref="AE18:AE24" ca="1" si="80">IF(AD18&gt;6,6,AD18)</f>
        <v>#VALUE!</v>
      </c>
      <c r="AF18" s="99"/>
      <c r="AG18" s="73">
        <f ca="1">_xlfn.NORM.INV(RAND(),I18,$G$2*$H$2)</f>
        <v>0.85213357026060677</v>
      </c>
      <c r="AH18" s="73" t="e">
        <f t="shared" ref="AH18:AH24" ca="1" si="81">ranpoi(L18,RAND()*M18)</f>
        <v>#VALUE!</v>
      </c>
      <c r="AI18" s="73" t="e">
        <f t="shared" ref="AI18:AI24" ca="1" si="82">IF(AH18&gt;6,6,AH18)</f>
        <v>#VALUE!</v>
      </c>
      <c r="AJ18" s="99"/>
      <c r="AK18" s="73">
        <f ca="1">_xlfn.NORM.INV(RAND(),I18,$G$2*$H$2)</f>
        <v>0.86045835214349442</v>
      </c>
      <c r="AL18" s="73" t="e">
        <f t="shared" ref="AL18:AL24" ca="1" si="83">ranpoi(L18,RAND()*M18)</f>
        <v>#VALUE!</v>
      </c>
      <c r="AM18" s="73" t="e">
        <f t="shared" ref="AM18:AM24" ca="1" si="84">IF(AL18&gt;6,6,AL18)</f>
        <v>#VALUE!</v>
      </c>
      <c r="AN18" s="99"/>
      <c r="AO18" s="75"/>
      <c r="AR18" s="72">
        <v>15</v>
      </c>
      <c r="AS18" s="73" t="str">
        <v>Boston</v>
      </c>
      <c r="AT18" s="73" t="str">
        <v>NY Islanders</v>
      </c>
      <c r="AU18" s="73" t="str">
        <v>Tampa Bay</v>
      </c>
      <c r="AV18" s="75" t="str">
        <v>NY Rangers</v>
      </c>
      <c r="AW18" s="72">
        <v>15</v>
      </c>
      <c r="AX18" s="73" t="str">
        <v>Minnesota</v>
      </c>
      <c r="AY18" s="73" t="str">
        <v>Vancouver</v>
      </c>
      <c r="AZ18" s="73" t="str">
        <v>St. Louis</v>
      </c>
      <c r="BA18" s="75" t="str">
        <v>Winnipeg</v>
      </c>
      <c r="BI18" s="99"/>
      <c r="BM18" s="99"/>
      <c r="BQ18" s="99"/>
      <c r="BU18" s="99"/>
      <c r="BY18" s="99"/>
      <c r="CC18" s="99"/>
      <c r="CG18" s="99"/>
      <c r="CH18" s="75"/>
      <c r="CK18" s="72">
        <v>15</v>
      </c>
      <c r="CL18" s="73" t="str">
        <v>NY Islanders</v>
      </c>
      <c r="CM18" s="75" t="str">
        <v>Tampa Bay</v>
      </c>
      <c r="CN18" s="72">
        <v>15</v>
      </c>
      <c r="CO18" s="73" t="str">
        <v>Vancouver</v>
      </c>
      <c r="CP18" s="75" t="str">
        <v>Winnipeg</v>
      </c>
      <c r="CQ18" s="72"/>
      <c r="CX18" s="99"/>
      <c r="DB18" s="99"/>
      <c r="DF18" s="99"/>
      <c r="DJ18" s="99"/>
      <c r="DN18" s="99"/>
      <c r="DR18" s="99"/>
      <c r="DV18" s="99"/>
      <c r="DW18" s="75"/>
      <c r="DZ18" s="72">
        <v>15</v>
      </c>
      <c r="EA18" s="73" t="str">
        <v>Tampa Bay</v>
      </c>
      <c r="EB18" s="75" t="str">
        <v>Winnipeg</v>
      </c>
      <c r="EE18" s="72">
        <v>3</v>
      </c>
      <c r="EF18" s="73" t="str">
        <f>B6</f>
        <v>Tampa Bay</v>
      </c>
      <c r="EK18" s="72">
        <v>3</v>
      </c>
      <c r="EL18" s="73" t="str">
        <f>B19</f>
        <v>St. Louis</v>
      </c>
      <c r="EP18" s="75"/>
      <c r="ER18" s="72" t="s">
        <v>28</v>
      </c>
      <c r="ES18" s="104">
        <v>85.347134487157248</v>
      </c>
      <c r="ET18" s="72">
        <v>7</v>
      </c>
      <c r="EU18" s="73">
        <v>11</v>
      </c>
      <c r="EV18" s="73">
        <v>7</v>
      </c>
      <c r="EW18" s="73">
        <v>7</v>
      </c>
      <c r="EX18" s="73">
        <v>19</v>
      </c>
      <c r="EY18" s="73">
        <v>6</v>
      </c>
      <c r="EZ18" s="73">
        <v>26</v>
      </c>
      <c r="FA18" s="73">
        <v>12</v>
      </c>
      <c r="FB18" s="73">
        <v>5</v>
      </c>
      <c r="FC18" s="73">
        <v>7</v>
      </c>
      <c r="FD18" s="73">
        <v>7</v>
      </c>
      <c r="FE18" s="73">
        <v>14</v>
      </c>
      <c r="FF18" s="73">
        <v>21</v>
      </c>
      <c r="FG18" s="73">
        <v>7</v>
      </c>
      <c r="FH18" s="73">
        <v>7</v>
      </c>
      <c r="FI18" s="73">
        <v>28</v>
      </c>
      <c r="FJ18" s="75">
        <v>14</v>
      </c>
      <c r="FP18" s="73">
        <v>16</v>
      </c>
      <c r="FQ18" s="73" t="str">
        <v>Winnipeg</v>
      </c>
    </row>
    <row r="19" spans="1:173">
      <c r="A19" s="73">
        <v>3</v>
      </c>
      <c r="B19" s="73" t="s">
        <v>450</v>
      </c>
      <c r="C19" s="73">
        <f>VLOOKUP(B19,Schedule!$A$2:$B$31,2,0)/100</f>
        <v>0.84466737907719647</v>
      </c>
      <c r="D19" s="73" t="e">
        <f>VLOOKUP(B19,'Team Stats'!$B$4:$H$32,13,0)</f>
        <v>#N/A</v>
      </c>
      <c r="E19" s="73" t="e">
        <f>VLOOKUP(B19,'Team Stats'!$B$4:$H$32,14,0)</f>
        <v>#N/A</v>
      </c>
      <c r="F19" s="74"/>
      <c r="G19" s="73">
        <v>2</v>
      </c>
      <c r="H19" s="73">
        <v>5</v>
      </c>
      <c r="I19" s="73">
        <f t="shared" si="68"/>
        <v>0.84692649343862159</v>
      </c>
      <c r="J19" s="73" t="e">
        <f t="shared" si="69"/>
        <v>#N/A</v>
      </c>
      <c r="K19" s="73" t="e">
        <f t="shared" si="70"/>
        <v>#N/A</v>
      </c>
      <c r="L19" s="73" t="e">
        <f>J19-(I2-K20)</f>
        <v>#N/A</v>
      </c>
      <c r="M19" s="95">
        <f t="shared" ca="1" si="67"/>
        <v>0.81263767497708106</v>
      </c>
      <c r="N19" s="73" t="e">
        <f t="shared" ca="1" si="71"/>
        <v>#VALUE!</v>
      </c>
      <c r="O19" s="73" t="e">
        <f t="shared" ca="1" si="72"/>
        <v>#VALUE!</v>
      </c>
      <c r="P19" s="99" t="e">
        <f t="shared" ref="P19:P23" ca="1" si="85">IF(O19&gt;O20,H19,H20)</f>
        <v>#VALUE!</v>
      </c>
      <c r="Q19" s="73">
        <f t="shared" ref="Q19:Q24" ca="1" si="86">_xlfn.NORM.INV(RAND(),I19,$G$2*$H$2)</f>
        <v>0.85160406740733441</v>
      </c>
      <c r="R19" s="73" t="e">
        <f t="shared" ca="1" si="73"/>
        <v>#VALUE!</v>
      </c>
      <c r="S19" s="73" t="e">
        <f t="shared" ca="1" si="74"/>
        <v>#VALUE!</v>
      </c>
      <c r="T19" s="99" t="e">
        <f t="shared" ref="T19:T23" ca="1" si="87">IF(S19&gt;S20,H19,H20)</f>
        <v>#VALUE!</v>
      </c>
      <c r="U19" s="73">
        <f ca="1">_xlfn.NORM.INV(RAND(),$I$19,$G$2*$H$2)</f>
        <v>0.80878049334534485</v>
      </c>
      <c r="V19" s="73" t="e">
        <f t="shared" ca="1" si="75"/>
        <v>#VALUE!</v>
      </c>
      <c r="W19" s="73" t="e">
        <f t="shared" ca="1" si="76"/>
        <v>#VALUE!</v>
      </c>
      <c r="X19" s="99" t="e">
        <f t="shared" ref="X19:X23" ca="1" si="88">IF(W19&gt;W20,H19,H20)</f>
        <v>#VALUE!</v>
      </c>
      <c r="Y19" s="73">
        <f ca="1">_xlfn.NORM.INV(RAND(),$I$19,$G$2*$H$2)</f>
        <v>0.8264631357548532</v>
      </c>
      <c r="Z19" s="73" t="e">
        <f t="shared" ca="1" si="77"/>
        <v>#VALUE!</v>
      </c>
      <c r="AA19" s="73" t="e">
        <f t="shared" ca="1" si="78"/>
        <v>#VALUE!</v>
      </c>
      <c r="AB19" s="99" t="e">
        <f t="shared" ref="AB19:AB23" ca="1" si="89">IF(AA19&gt;AA20,H19,H20)</f>
        <v>#VALUE!</v>
      </c>
      <c r="AC19" s="73">
        <f ca="1">_xlfn.NORM.INV(RAND(),$I$19,$G$2*$H$2)</f>
        <v>0.86788316338452598</v>
      </c>
      <c r="AD19" s="73" t="e">
        <f t="shared" ca="1" si="79"/>
        <v>#VALUE!</v>
      </c>
      <c r="AE19" s="73" t="e">
        <f t="shared" ca="1" si="80"/>
        <v>#VALUE!</v>
      </c>
      <c r="AF19" s="99" t="e">
        <f ca="1">IF((COUNTIF(P19:P20,4)+COUNTIF(T19:T20,4)+COUNTIF(X19:X20,4)+COUNTIF(AB19:AB20,4))=4,"",IF((COUNTIF(P19:P20,5)+COUNTIF(T19:T20,5)+COUNTIF(X19:X20,5)+COUNTIF(AB19:AB20,5))=4,"",IF(AE19&gt;AE20,H19,H20)))</f>
        <v>#VALUE!</v>
      </c>
      <c r="AG19" s="73">
        <f ca="1">_xlfn.NORM.INV(RAND(),$I$19,$G$2*$H$2)</f>
        <v>0.93142662015545807</v>
      </c>
      <c r="AH19" s="73" t="e">
        <f t="shared" ca="1" si="81"/>
        <v>#VALUE!</v>
      </c>
      <c r="AI19" s="73" t="e">
        <f t="shared" ca="1" si="82"/>
        <v>#VALUE!</v>
      </c>
      <c r="AJ19" s="99" t="e">
        <f ca="1">IF((COUNTIF(P19:P20,4)+COUNTIF(T19:T20,4)+COUNTIF(X19:X20,4)+COUNTIF(AB19:AB20,4)+COUNTIF(AF19:AF20,5))=4,"",IF((COUNTIF(P19:P20,5)+COUNTIF(T19:T20,5)+COUNTIF(X19:X20,5)+COUNTIF(AB19:AB20,5)+COUNTIF(AF19:AF20,5))=4,"",IF(AI19&gt;AI20,H19,H20)))</f>
        <v>#VALUE!</v>
      </c>
      <c r="AK19" s="73">
        <f ca="1">_xlfn.NORM.INV(RAND(),$I$19,$G$2*$H$2)</f>
        <v>0.86323424275484717</v>
      </c>
      <c r="AL19" s="73" t="e">
        <f t="shared" ca="1" si="83"/>
        <v>#VALUE!</v>
      </c>
      <c r="AM19" s="73" t="e">
        <f t="shared" ca="1" si="84"/>
        <v>#VALUE!</v>
      </c>
      <c r="AN19" s="99" t="e">
        <f ca="1">IF((COUNTIF(P19:P20,4)+COUNTIF(T19:T20,4)+COUNTIF(X19:X20,4)+COUNTIF(AB19:AB20,4)+COUNTIF(AF19:AF20,4)+COUNTIF(AJ19:AJ20,4))=4,"",IF((COUNTIF(P19:P20,5)+COUNTIF(T19:T20,5)+COUNTIF(X19:X20,5)+COUNTIF(AB19:AB20,5)+COUNTIF(AF19:AF20,5)+COUNTIF(AJ19:AJ20,5))=4,"",IF(AM19&gt;AM20,H19,H20)))</f>
        <v>#VALUE!</v>
      </c>
      <c r="AO19" s="75">
        <f ca="1">IF((COUNTIF(P19:P20,4)+COUNTIF(T19:T20,4)+COUNTIF(X19:X20,4)+COUNTIF(AB19:AB20,4)+COUNTIF(AF19:AF20,4)+COUNTIF(AJ19:AJ20,4)+COUNTIF(AN19:AN20,4)&gt;COUNTIF(P19:P20,5)+COUNTIF(T19:T20,5)+COUNTIF(X19:X20,5)+COUNTIF(AB19:AB20,5)+COUNTIF(AF19:AF20,5)+COUNTIF(AJ19:AJ20,5)+COUNTIF(AN19:AN20,5)),H19,H20)</f>
        <v>4</v>
      </c>
      <c r="AP19" s="73" t="str">
        <f t="shared" ref="AP19:AP23" ca="1" si="90">VLOOKUP(AO19,$A$17:$E$24,2,0)</f>
        <v>Vancouver</v>
      </c>
      <c r="AQ19" s="73">
        <f ca="1">7-(COUNTIF(P19,"")+COUNTIF(T19,"")+COUNTIF(X19,"")+COUNTIF(AB19,"")+COUNTIF(AF19,"")+COUNTIF(AJ19,"")+COUNTIF(AN19,""))</f>
        <v>7</v>
      </c>
      <c r="AR19" s="72">
        <v>16</v>
      </c>
      <c r="AS19" s="73" t="str">
        <v>Boston</v>
      </c>
      <c r="AT19" s="73" t="str">
        <v>NY Islanders</v>
      </c>
      <c r="AU19" s="73" t="str">
        <v>Tampa Bay</v>
      </c>
      <c r="AV19" s="75" t="str">
        <v>NY Rangers</v>
      </c>
      <c r="AW19" s="72">
        <v>16</v>
      </c>
      <c r="AX19" s="73" t="str">
        <v>Minnesota</v>
      </c>
      <c r="AY19" s="73" t="str">
        <v>Vancouver</v>
      </c>
      <c r="AZ19" s="73" t="str">
        <v>St. Louis</v>
      </c>
      <c r="BA19" s="75" t="str">
        <v>Winnipeg</v>
      </c>
      <c r="BB19" s="73">
        <f t="shared" ref="BB19:BB23" ca="1" si="91">VLOOKUP(AO19,$A$17:$E$24,3,0)</f>
        <v>0.84804182291797114</v>
      </c>
      <c r="BC19" s="73" t="e">
        <f t="shared" ref="BC19:BC23" ca="1" si="92">VLOOKUP(AO19,$A$17:$E$24,4,0)</f>
        <v>#N/A</v>
      </c>
      <c r="BD19" s="73" t="e">
        <f t="shared" ref="BD19:BD23" ca="1" si="93">VLOOKUP(AO19,$A$17:$E$24,5,0)</f>
        <v>#N/A</v>
      </c>
      <c r="BE19" s="73" t="e">
        <f ca="1">BC19-(I2-BD17)</f>
        <v>#N/A</v>
      </c>
      <c r="BF19" s="73">
        <f t="shared" ref="BF19:BF23" ca="1" si="94">_xlfn.NORM.INV(RAND(),BB19,$G$2*$H$2)</f>
        <v>0.85733340740438224</v>
      </c>
      <c r="BG19" s="73" t="e">
        <f t="shared" ref="BG19:BG23" ca="1" si="95">ranpoi(BE19,RAND()*BF19)</f>
        <v>#VALUE!</v>
      </c>
      <c r="BH19" s="73" t="e">
        <f t="shared" ref="BH19:BH23" ca="1" si="96">IF(BG19&gt;6,6,BG19)</f>
        <v>#VALUE!</v>
      </c>
      <c r="BI19" s="99"/>
      <c r="BJ19" s="73">
        <f t="shared" ref="BJ19:BJ23" ca="1" si="97">_xlfn.NORM.INV(RAND(),BB19,$G$2*$H$2)</f>
        <v>0.9212679807604035</v>
      </c>
      <c r="BK19" s="73" t="e">
        <f t="shared" ref="BK19:BK23" ca="1" si="98">ranpoi(BE19,RAND()*BJ19)</f>
        <v>#VALUE!</v>
      </c>
      <c r="BL19" s="73" t="e">
        <f t="shared" ref="BL19:BL23" ca="1" si="99">IF(BK19&gt;6,6,BK19)</f>
        <v>#VALUE!</v>
      </c>
      <c r="BM19" s="99"/>
      <c r="BN19" s="73">
        <f t="shared" ref="BN19:BN23" ca="1" si="100">_xlfn.NORM.INV(RAND(),BB19,$G$2*$H$2)</f>
        <v>0.86542034680937763</v>
      </c>
      <c r="BO19" s="73" t="e">
        <f t="shared" ref="BO19:BO23" ca="1" si="101">ranpoi(BE19,RAND()*BN19)</f>
        <v>#VALUE!</v>
      </c>
      <c r="BP19" s="73" t="e">
        <f t="shared" ref="BP19:BP23" ca="1" si="102">IF(BO19&gt;6,6,BO19)</f>
        <v>#VALUE!</v>
      </c>
      <c r="BQ19" s="99"/>
      <c r="BR19" s="73">
        <f t="shared" ref="BR19:BR23" ca="1" si="103">_xlfn.NORM.INV(RAND(),BB19,$G$2*$H$2)</f>
        <v>0.79522197306217746</v>
      </c>
      <c r="BS19" s="73" t="e">
        <f t="shared" ref="BS19:BS23" ca="1" si="104">ranpoi(BE19,RAND()*BR19)</f>
        <v>#VALUE!</v>
      </c>
      <c r="BT19" s="73" t="e">
        <f t="shared" ref="BT19:BT23" ca="1" si="105">IF(BS19&gt;6,6,BS19)</f>
        <v>#VALUE!</v>
      </c>
      <c r="BU19" s="99"/>
      <c r="BV19" s="73">
        <f t="shared" ref="BV19:BV23" ca="1" si="106">_xlfn.NORM.INV(RAND(),BB19,$G$2*$H$2)</f>
        <v>0.85011805121958439</v>
      </c>
      <c r="BW19" s="73" t="e">
        <f t="shared" ref="BW19:BW23" ca="1" si="107">ranpoi(BE19,RAND()*BV19)</f>
        <v>#VALUE!</v>
      </c>
      <c r="BX19" s="73" t="e">
        <f t="shared" ref="BX19:BX23" ca="1" si="108">IF(BW19&gt;6,6,BW19)</f>
        <v>#VALUE!</v>
      </c>
      <c r="BY19" s="99"/>
      <c r="BZ19" s="73">
        <f t="shared" ref="BZ19:BZ23" ca="1" si="109">_xlfn.NORM.INV(RAND(),BB19,$G$2*$H$2)</f>
        <v>0.84634977584531346</v>
      </c>
      <c r="CA19" s="73" t="e">
        <f t="shared" ref="CA19:CA23" ca="1" si="110">ranpoi(BE19,RAND()*BZ19)</f>
        <v>#VALUE!</v>
      </c>
      <c r="CB19" s="73" t="e">
        <f t="shared" ref="CB19:CB23" ca="1" si="111">IF(CA19&gt;6,6,CA19)</f>
        <v>#VALUE!</v>
      </c>
      <c r="CC19" s="99"/>
      <c r="CD19" s="73">
        <f t="shared" ref="CD19:CD23" ca="1" si="112">_xlfn.NORM.INV(RAND(),BB19,$G$2*$H$2)</f>
        <v>0.81029392706329051</v>
      </c>
      <c r="CE19" s="73" t="e">
        <f t="shared" ref="CE19:CE23" ca="1" si="113">ranpoi(BE19,RAND()*CD19)</f>
        <v>#VALUE!</v>
      </c>
      <c r="CF19" s="73" t="e">
        <f t="shared" ref="CF19:CF23" ca="1" si="114">IF(CE19&gt;6,6,CE19)</f>
        <v>#VALUE!</v>
      </c>
      <c r="CG19" s="99"/>
      <c r="CH19" s="75"/>
      <c r="CK19" s="72">
        <v>16</v>
      </c>
      <c r="CL19" s="73" t="str">
        <v>NY Islanders</v>
      </c>
      <c r="CM19" s="75" t="str">
        <v>Tampa Bay</v>
      </c>
      <c r="CN19" s="72">
        <v>16</v>
      </c>
      <c r="CO19" s="73" t="str">
        <v>Vancouver</v>
      </c>
      <c r="CP19" s="75" t="str">
        <v>Winnipeg</v>
      </c>
      <c r="CQ19" s="72"/>
      <c r="CX19" s="99"/>
      <c r="DB19" s="99"/>
      <c r="DF19" s="99"/>
      <c r="DJ19" s="99"/>
      <c r="DN19" s="99"/>
      <c r="DR19" s="99"/>
      <c r="DV19" s="99"/>
      <c r="DW19" s="75"/>
      <c r="DZ19" s="72">
        <v>16</v>
      </c>
      <c r="EA19" s="73" t="str">
        <v>Detroit</v>
      </c>
      <c r="EB19" s="75" t="str">
        <v>Winnipeg</v>
      </c>
      <c r="EE19" s="72"/>
      <c r="EF19" s="73" t="s">
        <v>522</v>
      </c>
      <c r="EG19" s="73" t="s">
        <v>523</v>
      </c>
      <c r="EH19" s="73" t="s">
        <v>524</v>
      </c>
      <c r="EI19" s="79" t="s">
        <v>521</v>
      </c>
      <c r="EJ19" s="79" t="s">
        <v>526</v>
      </c>
      <c r="EK19" s="72"/>
      <c r="EL19" s="79" t="s">
        <v>522</v>
      </c>
      <c r="EM19" s="79" t="s">
        <v>523</v>
      </c>
      <c r="EN19" s="79" t="s">
        <v>524</v>
      </c>
      <c r="EO19" s="79" t="s">
        <v>521</v>
      </c>
      <c r="EP19" s="97" t="s">
        <v>526</v>
      </c>
      <c r="ER19" s="72" t="s">
        <v>9</v>
      </c>
      <c r="ES19" s="104">
        <v>85.33141419767675</v>
      </c>
      <c r="ET19" s="72">
        <v>8</v>
      </c>
      <c r="EU19" s="73">
        <v>6</v>
      </c>
      <c r="EV19" s="73">
        <v>10</v>
      </c>
      <c r="EW19" s="73">
        <v>25</v>
      </c>
      <c r="EX19" s="73">
        <v>7</v>
      </c>
      <c r="EY19" s="73">
        <v>19</v>
      </c>
      <c r="EZ19" s="73">
        <v>7</v>
      </c>
      <c r="FA19" s="73">
        <v>6</v>
      </c>
      <c r="FB19" s="73">
        <v>11</v>
      </c>
      <c r="FC19" s="73">
        <v>7</v>
      </c>
      <c r="FD19" s="73">
        <v>7</v>
      </c>
      <c r="FE19" s="73">
        <v>14</v>
      </c>
      <c r="FF19" s="73">
        <v>21</v>
      </c>
      <c r="FG19" s="73">
        <v>7</v>
      </c>
      <c r="FH19" s="73">
        <v>7</v>
      </c>
      <c r="FI19" s="73">
        <v>28</v>
      </c>
      <c r="FJ19" s="75">
        <v>14</v>
      </c>
      <c r="FP19" s="73">
        <v>17</v>
      </c>
      <c r="FQ19" s="73" t="str">
        <v>Winnipeg</v>
      </c>
    </row>
    <row r="20" spans="1:173">
      <c r="A20" s="73">
        <v>4</v>
      </c>
      <c r="B20" s="73" t="s">
        <v>452</v>
      </c>
      <c r="C20" s="73">
        <f>VLOOKUP(B20,Schedule!$A$2:$B$31,2,0)/100</f>
        <v>0.84804182291797114</v>
      </c>
      <c r="D20" s="73" t="e">
        <f>VLOOKUP(B20,'Team Stats'!$B$4:$H$32,13,0)</f>
        <v>#N/A</v>
      </c>
      <c r="E20" s="73" t="e">
        <f>VLOOKUP(B20,'Team Stats'!$B$4:$H$32,14,0)</f>
        <v>#N/A</v>
      </c>
      <c r="F20" s="74"/>
      <c r="H20" s="73">
        <v>4</v>
      </c>
      <c r="I20" s="73">
        <f t="shared" si="68"/>
        <v>0.84804182291797114</v>
      </c>
      <c r="J20" s="73" t="e">
        <f t="shared" si="69"/>
        <v>#N/A</v>
      </c>
      <c r="K20" s="73" t="e">
        <f t="shared" si="70"/>
        <v>#N/A</v>
      </c>
      <c r="L20" s="73" t="e">
        <f>J20-(I2-K19)</f>
        <v>#N/A</v>
      </c>
      <c r="M20" s="95">
        <f t="shared" ca="1" si="67"/>
        <v>0.86478413761892337</v>
      </c>
      <c r="N20" s="73" t="e">
        <f t="shared" ca="1" si="71"/>
        <v>#VALUE!</v>
      </c>
      <c r="O20" s="73" t="e">
        <f t="shared" ca="1" si="72"/>
        <v>#VALUE!</v>
      </c>
      <c r="P20" s="99"/>
      <c r="Q20" s="73">
        <f t="shared" ca="1" si="86"/>
        <v>0.84276129189925153</v>
      </c>
      <c r="R20" s="73" t="e">
        <f t="shared" ca="1" si="73"/>
        <v>#VALUE!</v>
      </c>
      <c r="S20" s="73" t="e">
        <f t="shared" ca="1" si="74"/>
        <v>#VALUE!</v>
      </c>
      <c r="T20" s="99"/>
      <c r="U20" s="73">
        <f ca="1">_xlfn.NORM.INV(RAND(),$I$20,$G$2*$H$2)</f>
        <v>0.74830040201415871</v>
      </c>
      <c r="V20" s="73" t="e">
        <f t="shared" ca="1" si="75"/>
        <v>#VALUE!</v>
      </c>
      <c r="W20" s="73" t="e">
        <f t="shared" ca="1" si="76"/>
        <v>#VALUE!</v>
      </c>
      <c r="X20" s="99"/>
      <c r="Y20" s="73">
        <f ca="1">_xlfn.NORM.INV(RAND(),$I$20,$G$2*$H$2)</f>
        <v>0.85321270210718392</v>
      </c>
      <c r="Z20" s="73" t="e">
        <f t="shared" ca="1" si="77"/>
        <v>#VALUE!</v>
      </c>
      <c r="AA20" s="73" t="e">
        <f t="shared" ca="1" si="78"/>
        <v>#VALUE!</v>
      </c>
      <c r="AB20" s="99"/>
      <c r="AC20" s="73">
        <f ca="1">_xlfn.NORM.INV(RAND(),$I$20,$G$2*$H$2)</f>
        <v>0.85171416049078374</v>
      </c>
      <c r="AD20" s="73" t="e">
        <f t="shared" ca="1" si="79"/>
        <v>#VALUE!</v>
      </c>
      <c r="AE20" s="73" t="e">
        <f t="shared" ca="1" si="80"/>
        <v>#VALUE!</v>
      </c>
      <c r="AF20" s="99"/>
      <c r="AG20" s="73">
        <f ca="1">_xlfn.NORM.INV(RAND(),$I$20,$G$2*$H$2)</f>
        <v>0.83718374029135445</v>
      </c>
      <c r="AH20" s="73" t="e">
        <f t="shared" ca="1" si="81"/>
        <v>#VALUE!</v>
      </c>
      <c r="AI20" s="73" t="e">
        <f t="shared" ca="1" si="82"/>
        <v>#VALUE!</v>
      </c>
      <c r="AJ20" s="99"/>
      <c r="AK20" s="73">
        <f ca="1">_xlfn.NORM.INV(RAND(),$I$20,$G$2*$H$2)</f>
        <v>0.81610223170148855</v>
      </c>
      <c r="AL20" s="73" t="e">
        <f t="shared" ca="1" si="83"/>
        <v>#VALUE!</v>
      </c>
      <c r="AM20" s="73" t="e">
        <f t="shared" ca="1" si="84"/>
        <v>#VALUE!</v>
      </c>
      <c r="AN20" s="99"/>
      <c r="AO20" s="75"/>
      <c r="AR20" s="72">
        <v>17</v>
      </c>
      <c r="AS20" s="73" t="str">
        <v>Montreal</v>
      </c>
      <c r="AT20" s="73" t="str">
        <v>Pittsburgh</v>
      </c>
      <c r="AU20" s="73" t="str">
        <v>Tampa Bay</v>
      </c>
      <c r="AV20" s="75" t="str">
        <v>Washington</v>
      </c>
      <c r="AW20" s="72">
        <v>17</v>
      </c>
      <c r="AX20" s="73" t="str">
        <v>Minnesota</v>
      </c>
      <c r="AY20" s="73" t="str">
        <v>Vancouver</v>
      </c>
      <c r="AZ20" s="73" t="str">
        <v>St. Louis</v>
      </c>
      <c r="BA20" s="75" t="str">
        <v>Winnipeg</v>
      </c>
      <c r="BI20" s="99"/>
      <c r="BM20" s="99"/>
      <c r="BQ20" s="99"/>
      <c r="BU20" s="99"/>
      <c r="BY20" s="99"/>
      <c r="CC20" s="99"/>
      <c r="CG20" s="99"/>
      <c r="CH20" s="75"/>
      <c r="CK20" s="72">
        <v>17</v>
      </c>
      <c r="CL20" s="73" t="str">
        <v>Pittsburgh</v>
      </c>
      <c r="CM20" s="75" t="str">
        <v>Detroit</v>
      </c>
      <c r="CN20" s="72">
        <v>17</v>
      </c>
      <c r="CO20" s="73" t="str">
        <v>Vancouver</v>
      </c>
      <c r="CP20" s="75" t="str">
        <v>Winnipeg</v>
      </c>
      <c r="CQ20" s="72"/>
      <c r="CX20" s="99"/>
      <c r="DB20" s="99"/>
      <c r="DF20" s="99"/>
      <c r="DJ20" s="99"/>
      <c r="DN20" s="99"/>
      <c r="DR20" s="99"/>
      <c r="DV20" s="99"/>
      <c r="DW20" s="75"/>
      <c r="DZ20" s="72">
        <v>17</v>
      </c>
      <c r="EA20" s="73" t="str">
        <v>Tampa Bay</v>
      </c>
      <c r="EB20" s="75" t="str">
        <v>Winnipeg</v>
      </c>
      <c r="EE20" s="72"/>
      <c r="EF20" s="73">
        <f ca="1">COUNTIF(AS4:AV103,EF18)/COUNT(AR4:AR103)</f>
        <v>0.72</v>
      </c>
      <c r="EG20" s="73">
        <f ca="1">COUNTIF(CL4:CM103,EF18)/COUNT(CK4:CK103)</f>
        <v>0.7</v>
      </c>
      <c r="EH20" s="73">
        <f ca="1">COUNTIF(EA4:EB503,EF18)/COUNT(DZ4:DZ503)</f>
        <v>0.60599999999999998</v>
      </c>
      <c r="EI20" s="73">
        <f ca="1">COUNTIF(FQ3:FQ502,EF18)/COUNT(FP3:FP502)</f>
        <v>0</v>
      </c>
      <c r="EJ20" s="73">
        <f ca="1">AQ8+IF(AP8=EF18,CJ8,0)+IF(CI8=EF18,DX4,0)+IF(DW4=EE18,FO3,0)</f>
        <v>23</v>
      </c>
      <c r="EK20" s="72"/>
      <c r="EL20" s="73">
        <f ca="1">COUNTIF(AX4:BA103,EL18)/COUNT(AW4:AW103)</f>
        <v>1</v>
      </c>
      <c r="EM20" s="73">
        <f ca="1">COUNTIF(CO4:CP103,EL18)/COUNT(CN4:CN103)</f>
        <v>0</v>
      </c>
      <c r="EN20" s="73">
        <f ca="1">COUNTIF(EA4:EB503,EL18)/COUNT(DZ4:DZ503)</f>
        <v>0</v>
      </c>
      <c r="EO20" s="73">
        <f ca="1">COUNTIF(FQ3:FQ502,EL18)/COUNT(FP3:FP502)</f>
        <v>0</v>
      </c>
      <c r="EP20" s="75">
        <f ca="1">AQ21+IF(AP21=EL18,CJ21,0)+IF(CI21=EL18,DX17,0)+IF(DW17=EK18,FO3,0)</f>
        <v>14</v>
      </c>
      <c r="ER20" s="72" t="s">
        <v>7</v>
      </c>
      <c r="ES20" s="104">
        <v>85.272156649318319</v>
      </c>
      <c r="ET20" s="72">
        <v>9</v>
      </c>
      <c r="EU20" s="73">
        <v>4</v>
      </c>
      <c r="EV20" s="73">
        <v>12</v>
      </c>
      <c r="EW20" s="73">
        <v>16</v>
      </c>
      <c r="EX20" s="73">
        <v>12</v>
      </c>
      <c r="EY20" s="73">
        <v>6</v>
      </c>
      <c r="EZ20" s="73">
        <v>4</v>
      </c>
      <c r="FA20" s="73">
        <v>7</v>
      </c>
      <c r="FB20" s="73">
        <v>24</v>
      </c>
      <c r="FC20" s="73">
        <v>7</v>
      </c>
      <c r="FD20" s="73">
        <v>7</v>
      </c>
      <c r="FE20" s="73">
        <v>14</v>
      </c>
      <c r="FF20" s="73">
        <v>21</v>
      </c>
      <c r="FG20" s="73">
        <v>7</v>
      </c>
      <c r="FH20" s="73">
        <v>7</v>
      </c>
      <c r="FI20" s="73">
        <v>28</v>
      </c>
      <c r="FJ20" s="75">
        <v>14</v>
      </c>
      <c r="FP20" s="73">
        <v>18</v>
      </c>
      <c r="FQ20" s="73" t="str">
        <v>Winnipeg</v>
      </c>
    </row>
    <row r="21" spans="1:173">
      <c r="A21" s="73">
        <v>5</v>
      </c>
      <c r="B21" s="73" t="s">
        <v>453</v>
      </c>
      <c r="C21" s="73">
        <f>VLOOKUP(B21,Schedule!$A$2:$B$31,2,0)/100</f>
        <v>0.84692649343862159</v>
      </c>
      <c r="D21" s="73" t="e">
        <f>VLOOKUP(B21,'Team Stats'!$B$4:$H$32,13,0)</f>
        <v>#N/A</v>
      </c>
      <c r="E21" s="73" t="e">
        <f>VLOOKUP(B21,'Team Stats'!$B$4:$H$32,14,0)</f>
        <v>#N/A</v>
      </c>
      <c r="F21" s="74"/>
      <c r="G21" s="73">
        <v>3</v>
      </c>
      <c r="H21" s="73">
        <v>6</v>
      </c>
      <c r="I21" s="73">
        <f t="shared" si="68"/>
        <v>0.84432567381361234</v>
      </c>
      <c r="J21" s="73" t="e">
        <f t="shared" si="69"/>
        <v>#N/A</v>
      </c>
      <c r="K21" s="73" t="e">
        <f t="shared" si="70"/>
        <v>#N/A</v>
      </c>
      <c r="L21" s="73" t="e">
        <f>J21-(I2-K22)</f>
        <v>#N/A</v>
      </c>
      <c r="M21" s="95">
        <f t="shared" ca="1" si="67"/>
        <v>0.87926611532991372</v>
      </c>
      <c r="N21" s="73" t="e">
        <f t="shared" ca="1" si="71"/>
        <v>#VALUE!</v>
      </c>
      <c r="O21" s="73" t="e">
        <f t="shared" ca="1" si="72"/>
        <v>#VALUE!</v>
      </c>
      <c r="P21" s="99" t="e">
        <f t="shared" ca="1" si="85"/>
        <v>#VALUE!</v>
      </c>
      <c r="Q21" s="73">
        <f t="shared" ca="1" si="86"/>
        <v>0.86990473609052399</v>
      </c>
      <c r="R21" s="73" t="e">
        <f t="shared" ca="1" si="73"/>
        <v>#VALUE!</v>
      </c>
      <c r="S21" s="73" t="e">
        <f t="shared" ca="1" si="74"/>
        <v>#VALUE!</v>
      </c>
      <c r="T21" s="99" t="e">
        <f t="shared" ca="1" si="87"/>
        <v>#VALUE!</v>
      </c>
      <c r="U21" s="73">
        <f ca="1">_xlfn.NORM.INV(RAND(),$I$21,$G$2*$H$2)</f>
        <v>0.88116479006073023</v>
      </c>
      <c r="V21" s="73" t="e">
        <f t="shared" ca="1" si="75"/>
        <v>#VALUE!</v>
      </c>
      <c r="W21" s="73" t="e">
        <f t="shared" ca="1" si="76"/>
        <v>#VALUE!</v>
      </c>
      <c r="X21" s="99" t="e">
        <f t="shared" ca="1" si="88"/>
        <v>#VALUE!</v>
      </c>
      <c r="Y21" s="73">
        <f ca="1">_xlfn.NORM.INV(RAND(),$I$21,$G$2*$H$2)</f>
        <v>0.86035037240713064</v>
      </c>
      <c r="Z21" s="73" t="e">
        <f t="shared" ca="1" si="77"/>
        <v>#VALUE!</v>
      </c>
      <c r="AA21" s="73" t="e">
        <f t="shared" ca="1" si="78"/>
        <v>#VALUE!</v>
      </c>
      <c r="AB21" s="99" t="e">
        <f t="shared" ca="1" si="89"/>
        <v>#VALUE!</v>
      </c>
      <c r="AC21" s="73">
        <f ca="1">_xlfn.NORM.INV(RAND(),$I$21,$G$2*$H$2)</f>
        <v>0.85118057571170436</v>
      </c>
      <c r="AD21" s="73" t="e">
        <f t="shared" ca="1" si="79"/>
        <v>#VALUE!</v>
      </c>
      <c r="AE21" s="73" t="e">
        <f t="shared" ca="1" si="80"/>
        <v>#VALUE!</v>
      </c>
      <c r="AF21" s="99" t="e">
        <f ca="1">IF((COUNTIF(P21:P22,6)+COUNTIF(T21:T22,6)+COUNTIF(X21:X22,6)+COUNTIF(AB21:AB22,6))=4,"",IF((COUNTIF(P21:P22,3)+COUNTIF(T21:T22,3)+COUNTIF(X21:X22,3)+COUNTIF(AB21:AB22,3))=4,"",IF(AE21&gt;AE22,H21,H22)))</f>
        <v>#VALUE!</v>
      </c>
      <c r="AG21" s="73">
        <f ca="1">_xlfn.NORM.INV(RAND(),$I$21,$G$2*$H$2)</f>
        <v>0.84011878861003497</v>
      </c>
      <c r="AH21" s="73" t="e">
        <f t="shared" ca="1" si="81"/>
        <v>#VALUE!</v>
      </c>
      <c r="AI21" s="73" t="e">
        <f t="shared" ca="1" si="82"/>
        <v>#VALUE!</v>
      </c>
      <c r="AJ21" s="99" t="e">
        <f ca="1">IF((COUNTIF(P21:P22,6)+COUNTIF(T21:T22,6)+COUNTIF(X21:X22,6)+COUNTIF(AB21:AB22,6)+COUNTIF(AF21:AF22,6))=4,"",IF((COUNTIF(P21:P22,3)+COUNTIF(T21:T22,3)+COUNTIF(X21:X22,3)+COUNTIF(AB21:AB22,3)+COUNTIF(AF21:AF22,3))=4,"",IF(AI21&gt;AI22,H21,H22)))</f>
        <v>#VALUE!</v>
      </c>
      <c r="AK21" s="73">
        <f ca="1">_xlfn.NORM.INV(RAND(),$I$21,$G$2*$H$2)</f>
        <v>0.82970426866482871</v>
      </c>
      <c r="AL21" s="73" t="e">
        <f t="shared" ca="1" si="83"/>
        <v>#VALUE!</v>
      </c>
      <c r="AM21" s="73" t="e">
        <f t="shared" ca="1" si="84"/>
        <v>#VALUE!</v>
      </c>
      <c r="AN21" s="99" t="e">
        <f ca="1">IF((COUNTIF(P21:P22,6)+COUNTIF(T21:T22,6)+COUNTIF(X21:X22,6)+COUNTIF(AB21:AB22,6)+COUNTIF(AF21:AF22,6)+COUNTIF(AJ21:AJ22,6))=4,"",IF((COUNTIF(P21:P22,3)+COUNTIF(T21:T22,3)+COUNTIF(X21:X22,3)+COUNTIF(AB21:AB22,3)+COUNTIF(AF21:AF22,3)+COUNTIF(AJ21:AJ22,3))=4,"",IF(AM21&gt;AM22,H21,H22)))</f>
        <v>#VALUE!</v>
      </c>
      <c r="AO21" s="75">
        <f ca="1">IF((COUNTIF(P21:P22,6)+COUNTIF(T21:T22,6)+COUNTIF(X21:X22,6)+COUNTIF(AB21:AB22,6)+COUNTIF(AF21:AF22,6)+COUNTIF(AJ21:AJ22,6)+COUNTIF(AN21:AN22,6)&gt;COUNTIF(P21:P22,3)+COUNTIF(T21:T22,3)+COUNTIF(X21:X22,3)+COUNTIF(AB21:AB22,3)+COUNTIF(AF21:AF22,3)+COUNTIF(AJ21:AJ22,3)+COUNTIF(AN21:AN22,3)),H21,H22)</f>
        <v>3</v>
      </c>
      <c r="AP21" s="73" t="str">
        <f t="shared" ca="1" si="90"/>
        <v>St. Louis</v>
      </c>
      <c r="AQ21" s="73">
        <f ca="1">7-(COUNTIF(P21,"")+COUNTIF(T21,"")+COUNTIF(X21,"")+COUNTIF(AB21,"")+COUNTIF(AF21,"")+COUNTIF(AJ21,"")+COUNTIF(AN21,""))</f>
        <v>7</v>
      </c>
      <c r="AR21" s="72">
        <v>18</v>
      </c>
      <c r="AS21" s="73" t="str">
        <v>Boston</v>
      </c>
      <c r="AT21" s="73" t="str">
        <v>Pittsburgh</v>
      </c>
      <c r="AU21" s="73" t="str">
        <v>Detroit</v>
      </c>
      <c r="AV21" s="75" t="str">
        <v>Washington</v>
      </c>
      <c r="AW21" s="72">
        <v>18</v>
      </c>
      <c r="AX21" s="73" t="str">
        <v>Minnesota</v>
      </c>
      <c r="AY21" s="73" t="str">
        <v>Vancouver</v>
      </c>
      <c r="AZ21" s="73" t="str">
        <v>St. Louis</v>
      </c>
      <c r="BA21" s="75" t="str">
        <v>Winnipeg</v>
      </c>
      <c r="BB21" s="73">
        <f t="shared" ca="1" si="91"/>
        <v>0.84466737907719647</v>
      </c>
      <c r="BC21" s="73" t="e">
        <f t="shared" ca="1" si="92"/>
        <v>#N/A</v>
      </c>
      <c r="BD21" s="73" t="e">
        <f t="shared" ca="1" si="93"/>
        <v>#N/A</v>
      </c>
      <c r="BE21" s="73" t="e">
        <f ca="1">BC21-(I2-BD23)</f>
        <v>#N/A</v>
      </c>
      <c r="BF21" s="73">
        <f t="shared" ca="1" si="94"/>
        <v>0.84419570572141434</v>
      </c>
      <c r="BG21" s="73" t="e">
        <f t="shared" ca="1" si="95"/>
        <v>#VALUE!</v>
      </c>
      <c r="BH21" s="73" t="e">
        <f t="shared" ca="1" si="96"/>
        <v>#VALUE!</v>
      </c>
      <c r="BI21" s="99" t="e">
        <f t="shared" ref="BI21" ca="1" si="115">IF(BH21&gt;BH23,AO21,AO23)</f>
        <v>#VALUE!</v>
      </c>
      <c r="BJ21" s="73">
        <f t="shared" ca="1" si="97"/>
        <v>0.8059371919217051</v>
      </c>
      <c r="BK21" s="73" t="e">
        <f t="shared" ca="1" si="98"/>
        <v>#VALUE!</v>
      </c>
      <c r="BL21" s="73" t="e">
        <f t="shared" ca="1" si="99"/>
        <v>#VALUE!</v>
      </c>
      <c r="BM21" s="99" t="e">
        <f t="shared" ref="BM21" ca="1" si="116">IF(BL21&gt;BL23,AO21,AO23)</f>
        <v>#VALUE!</v>
      </c>
      <c r="BN21" s="73">
        <f t="shared" ca="1" si="100"/>
        <v>0.89302935100957981</v>
      </c>
      <c r="BO21" s="73" t="e">
        <f t="shared" ca="1" si="101"/>
        <v>#VALUE!</v>
      </c>
      <c r="BP21" s="73" t="e">
        <f t="shared" ca="1" si="102"/>
        <v>#VALUE!</v>
      </c>
      <c r="BQ21" s="99" t="e">
        <f t="shared" ref="BQ21" ca="1" si="117">IF(BP21&gt;BP23,AO21,AO23)</f>
        <v>#VALUE!</v>
      </c>
      <c r="BR21" s="73">
        <f t="shared" ca="1" si="103"/>
        <v>0.83137275061647808</v>
      </c>
      <c r="BS21" s="73" t="e">
        <f t="shared" ca="1" si="104"/>
        <v>#VALUE!</v>
      </c>
      <c r="BT21" s="73" t="e">
        <f t="shared" ca="1" si="105"/>
        <v>#VALUE!</v>
      </c>
      <c r="BU21" s="99" t="e">
        <f t="shared" ref="BU21" ca="1" si="118">IF(BT21&gt;BT23,AO21,AO23)</f>
        <v>#VALUE!</v>
      </c>
      <c r="BV21" s="73">
        <f t="shared" ca="1" si="106"/>
        <v>0.83865567123987239</v>
      </c>
      <c r="BW21" s="73" t="e">
        <f t="shared" ca="1" si="107"/>
        <v>#VALUE!</v>
      </c>
      <c r="BX21" s="73" t="e">
        <f t="shared" ca="1" si="108"/>
        <v>#VALUE!</v>
      </c>
      <c r="BY21" s="99" t="e">
        <f ca="1">IF((COUNTIF(BI21:BI22,AO21)+COUNTIF(BM21:BM22,AO21)+COUNTIF(BQ21:BQ22,AO21)+COUNTIF(BU21:BU22,AO21))=4,"",IF((COUNTIF(BI21:BI22,AO23)+COUNTIF(BM21:BM22,AO23)+COUNTIF(BQ21:BQ22,AO23)+COUNTIF(BU21:BU22,AO23))=4,"",IF(BX21&gt;BX23,AO21,AO23)))</f>
        <v>#VALUE!</v>
      </c>
      <c r="BZ21" s="73">
        <f t="shared" ca="1" si="109"/>
        <v>0.89939133630998114</v>
      </c>
      <c r="CA21" s="73" t="e">
        <f t="shared" ca="1" si="110"/>
        <v>#VALUE!</v>
      </c>
      <c r="CB21" s="73" t="e">
        <f t="shared" ca="1" si="111"/>
        <v>#VALUE!</v>
      </c>
      <c r="CC21" s="99" t="e">
        <f ca="1">IF((COUNTIF(BI21:BI22,AO21)+COUNTIF(BM21:BM22,AO21)+COUNTIF(BQ21:BQ22,AO21)+COUNTIF(BU21:BU22,AO21)+COUNTIF(BY21:BY22,AO21))=4,"",IF((COUNTIF(BI21:BI22,AO23)+COUNTIF(BM21:BM22,AO23)+COUNTIF(BQ21:BQ22,AO23)+COUNTIF(BU21:BU22,AO23)+COUNTIF(BY21:BY22,AO23))=4,"",IF(CB21&gt;CB23,AO21,AO23)))</f>
        <v>#VALUE!</v>
      </c>
      <c r="CD21" s="73">
        <f t="shared" ca="1" si="112"/>
        <v>0.8509449123417957</v>
      </c>
      <c r="CE21" s="73" t="e">
        <f t="shared" ca="1" si="113"/>
        <v>#VALUE!</v>
      </c>
      <c r="CF21" s="73" t="e">
        <f t="shared" ca="1" si="114"/>
        <v>#VALUE!</v>
      </c>
      <c r="CG21" s="99" t="e">
        <f ca="1">IF((COUNTIF(BI21:BI22,AO21)+COUNTIF(BM21:BM22,AO21)+COUNTIF(BQ21:BQ22,AO21)+COUNTIF(BU21:BU22,AO21)+COUNTIF(BY21:BY22,AO21)+COUNTIF(CC21:CC22,AO21))=4,"",IF((COUNTIF(BI21:BI22,AO23)+COUNTIF(BM21:BM22,AO23)+COUNTIF(BQ21:BQ22,AO23)+COUNTIF(BU21:BU22,AO23)+COUNTIF(BY21:BY22,AO23)+COUNTIF(CC21:CC22,AO23))=4,"",IF(CF21&gt;CF23,AO21,AO23)))</f>
        <v>#VALUE!</v>
      </c>
      <c r="CH21" s="75">
        <f ca="1">IF((COUNTIF(BI21:BI22,AO21)+COUNTIF(BM21:BM22,AO21)+COUNTIF(BQ21:BQ22,AO21)+COUNTIF(BU21:BU22,AO21)+COUNTIF(BY21:BY22,AO21)+COUNTIF(CC21:CC22,AO21)+COUNTIF(CG21:CG22,AO21)&gt;COUNTIF(BI21:BI22,AO23)+COUNTIF(BM21:BM22,AO23)+COUNTIF(BQ21:BQ22,AO23)+COUNTIF(BU21:BU22,AO23)+COUNTIF(BY21:BY22,AO23)+COUNTIF(CC21:CC22,AO23)+COUNTIF(CG21:CG22,AO23)),AO21,AO23)</f>
        <v>7</v>
      </c>
      <c r="CI21" s="73" t="str">
        <f t="shared" ref="CI21" ca="1" si="119">VLOOKUP(CH21,$A$17:$E$24,2,0)</f>
        <v>Winnipeg</v>
      </c>
      <c r="CJ21" s="73">
        <f ca="1">7-(COUNTIF(BI21,"")+COUNTIF(BM21,"")+COUNTIF(BQ21,"")+COUNTIF(BU21,"")+COUNTIF(BY21,"")+COUNTIF(CC21,"")+COUNTIF(CG21,""))</f>
        <v>7</v>
      </c>
      <c r="CK21" s="72">
        <v>18</v>
      </c>
      <c r="CL21" s="73" t="str">
        <v>Pittsburgh</v>
      </c>
      <c r="CM21" s="75" t="str">
        <v>Tampa Bay</v>
      </c>
      <c r="CN21" s="72">
        <v>18</v>
      </c>
      <c r="CO21" s="73" t="str">
        <v>Vancouver</v>
      </c>
      <c r="CP21" s="75" t="str">
        <v>Winnipeg</v>
      </c>
      <c r="CQ21" s="72">
        <f t="shared" ref="CQ21" ca="1" si="120">VLOOKUP(CH21,$A$17:$E$24,3,0)</f>
        <v>0.84777092564648793</v>
      </c>
      <c r="CR21" s="73" t="e">
        <f t="shared" ref="CR21" ca="1" si="121">VLOOKUP(CH21,$A$17:$E$24,4,0)</f>
        <v>#N/A</v>
      </c>
      <c r="CS21" s="73" t="e">
        <f t="shared" ref="CS21" ca="1" si="122">VLOOKUP(CH21,$A$17:$E$24,5,0)</f>
        <v>#N/A</v>
      </c>
      <c r="CT21" s="73" t="e">
        <f ca="1">CR21-(I2-CS17)</f>
        <v>#N/A</v>
      </c>
      <c r="CU21" s="73">
        <f t="shared" ref="CU21" ca="1" si="123">_xlfn.NORM.INV(RAND(),CQ21,$G$2*$H$2)</f>
        <v>0.84592205747279003</v>
      </c>
      <c r="CV21" s="73" t="e">
        <f t="shared" ref="CV21" ca="1" si="124">ranpoi(CT21,(RAND()*CU21))</f>
        <v>#VALUE!</v>
      </c>
      <c r="CW21" s="73" t="e">
        <f t="shared" ref="CW21" ca="1" si="125">IF(CV21&gt;6,6,CV21)</f>
        <v>#VALUE!</v>
      </c>
      <c r="CX21" s="99"/>
      <c r="CY21" s="73">
        <f t="shared" ref="CY21" ca="1" si="126">_xlfn.NORM.INV(RAND(),CQ21,$G$2*$H$2)</f>
        <v>0.87445109415863242</v>
      </c>
      <c r="CZ21" s="73" t="e">
        <f t="shared" ref="CZ21" ca="1" si="127">ranpoi(CT21,(RAND()*CY21))</f>
        <v>#VALUE!</v>
      </c>
      <c r="DA21" s="73" t="e">
        <f t="shared" ref="DA21" ca="1" si="128">IF(CZ21&gt;6,6,CZ21)</f>
        <v>#VALUE!</v>
      </c>
      <c r="DB21" s="99"/>
      <c r="DC21" s="73">
        <f t="shared" ref="DC21" ca="1" si="129">_xlfn.NORM.INV(RAND(),CQ21,$G$2*$H$2)</f>
        <v>0.82981951442414748</v>
      </c>
      <c r="DD21" s="73" t="e">
        <f t="shared" ref="DD21" ca="1" si="130">ranpoi(CT21,(RAND()*DC21))</f>
        <v>#VALUE!</v>
      </c>
      <c r="DE21" s="73" t="e">
        <f t="shared" ref="DE21" ca="1" si="131">IF(DD21&gt;6,6,DD21)</f>
        <v>#VALUE!</v>
      </c>
      <c r="DF21" s="99"/>
      <c r="DG21" s="73">
        <f ca="1">_xlfn.NORM.INV(RAND(),CQ21,$G$2*$H$2)</f>
        <v>0.85414657874045974</v>
      </c>
      <c r="DH21" s="73" t="e">
        <f t="shared" ref="DH21" ca="1" si="132">ranpoi(CT21,(RAND()*DG21))</f>
        <v>#VALUE!</v>
      </c>
      <c r="DI21" s="73" t="e">
        <f t="shared" ref="DI21" ca="1" si="133">IF(DH21&gt;6,6,DH21)</f>
        <v>#VALUE!</v>
      </c>
      <c r="DJ21" s="99"/>
      <c r="DK21" s="73">
        <f t="shared" ref="DK21" ca="1" si="134">_xlfn.NORM.INV(RAND(),CQ21,$G$2*$H$2)</f>
        <v>0.8686560068527347</v>
      </c>
      <c r="DL21" s="73" t="e">
        <f t="shared" ref="DL21" ca="1" si="135">ranpoi(CT21,(RAND()*DK21))</f>
        <v>#VALUE!</v>
      </c>
      <c r="DM21" s="73" t="e">
        <f t="shared" ref="DM21" ca="1" si="136">IF(DL21&gt;6,6,DL21)</f>
        <v>#VALUE!</v>
      </c>
      <c r="DN21" s="99"/>
      <c r="DO21" s="73">
        <f t="shared" ref="DO21" ca="1" si="137">_xlfn.NORM.INV(RAND(),CQ21,$G$2*$H$2)</f>
        <v>0.87700238605876402</v>
      </c>
      <c r="DP21" s="73" t="e">
        <f t="shared" ref="DP21" ca="1" si="138">ranpoi(CT21,(RAND()*DO21))</f>
        <v>#VALUE!</v>
      </c>
      <c r="DQ21" s="73" t="e">
        <f t="shared" ref="DQ21" ca="1" si="139">IF(DP21&gt;6,6,DP21)</f>
        <v>#VALUE!</v>
      </c>
      <c r="DR21" s="99"/>
      <c r="DS21" s="73">
        <f t="shared" ref="DS21" ca="1" si="140">_xlfn.NORM.INV(RAND(),CQ21,$G$2*$H$2)</f>
        <v>0.84781442451456679</v>
      </c>
      <c r="DT21" s="73" t="e">
        <f t="shared" ref="DT21" ca="1" si="141">ranpoi(CT21,(RAND()*DS21))</f>
        <v>#VALUE!</v>
      </c>
      <c r="DU21" s="73" t="e">
        <f t="shared" ref="DU21" ca="1" si="142">IF(DT21&gt;6,6,DT21)</f>
        <v>#VALUE!</v>
      </c>
      <c r="DV21" s="99"/>
      <c r="DW21" s="75"/>
      <c r="DZ21" s="72">
        <v>18</v>
      </c>
      <c r="EA21" s="73" t="str">
        <v>Tampa Bay</v>
      </c>
      <c r="EB21" s="75" t="str">
        <v>Winnipeg</v>
      </c>
      <c r="EE21" s="72">
        <v>4</v>
      </c>
      <c r="EF21" s="73" t="str">
        <f>B7</f>
        <v>Pittsburgh</v>
      </c>
      <c r="EK21" s="72">
        <v>4</v>
      </c>
      <c r="EL21" s="73" t="str">
        <f>B20</f>
        <v>Vancouver</v>
      </c>
      <c r="EP21" s="75"/>
      <c r="ER21" s="72" t="s">
        <v>1</v>
      </c>
      <c r="ES21" s="104">
        <v>85.251463526047402</v>
      </c>
      <c r="ET21" s="72">
        <v>10</v>
      </c>
      <c r="EU21" s="73">
        <v>5</v>
      </c>
      <c r="EV21" s="73">
        <v>6</v>
      </c>
      <c r="EW21" s="73">
        <v>13</v>
      </c>
      <c r="EX21" s="73">
        <v>7</v>
      </c>
      <c r="EY21" s="73">
        <v>16</v>
      </c>
      <c r="EZ21" s="73">
        <v>6</v>
      </c>
      <c r="FA21" s="73">
        <v>25</v>
      </c>
      <c r="FB21" s="73">
        <v>9</v>
      </c>
      <c r="FC21" s="73">
        <v>7</v>
      </c>
      <c r="FD21" s="73">
        <v>7</v>
      </c>
      <c r="FE21" s="73">
        <v>14</v>
      </c>
      <c r="FF21" s="73">
        <v>21</v>
      </c>
      <c r="FG21" s="73">
        <v>7</v>
      </c>
      <c r="FH21" s="73">
        <v>7</v>
      </c>
      <c r="FI21" s="73">
        <v>28</v>
      </c>
      <c r="FJ21" s="75">
        <v>14</v>
      </c>
      <c r="FP21" s="73">
        <v>19</v>
      </c>
      <c r="FQ21" s="73" t="str">
        <v>Winnipeg</v>
      </c>
    </row>
    <row r="22" spans="1:173">
      <c r="A22" s="73">
        <v>6</v>
      </c>
      <c r="B22" s="73" t="s">
        <v>454</v>
      </c>
      <c r="C22" s="73">
        <f>VLOOKUP(B22,Schedule!$A$2:$B$31,2,0)/100</f>
        <v>0.84432567381361234</v>
      </c>
      <c r="D22" s="73" t="e">
        <f>VLOOKUP(B22,'Team Stats'!$B$4:$H$32,13,0)</f>
        <v>#N/A</v>
      </c>
      <c r="E22" s="73" t="e">
        <f>VLOOKUP(B22,'Team Stats'!$B$4:$H$32,14,0)</f>
        <v>#N/A</v>
      </c>
      <c r="F22" s="74"/>
      <c r="H22" s="73">
        <v>3</v>
      </c>
      <c r="I22" s="73">
        <f t="shared" si="68"/>
        <v>0.84466737907719647</v>
      </c>
      <c r="J22" s="73" t="e">
        <f t="shared" si="69"/>
        <v>#N/A</v>
      </c>
      <c r="K22" s="73" t="e">
        <f t="shared" si="70"/>
        <v>#N/A</v>
      </c>
      <c r="L22" s="73" t="e">
        <f>J22-(I2-K21)</f>
        <v>#N/A</v>
      </c>
      <c r="M22" s="95">
        <f t="shared" ca="1" si="67"/>
        <v>0.865142007933839</v>
      </c>
      <c r="N22" s="73" t="e">
        <f t="shared" ca="1" si="71"/>
        <v>#VALUE!</v>
      </c>
      <c r="O22" s="73" t="e">
        <f t="shared" ca="1" si="72"/>
        <v>#VALUE!</v>
      </c>
      <c r="P22" s="99"/>
      <c r="Q22" s="73">
        <f t="shared" ca="1" si="86"/>
        <v>0.83849808701094686</v>
      </c>
      <c r="R22" s="73" t="e">
        <f t="shared" ca="1" si="73"/>
        <v>#VALUE!</v>
      </c>
      <c r="S22" s="73" t="e">
        <f t="shared" ca="1" si="74"/>
        <v>#VALUE!</v>
      </c>
      <c r="T22" s="99"/>
      <c r="U22" s="73">
        <f ca="1">_xlfn.NORM.INV(RAND(),$I$22,$G$2*$H$2)</f>
        <v>0.78956577057379729</v>
      </c>
      <c r="V22" s="73" t="e">
        <f t="shared" ca="1" si="75"/>
        <v>#VALUE!</v>
      </c>
      <c r="W22" s="73" t="e">
        <f t="shared" ca="1" si="76"/>
        <v>#VALUE!</v>
      </c>
      <c r="X22" s="99"/>
      <c r="Y22" s="73">
        <f ca="1">_xlfn.NORM.INV(RAND(),$I$22,$G$2*$H$2)</f>
        <v>0.87940707929715789</v>
      </c>
      <c r="Z22" s="73" t="e">
        <f t="shared" ca="1" si="77"/>
        <v>#VALUE!</v>
      </c>
      <c r="AA22" s="73" t="e">
        <f t="shared" ca="1" si="78"/>
        <v>#VALUE!</v>
      </c>
      <c r="AB22" s="99"/>
      <c r="AC22" s="73">
        <f ca="1">_xlfn.NORM.INV(RAND(),$I$22,$G$2*$H$2)</f>
        <v>0.79791577103892219</v>
      </c>
      <c r="AD22" s="73" t="e">
        <f t="shared" ca="1" si="79"/>
        <v>#VALUE!</v>
      </c>
      <c r="AE22" s="73" t="e">
        <f t="shared" ca="1" si="80"/>
        <v>#VALUE!</v>
      </c>
      <c r="AF22" s="99"/>
      <c r="AG22" s="73">
        <f ca="1">_xlfn.NORM.INV(RAND(),$I$22,$G$2*$H$2)</f>
        <v>0.80496542460207743</v>
      </c>
      <c r="AH22" s="73" t="e">
        <f t="shared" ca="1" si="81"/>
        <v>#VALUE!</v>
      </c>
      <c r="AI22" s="73" t="e">
        <f t="shared" ca="1" si="82"/>
        <v>#VALUE!</v>
      </c>
      <c r="AJ22" s="99"/>
      <c r="AK22" s="73">
        <f ca="1">_xlfn.NORM.INV(RAND(),$I$22,$G$2*$H$2)</f>
        <v>0.87942980734020737</v>
      </c>
      <c r="AL22" s="73" t="e">
        <f t="shared" ca="1" si="83"/>
        <v>#VALUE!</v>
      </c>
      <c r="AM22" s="73" t="e">
        <f t="shared" ca="1" si="84"/>
        <v>#VALUE!</v>
      </c>
      <c r="AN22" s="99"/>
      <c r="AO22" s="75"/>
      <c r="AR22" s="72">
        <v>19</v>
      </c>
      <c r="AS22" s="73" t="str">
        <v>Montreal</v>
      </c>
      <c r="AT22" s="73" t="str">
        <v>Pittsburgh</v>
      </c>
      <c r="AU22" s="73" t="str">
        <v>Tampa Bay</v>
      </c>
      <c r="AV22" s="75" t="str">
        <v>Washington</v>
      </c>
      <c r="AW22" s="72">
        <v>19</v>
      </c>
      <c r="AX22" s="73" t="str">
        <v>Minnesota</v>
      </c>
      <c r="AY22" s="73" t="str">
        <v>Vancouver</v>
      </c>
      <c r="AZ22" s="73" t="str">
        <v>St. Louis</v>
      </c>
      <c r="BA22" s="75" t="str">
        <v>Winnipeg</v>
      </c>
      <c r="BI22" s="99"/>
      <c r="BM22" s="99"/>
      <c r="BQ22" s="99"/>
      <c r="BU22" s="99"/>
      <c r="BY22" s="99"/>
      <c r="CC22" s="99"/>
      <c r="CG22" s="99"/>
      <c r="CH22" s="75"/>
      <c r="CK22" s="72">
        <v>19</v>
      </c>
      <c r="CL22" s="73" t="str">
        <v>Montreal</v>
      </c>
      <c r="CM22" s="75" t="str">
        <v>Detroit</v>
      </c>
      <c r="CN22" s="72">
        <v>19</v>
      </c>
      <c r="CO22" s="73" t="str">
        <v>Vancouver</v>
      </c>
      <c r="CP22" s="75" t="str">
        <v>Winnipeg</v>
      </c>
      <c r="CQ22" s="72"/>
      <c r="CX22" s="99"/>
      <c r="DB22" s="99"/>
      <c r="DF22" s="99"/>
      <c r="DJ22" s="99"/>
      <c r="DN22" s="99"/>
      <c r="DR22" s="99"/>
      <c r="DV22" s="99"/>
      <c r="DW22" s="75"/>
      <c r="DZ22" s="72">
        <v>19</v>
      </c>
      <c r="EA22" s="73" t="str">
        <v>Tampa Bay</v>
      </c>
      <c r="EB22" s="75" t="str">
        <v>Winnipeg</v>
      </c>
      <c r="EE22" s="72"/>
      <c r="EF22" s="73" t="s">
        <v>522</v>
      </c>
      <c r="EG22" s="73" t="s">
        <v>523</v>
      </c>
      <c r="EH22" s="73" t="s">
        <v>524</v>
      </c>
      <c r="EI22" s="79" t="s">
        <v>521</v>
      </c>
      <c r="EJ22" s="79" t="s">
        <v>526</v>
      </c>
      <c r="EK22" s="72"/>
      <c r="EL22" s="79" t="s">
        <v>522</v>
      </c>
      <c r="EM22" s="79" t="s">
        <v>523</v>
      </c>
      <c r="EN22" s="79" t="s">
        <v>524</v>
      </c>
      <c r="EO22" s="79" t="s">
        <v>521</v>
      </c>
      <c r="EP22" s="97" t="s">
        <v>526</v>
      </c>
      <c r="ER22" s="72" t="s">
        <v>14</v>
      </c>
      <c r="ES22" s="104">
        <v>85.241095544191879</v>
      </c>
      <c r="ET22" s="72">
        <v>11</v>
      </c>
      <c r="EU22" s="73">
        <v>6</v>
      </c>
      <c r="EV22" s="73">
        <v>6</v>
      </c>
      <c r="EW22" s="73">
        <v>22</v>
      </c>
      <c r="EX22" s="73">
        <v>7</v>
      </c>
      <c r="EY22" s="73">
        <v>17</v>
      </c>
      <c r="EZ22" s="73">
        <v>5</v>
      </c>
      <c r="FA22" s="73">
        <v>11</v>
      </c>
      <c r="FB22" s="73">
        <v>11</v>
      </c>
      <c r="FC22" s="73">
        <v>7</v>
      </c>
      <c r="FD22" s="73">
        <v>7</v>
      </c>
      <c r="FE22" s="73">
        <v>14</v>
      </c>
      <c r="FF22" s="73">
        <v>21</v>
      </c>
      <c r="FG22" s="73">
        <v>7</v>
      </c>
      <c r="FH22" s="73">
        <v>7</v>
      </c>
      <c r="FI22" s="73">
        <v>28</v>
      </c>
      <c r="FJ22" s="75">
        <v>14</v>
      </c>
      <c r="FP22" s="73">
        <v>20</v>
      </c>
      <c r="FQ22" s="73" t="str">
        <v>Winnipeg</v>
      </c>
    </row>
    <row r="23" spans="1:173">
      <c r="A23" s="73">
        <v>7</v>
      </c>
      <c r="B23" s="73" t="s">
        <v>455</v>
      </c>
      <c r="C23" s="73">
        <f>VLOOKUP(B23,Schedule!$A$2:$B$31,2,0)/100</f>
        <v>0.84777092564648793</v>
      </c>
      <c r="D23" s="73" t="e">
        <f>VLOOKUP(B23,'Team Stats'!$B$4:$H$32,13,0)</f>
        <v>#N/A</v>
      </c>
      <c r="E23" s="73" t="e">
        <f>VLOOKUP(B23,'Team Stats'!$B$4:$H$32,14,0)</f>
        <v>#N/A</v>
      </c>
      <c r="F23" s="74"/>
      <c r="G23" s="73">
        <v>4</v>
      </c>
      <c r="H23" s="73">
        <v>2</v>
      </c>
      <c r="I23" s="73">
        <f t="shared" si="68"/>
        <v>0.85502478257351133</v>
      </c>
      <c r="J23" s="73" t="e">
        <f t="shared" si="69"/>
        <v>#N/A</v>
      </c>
      <c r="K23" s="73" t="e">
        <f t="shared" si="70"/>
        <v>#N/A</v>
      </c>
      <c r="L23" s="73" t="e">
        <f>J23-(I2-K24)</f>
        <v>#N/A</v>
      </c>
      <c r="M23" s="95">
        <f t="shared" ca="1" si="67"/>
        <v>0.79423266734667652</v>
      </c>
      <c r="N23" s="73" t="e">
        <f t="shared" ca="1" si="71"/>
        <v>#VALUE!</v>
      </c>
      <c r="O23" s="73" t="e">
        <f t="shared" ca="1" si="72"/>
        <v>#VALUE!</v>
      </c>
      <c r="P23" s="99" t="e">
        <f t="shared" ca="1" si="85"/>
        <v>#VALUE!</v>
      </c>
      <c r="Q23" s="73">
        <f t="shared" ca="1" si="86"/>
        <v>0.8985000165666589</v>
      </c>
      <c r="R23" s="73" t="e">
        <f t="shared" ca="1" si="73"/>
        <v>#VALUE!</v>
      </c>
      <c r="S23" s="73" t="e">
        <f t="shared" ca="1" si="74"/>
        <v>#VALUE!</v>
      </c>
      <c r="T23" s="99" t="e">
        <f t="shared" ca="1" si="87"/>
        <v>#VALUE!</v>
      </c>
      <c r="U23" s="73">
        <f ca="1">_xlfn.NORM.INV(RAND(),$I$23,$G$2*$H$2)</f>
        <v>0.87928644269141687</v>
      </c>
      <c r="V23" s="73" t="e">
        <f t="shared" ca="1" si="75"/>
        <v>#VALUE!</v>
      </c>
      <c r="W23" s="73" t="e">
        <f t="shared" ca="1" si="76"/>
        <v>#VALUE!</v>
      </c>
      <c r="X23" s="99" t="e">
        <f t="shared" ca="1" si="88"/>
        <v>#VALUE!</v>
      </c>
      <c r="Y23" s="73">
        <f ca="1">_xlfn.NORM.INV(RAND(),$I$23,$G$2*$H$2)</f>
        <v>0.82711429610663845</v>
      </c>
      <c r="Z23" s="73" t="e">
        <f t="shared" ca="1" si="77"/>
        <v>#VALUE!</v>
      </c>
      <c r="AA23" s="73" t="e">
        <f t="shared" ca="1" si="78"/>
        <v>#VALUE!</v>
      </c>
      <c r="AB23" s="99" t="e">
        <f t="shared" ca="1" si="89"/>
        <v>#VALUE!</v>
      </c>
      <c r="AC23" s="73">
        <f ca="1">_xlfn.NORM.INV(RAND(),$I$23,$G$2*$H$2)</f>
        <v>0.89791169571524931</v>
      </c>
      <c r="AD23" s="73" t="e">
        <f t="shared" ca="1" si="79"/>
        <v>#VALUE!</v>
      </c>
      <c r="AE23" s="73" t="e">
        <f t="shared" ca="1" si="80"/>
        <v>#VALUE!</v>
      </c>
      <c r="AF23" s="99" t="e">
        <f ca="1">IF((COUNTIF(P23:P24,7)+COUNTIF(T23:T24,7)+COUNTIF(X23:X24,7)+COUNTIF(AB23:AB24,7))=4,"",IF((COUNTIF(P23:P24,2)+COUNTIF(T23:T24,2)+COUNTIF(X23:X24,2)+COUNTIF(AB23:AB24,2))=4,"",IF(AE23&gt;AE24,H23,H24)))</f>
        <v>#VALUE!</v>
      </c>
      <c r="AG23" s="73">
        <f ca="1">_xlfn.NORM.INV(RAND(),$I$23,$G$2*$H$2)</f>
        <v>0.88627249659766727</v>
      </c>
      <c r="AH23" s="73" t="e">
        <f t="shared" ca="1" si="81"/>
        <v>#VALUE!</v>
      </c>
      <c r="AI23" s="73" t="e">
        <f t="shared" ca="1" si="82"/>
        <v>#VALUE!</v>
      </c>
      <c r="AJ23" s="99" t="e">
        <f ca="1">IF((COUNTIF(P23:P24,7)+COUNTIF(T23:T24,7)+COUNTIF(X23:X24,7)+COUNTIF(AB23:AB24,7)+COUNTIF(AF23:AF24,7))=4,"",IF((COUNTIF(P23:P24,2)+COUNTIF(T23:T24,2)+COUNTIF(X23:X24,2)+COUNTIF(AB23:AB24,2)+COUNTIF(AF23:AF24,2))=4,"",IF(AI23&gt;AI24,H23,H24)))</f>
        <v>#VALUE!</v>
      </c>
      <c r="AK23" s="73">
        <f ca="1">_xlfn.NORM.INV(RAND(),$I$23,$G$2*$H$2)</f>
        <v>0.78945164896517339</v>
      </c>
      <c r="AL23" s="73" t="e">
        <f t="shared" ca="1" si="83"/>
        <v>#VALUE!</v>
      </c>
      <c r="AM23" s="73" t="e">
        <f t="shared" ca="1" si="84"/>
        <v>#VALUE!</v>
      </c>
      <c r="AN23" s="99" t="e">
        <f ca="1">IF((COUNTIF(P23:P24,7)+COUNTIF(T23:T24,7)+COUNTIF(X23:X24,7)+COUNTIF(AB23:AB24,7)+COUNTIF(AF23:AF24,7)+COUNTIF(AJ23:AJ24,7))=4,"",IF((COUNTIF(P23:P24,2)+COUNTIF(T23:T24,2)+COUNTIF(X23:X24,2)+COUNTIF(AB23:AB24,2)+COUNTIF(AF23:AF24,2)+COUNTIF(AJ23:AJ24,2))=4,"",IF(AM23&gt;AM24,H23,H24)))</f>
        <v>#VALUE!</v>
      </c>
      <c r="AO23" s="75">
        <f ca="1">IF((COUNTIF(P23:P24,7)+COUNTIF(T23:T24,7)+COUNTIF(X23:X24,7)+COUNTIF(AB23:AB24,7)+COUNTIF(AF23:AF24,7)+COUNTIF(AJ23:AJ24,7)+COUNTIF(AN23:AN24,7)&gt;COUNTIF(P23:P24,2)+COUNTIF(T23:T24,2)+COUNTIF(X23:X24,2)+COUNTIF(AB23:AB24,2)+COUNTIF(AF23:AF24,2)+COUNTIF(AJ23:AJ24,2)+COUNTIF(AN23:AN24,2)),H23,H24)</f>
        <v>7</v>
      </c>
      <c r="AP23" s="73" t="str">
        <f t="shared" ca="1" si="90"/>
        <v>Winnipeg</v>
      </c>
      <c r="AQ23" s="73">
        <f ca="1">7-(COUNTIF(P23,"")+COUNTIF(T23,"")+COUNTIF(X23,"")+COUNTIF(AB23,"")+COUNTIF(AF23,"")+COUNTIF(AJ23,"")+COUNTIF(AN23,""))</f>
        <v>7</v>
      </c>
      <c r="AR23" s="72">
        <v>20</v>
      </c>
      <c r="AS23" s="73" t="str">
        <v>Montreal</v>
      </c>
      <c r="AT23" s="73" t="str">
        <v>NY Islanders</v>
      </c>
      <c r="AU23" s="73" t="str">
        <v>Detroit</v>
      </c>
      <c r="AV23" s="75" t="str">
        <v>Washington</v>
      </c>
      <c r="AW23" s="72">
        <v>20</v>
      </c>
      <c r="AX23" s="73" t="str">
        <v>Minnesota</v>
      </c>
      <c r="AY23" s="73" t="str">
        <v>Vancouver</v>
      </c>
      <c r="AZ23" s="73" t="str">
        <v>St. Louis</v>
      </c>
      <c r="BA23" s="75" t="str">
        <v>Winnipeg</v>
      </c>
      <c r="BB23" s="73">
        <f t="shared" ca="1" si="91"/>
        <v>0.84777092564648793</v>
      </c>
      <c r="BC23" s="73" t="e">
        <f t="shared" ca="1" si="92"/>
        <v>#N/A</v>
      </c>
      <c r="BD23" s="73" t="e">
        <f t="shared" ca="1" si="93"/>
        <v>#N/A</v>
      </c>
      <c r="BE23" s="73" t="e">
        <f ca="1">BC23-(I2-BD21)</f>
        <v>#N/A</v>
      </c>
      <c r="BF23" s="73">
        <f t="shared" ca="1" si="94"/>
        <v>0.82157979911894652</v>
      </c>
      <c r="BG23" s="73" t="e">
        <f t="shared" ca="1" si="95"/>
        <v>#VALUE!</v>
      </c>
      <c r="BH23" s="73" t="e">
        <f t="shared" ca="1" si="96"/>
        <v>#VALUE!</v>
      </c>
      <c r="BI23" s="99"/>
      <c r="BJ23" s="73">
        <f t="shared" ca="1" si="97"/>
        <v>0.86652468025654239</v>
      </c>
      <c r="BK23" s="73" t="e">
        <f t="shared" ca="1" si="98"/>
        <v>#VALUE!</v>
      </c>
      <c r="BL23" s="73" t="e">
        <f t="shared" ca="1" si="99"/>
        <v>#VALUE!</v>
      </c>
      <c r="BM23" s="99"/>
      <c r="BN23" s="73">
        <f t="shared" ca="1" si="100"/>
        <v>0.89427889941597727</v>
      </c>
      <c r="BO23" s="73" t="e">
        <f t="shared" ca="1" si="101"/>
        <v>#VALUE!</v>
      </c>
      <c r="BP23" s="73" t="e">
        <f t="shared" ca="1" si="102"/>
        <v>#VALUE!</v>
      </c>
      <c r="BQ23" s="99"/>
      <c r="BR23" s="73">
        <f t="shared" ca="1" si="103"/>
        <v>0.83864871078380665</v>
      </c>
      <c r="BS23" s="73" t="e">
        <f t="shared" ca="1" si="104"/>
        <v>#VALUE!</v>
      </c>
      <c r="BT23" s="73" t="e">
        <f t="shared" ca="1" si="105"/>
        <v>#VALUE!</v>
      </c>
      <c r="BU23" s="99"/>
      <c r="BV23" s="73">
        <f t="shared" ca="1" si="106"/>
        <v>0.84253204527510694</v>
      </c>
      <c r="BW23" s="73" t="e">
        <f t="shared" ca="1" si="107"/>
        <v>#VALUE!</v>
      </c>
      <c r="BX23" s="73" t="e">
        <f t="shared" ca="1" si="108"/>
        <v>#VALUE!</v>
      </c>
      <c r="BY23" s="99"/>
      <c r="BZ23" s="73">
        <f t="shared" ca="1" si="109"/>
        <v>0.78347206959167393</v>
      </c>
      <c r="CA23" s="73" t="e">
        <f t="shared" ca="1" si="110"/>
        <v>#VALUE!</v>
      </c>
      <c r="CB23" s="73" t="e">
        <f t="shared" ca="1" si="111"/>
        <v>#VALUE!</v>
      </c>
      <c r="CC23" s="99"/>
      <c r="CD23" s="73">
        <f t="shared" ca="1" si="112"/>
        <v>0.84256435967098431</v>
      </c>
      <c r="CE23" s="73" t="e">
        <f t="shared" ca="1" si="113"/>
        <v>#VALUE!</v>
      </c>
      <c r="CF23" s="73" t="e">
        <f t="shared" ca="1" si="114"/>
        <v>#VALUE!</v>
      </c>
      <c r="CG23" s="99"/>
      <c r="CH23" s="75"/>
      <c r="CK23" s="72">
        <v>20</v>
      </c>
      <c r="CL23" s="73" t="str">
        <v>NY Islanders</v>
      </c>
      <c r="CM23" s="75" t="str">
        <v>Tampa Bay</v>
      </c>
      <c r="CN23" s="72">
        <v>20</v>
      </c>
      <c r="CO23" s="73" t="str">
        <v>Vancouver</v>
      </c>
      <c r="CP23" s="75" t="str">
        <v>Winnipeg</v>
      </c>
      <c r="CQ23" s="72"/>
      <c r="CX23" s="99"/>
      <c r="DB23" s="99"/>
      <c r="DF23" s="99"/>
      <c r="DJ23" s="99"/>
      <c r="DN23" s="99"/>
      <c r="DR23" s="99"/>
      <c r="DV23" s="99"/>
      <c r="DW23" s="75"/>
      <c r="DZ23" s="72">
        <v>20</v>
      </c>
      <c r="EA23" s="73" t="str">
        <v>Tampa Bay</v>
      </c>
      <c r="EB23" s="75" t="str">
        <v>Winnipeg</v>
      </c>
      <c r="EE23" s="72"/>
      <c r="EF23" s="73">
        <f ca="1">COUNTIF(AS4:AV103,EF21)/COUNT(AR4:AR103)</f>
        <v>0.35</v>
      </c>
      <c r="EG23" s="73">
        <f ca="1">COUNTIF(CL4:CM103,EF21)/COUNT(CK4:CK103)</f>
        <v>0.28999999999999998</v>
      </c>
      <c r="EH23" s="73">
        <f ca="1">COUNTIF(EA4:EB503,EF21)/COUNT(DZ4:DZ503)</f>
        <v>5.3999999999999999E-2</v>
      </c>
      <c r="EI23" s="73">
        <f ca="1">COUNTIF(FQ3:FQ502,EF21)/COUNT(FP3:FP502)</f>
        <v>0</v>
      </c>
      <c r="EJ23" s="73">
        <f ca="1">AQ6+IF(AP6=EF21,CJ4,0)+IF(CI4=EF21,DX4,0)+IF(DW4=EE21,FO3,0)</f>
        <v>17</v>
      </c>
      <c r="EK23" s="72"/>
      <c r="EL23" s="73">
        <f ca="1">COUNTIF(AX4:BA103,EL21)/COUNT(AW4:AW103)</f>
        <v>1</v>
      </c>
      <c r="EM23" s="73">
        <f ca="1">COUNTIF(CO4:CP103,EL21)/COUNT(CN4:CN103)</f>
        <v>1</v>
      </c>
      <c r="EN23" s="73">
        <f ca="1">COUNTIF(EA4:EB503,EL21)/COUNT(DZ4:DZ503)</f>
        <v>0</v>
      </c>
      <c r="EO23" s="73">
        <f ca="1">COUNTIF(FQ3:FQ502,EL21)/COUNT(FP3:FP502)</f>
        <v>0</v>
      </c>
      <c r="EP23" s="75">
        <f ca="1">AQ19+IF(AP19=EL21,CJ17,0)+IF(CI17=EL21,DX17,0)+IF(DW17=EK21,FO3,0)</f>
        <v>21</v>
      </c>
      <c r="ER23" s="72" t="s">
        <v>21</v>
      </c>
      <c r="ES23" s="104">
        <v>85.053003348606694</v>
      </c>
      <c r="ET23" s="72">
        <v>12</v>
      </c>
      <c r="EU23" s="73">
        <v>7</v>
      </c>
      <c r="EV23" s="73">
        <v>12</v>
      </c>
      <c r="EW23" s="73">
        <v>22</v>
      </c>
      <c r="EX23" s="73">
        <v>6</v>
      </c>
      <c r="EY23" s="73">
        <v>18</v>
      </c>
      <c r="EZ23" s="73">
        <v>5</v>
      </c>
      <c r="FA23" s="73">
        <v>7</v>
      </c>
      <c r="FB23" s="73">
        <v>14</v>
      </c>
      <c r="FC23" s="73">
        <v>7</v>
      </c>
      <c r="FD23" s="73">
        <v>7</v>
      </c>
      <c r="FE23" s="73">
        <v>14</v>
      </c>
      <c r="FF23" s="73">
        <v>21</v>
      </c>
      <c r="FG23" s="73">
        <v>7</v>
      </c>
      <c r="FH23" s="73">
        <v>7</v>
      </c>
      <c r="FI23" s="73">
        <v>28</v>
      </c>
      <c r="FJ23" s="75">
        <v>14</v>
      </c>
      <c r="FP23" s="73">
        <v>21</v>
      </c>
      <c r="FQ23" s="73" t="str">
        <v>Winnipeg</v>
      </c>
    </row>
    <row r="24" spans="1:173" ht="15.75" thickBot="1">
      <c r="A24" s="73">
        <v>8</v>
      </c>
      <c r="B24" s="73" t="s">
        <v>456</v>
      </c>
      <c r="C24" s="73">
        <f>VLOOKUP(B24,Schedule!$A$2:$B$31,2,0)/100</f>
        <v>0.84558509389146563</v>
      </c>
      <c r="D24" s="73" t="e">
        <f>VLOOKUP(B24,'Team Stats'!$B$4:$H$32,13,0)</f>
        <v>#N/A</v>
      </c>
      <c r="E24" s="73" t="e">
        <f>VLOOKUP(B24,'Team Stats'!$B$4:$H$32,14,0)</f>
        <v>#N/A</v>
      </c>
      <c r="F24" s="74"/>
      <c r="H24" s="73">
        <v>7</v>
      </c>
      <c r="I24" s="73">
        <f t="shared" si="68"/>
        <v>0.84777092564648793</v>
      </c>
      <c r="J24" s="73" t="e">
        <f t="shared" si="69"/>
        <v>#N/A</v>
      </c>
      <c r="K24" s="73" t="e">
        <f t="shared" si="70"/>
        <v>#N/A</v>
      </c>
      <c r="L24" s="73" t="e">
        <f>J24-(I2-K23)</f>
        <v>#N/A</v>
      </c>
      <c r="M24" s="96">
        <f t="shared" ca="1" si="67"/>
        <v>0.82303918460653069</v>
      </c>
      <c r="N24" s="76" t="e">
        <f t="shared" ca="1" si="71"/>
        <v>#VALUE!</v>
      </c>
      <c r="O24" s="76" t="e">
        <f t="shared" ca="1" si="72"/>
        <v>#VALUE!</v>
      </c>
      <c r="P24" s="100"/>
      <c r="Q24" s="76">
        <f t="shared" ca="1" si="86"/>
        <v>0.8096841486104468</v>
      </c>
      <c r="R24" s="76" t="e">
        <f t="shared" ca="1" si="73"/>
        <v>#VALUE!</v>
      </c>
      <c r="S24" s="76" t="e">
        <f t="shared" ca="1" si="74"/>
        <v>#VALUE!</v>
      </c>
      <c r="T24" s="100"/>
      <c r="U24" s="76">
        <f ca="1">_xlfn.NORM.INV(RAND(),$I$24,$G$2*$H$2)</f>
        <v>0.86235643793920735</v>
      </c>
      <c r="V24" s="76" t="e">
        <f t="shared" ca="1" si="75"/>
        <v>#VALUE!</v>
      </c>
      <c r="W24" s="76" t="e">
        <f t="shared" ca="1" si="76"/>
        <v>#VALUE!</v>
      </c>
      <c r="X24" s="100"/>
      <c r="Y24" s="76">
        <f ca="1">_xlfn.NORM.INV(RAND(),$I$24,$G$2*$H$2)</f>
        <v>0.84773195963880599</v>
      </c>
      <c r="Z24" s="76" t="e">
        <f t="shared" ca="1" si="77"/>
        <v>#VALUE!</v>
      </c>
      <c r="AA24" s="76" t="e">
        <f t="shared" ca="1" si="78"/>
        <v>#VALUE!</v>
      </c>
      <c r="AB24" s="100"/>
      <c r="AC24" s="76">
        <f ca="1">_xlfn.NORM.INV(RAND(),$I$24,$G$2*$H$2)</f>
        <v>0.85717266463383457</v>
      </c>
      <c r="AD24" s="76" t="e">
        <f t="shared" ca="1" si="79"/>
        <v>#VALUE!</v>
      </c>
      <c r="AE24" s="76" t="e">
        <f t="shared" ca="1" si="80"/>
        <v>#VALUE!</v>
      </c>
      <c r="AF24" s="100"/>
      <c r="AG24" s="76">
        <f ca="1">_xlfn.NORM.INV(RAND(),$I$24,$G$2*$H$2)</f>
        <v>0.911751507389994</v>
      </c>
      <c r="AH24" s="76" t="e">
        <f t="shared" ca="1" si="81"/>
        <v>#VALUE!</v>
      </c>
      <c r="AI24" s="76" t="e">
        <f t="shared" ca="1" si="82"/>
        <v>#VALUE!</v>
      </c>
      <c r="AJ24" s="100"/>
      <c r="AK24" s="76">
        <f ca="1">_xlfn.NORM.INV(RAND(),$I$24,$G$2*$H$2)</f>
        <v>0.84320176613647158</v>
      </c>
      <c r="AL24" s="76" t="e">
        <f t="shared" ca="1" si="83"/>
        <v>#VALUE!</v>
      </c>
      <c r="AM24" s="76" t="e">
        <f t="shared" ca="1" si="84"/>
        <v>#VALUE!</v>
      </c>
      <c r="AN24" s="100"/>
      <c r="AO24" s="77"/>
      <c r="AR24" s="72">
        <v>21</v>
      </c>
      <c r="AS24" s="73" t="str">
        <v>Montreal</v>
      </c>
      <c r="AT24" s="73" t="str">
        <v>Pittsburgh</v>
      </c>
      <c r="AU24" s="73" t="str">
        <v>Tampa Bay</v>
      </c>
      <c r="AV24" s="75" t="str">
        <v>Washington</v>
      </c>
      <c r="AW24" s="72">
        <v>21</v>
      </c>
      <c r="AX24" s="73" t="str">
        <v>Minnesota</v>
      </c>
      <c r="AY24" s="73" t="str">
        <v>Vancouver</v>
      </c>
      <c r="AZ24" s="73" t="str">
        <v>St. Louis</v>
      </c>
      <c r="BA24" s="75" t="str">
        <v>Winnipeg</v>
      </c>
      <c r="BB24" s="76"/>
      <c r="BC24" s="76"/>
      <c r="BD24" s="76"/>
      <c r="BE24" s="76"/>
      <c r="BF24" s="76"/>
      <c r="BG24" s="76"/>
      <c r="BH24" s="76"/>
      <c r="BI24" s="100"/>
      <c r="BJ24" s="76"/>
      <c r="BK24" s="76"/>
      <c r="BL24" s="76"/>
      <c r="BM24" s="100"/>
      <c r="BN24" s="76"/>
      <c r="BO24" s="76"/>
      <c r="BP24" s="76"/>
      <c r="BQ24" s="100"/>
      <c r="BR24" s="76"/>
      <c r="BS24" s="76"/>
      <c r="BT24" s="76"/>
      <c r="BU24" s="100"/>
      <c r="BV24" s="76"/>
      <c r="BW24" s="76"/>
      <c r="BX24" s="76"/>
      <c r="BY24" s="100"/>
      <c r="BZ24" s="76"/>
      <c r="CA24" s="76"/>
      <c r="CB24" s="76"/>
      <c r="CC24" s="100"/>
      <c r="CD24" s="76"/>
      <c r="CE24" s="76"/>
      <c r="CF24" s="76"/>
      <c r="CG24" s="100"/>
      <c r="CH24" s="77"/>
      <c r="CK24" s="72">
        <v>21</v>
      </c>
      <c r="CL24" s="73" t="str">
        <v>Montreal</v>
      </c>
      <c r="CM24" s="75" t="str">
        <v>Tampa Bay</v>
      </c>
      <c r="CN24" s="72">
        <v>21</v>
      </c>
      <c r="CO24" s="73" t="str">
        <v>Vancouver</v>
      </c>
      <c r="CP24" s="75" t="str">
        <v>Winnipeg</v>
      </c>
      <c r="CQ24" s="71"/>
      <c r="CR24" s="76"/>
      <c r="CS24" s="76"/>
      <c r="CT24" s="76"/>
      <c r="CU24" s="76"/>
      <c r="CV24" s="76"/>
      <c r="CW24" s="76"/>
      <c r="CX24" s="100"/>
      <c r="CY24" s="76"/>
      <c r="CZ24" s="76"/>
      <c r="DA24" s="76"/>
      <c r="DB24" s="100"/>
      <c r="DC24" s="76"/>
      <c r="DD24" s="76"/>
      <c r="DE24" s="76"/>
      <c r="DF24" s="100"/>
      <c r="DG24" s="76"/>
      <c r="DH24" s="76"/>
      <c r="DI24" s="76"/>
      <c r="DJ24" s="100"/>
      <c r="DK24" s="76"/>
      <c r="DL24" s="76"/>
      <c r="DM24" s="76"/>
      <c r="DN24" s="100"/>
      <c r="DO24" s="76"/>
      <c r="DP24" s="76"/>
      <c r="DQ24" s="76"/>
      <c r="DR24" s="100"/>
      <c r="DS24" s="76"/>
      <c r="DT24" s="76"/>
      <c r="DU24" s="76"/>
      <c r="DV24" s="100"/>
      <c r="DW24" s="77"/>
      <c r="DZ24" s="72">
        <v>21</v>
      </c>
      <c r="EA24" s="73" t="str">
        <v>Tampa Bay</v>
      </c>
      <c r="EB24" s="75" t="str">
        <v>Winnipeg</v>
      </c>
      <c r="EE24" s="72">
        <v>5</v>
      </c>
      <c r="EF24" s="73" t="str">
        <f>B8</f>
        <v>NY Islanders</v>
      </c>
      <c r="EK24" s="72">
        <v>5</v>
      </c>
      <c r="EL24" s="73" t="str">
        <f>B21</f>
        <v>Calgary</v>
      </c>
      <c r="EP24" s="75"/>
      <c r="ER24" s="72" t="s">
        <v>5</v>
      </c>
      <c r="ES24" s="104">
        <v>85.015583481596806</v>
      </c>
      <c r="ET24" s="72">
        <v>13</v>
      </c>
      <c r="EU24" s="73">
        <v>5</v>
      </c>
      <c r="EV24" s="73">
        <v>10</v>
      </c>
      <c r="EW24" s="73">
        <v>21</v>
      </c>
      <c r="EX24" s="73">
        <v>17</v>
      </c>
      <c r="EY24" s="73">
        <v>7</v>
      </c>
      <c r="EZ24" s="73">
        <v>6</v>
      </c>
      <c r="FA24" s="73">
        <v>6</v>
      </c>
      <c r="FB24" s="73">
        <v>11</v>
      </c>
      <c r="FC24" s="73">
        <v>7</v>
      </c>
      <c r="FD24" s="73">
        <v>7</v>
      </c>
      <c r="FE24" s="73">
        <v>14</v>
      </c>
      <c r="FF24" s="73">
        <v>21</v>
      </c>
      <c r="FG24" s="73">
        <v>7</v>
      </c>
      <c r="FH24" s="73">
        <v>7</v>
      </c>
      <c r="FI24" s="73">
        <v>28</v>
      </c>
      <c r="FJ24" s="75">
        <v>14</v>
      </c>
      <c r="FP24" s="73">
        <v>22</v>
      </c>
      <c r="FQ24" s="73" t="str">
        <v>Winnipeg</v>
      </c>
    </row>
    <row r="25" spans="1:173">
      <c r="AR25" s="72">
        <v>22</v>
      </c>
      <c r="AS25" s="73" t="str">
        <v>Boston</v>
      </c>
      <c r="AT25" s="73" t="str">
        <v>Pittsburgh</v>
      </c>
      <c r="AU25" s="73" t="str">
        <v>Detroit</v>
      </c>
      <c r="AV25" s="75" t="str">
        <v>NY Rangers</v>
      </c>
      <c r="AW25" s="72">
        <v>22</v>
      </c>
      <c r="AX25" s="73" t="str">
        <v>Minnesota</v>
      </c>
      <c r="AY25" s="73" t="str">
        <v>Vancouver</v>
      </c>
      <c r="AZ25" s="73" t="str">
        <v>St. Louis</v>
      </c>
      <c r="BA25" s="75" t="str">
        <v>Winnipeg</v>
      </c>
      <c r="CK25" s="72">
        <v>22</v>
      </c>
      <c r="CL25" s="73" t="str">
        <v>NY Islanders</v>
      </c>
      <c r="CM25" s="75" t="str">
        <v>Tampa Bay</v>
      </c>
      <c r="CN25" s="72">
        <v>22</v>
      </c>
      <c r="CO25" s="73" t="str">
        <v>Vancouver</v>
      </c>
      <c r="CP25" s="75" t="str">
        <v>Winnipeg</v>
      </c>
      <c r="DZ25" s="72">
        <v>22</v>
      </c>
      <c r="EA25" s="73" t="str">
        <v>Tampa Bay</v>
      </c>
      <c r="EB25" s="75" t="str">
        <v>Winnipeg</v>
      </c>
      <c r="EE25" s="72"/>
      <c r="EF25" s="73" t="s">
        <v>522</v>
      </c>
      <c r="EG25" s="73" t="s">
        <v>523</v>
      </c>
      <c r="EH25" s="73" t="s">
        <v>524</v>
      </c>
      <c r="EI25" s="79" t="s">
        <v>521</v>
      </c>
      <c r="EJ25" s="79" t="s">
        <v>526</v>
      </c>
      <c r="EK25" s="72"/>
      <c r="EL25" s="79" t="s">
        <v>522</v>
      </c>
      <c r="EM25" s="79" t="s">
        <v>523</v>
      </c>
      <c r="EN25" s="79" t="s">
        <v>524</v>
      </c>
      <c r="EO25" s="79" t="s">
        <v>521</v>
      </c>
      <c r="EP25" s="97" t="s">
        <v>526</v>
      </c>
      <c r="ER25" s="72" t="s">
        <v>22</v>
      </c>
      <c r="ES25" s="104">
        <v>85.013821779926928</v>
      </c>
      <c r="ET25" s="72">
        <v>14</v>
      </c>
      <c r="EU25" s="73">
        <v>7</v>
      </c>
      <c r="EV25" s="73">
        <v>7</v>
      </c>
      <c r="EW25" s="73">
        <v>5</v>
      </c>
      <c r="EX25" s="73">
        <v>20</v>
      </c>
      <c r="EY25" s="73">
        <v>6</v>
      </c>
      <c r="EZ25" s="73">
        <v>24</v>
      </c>
      <c r="FA25" s="73">
        <v>12</v>
      </c>
      <c r="FB25" s="73">
        <v>14</v>
      </c>
      <c r="FC25" s="73">
        <v>7</v>
      </c>
      <c r="FD25" s="73">
        <v>7</v>
      </c>
      <c r="FE25" s="73">
        <v>14</v>
      </c>
      <c r="FF25" s="73">
        <v>21</v>
      </c>
      <c r="FG25" s="73">
        <v>7</v>
      </c>
      <c r="FH25" s="73">
        <v>7</v>
      </c>
      <c r="FI25" s="73">
        <v>28</v>
      </c>
      <c r="FJ25" s="75">
        <v>14</v>
      </c>
      <c r="FP25" s="73">
        <v>23</v>
      </c>
      <c r="FQ25" s="73" t="str">
        <v>Winnipeg</v>
      </c>
    </row>
    <row r="26" spans="1:173">
      <c r="AR26" s="72">
        <v>23</v>
      </c>
      <c r="AS26" s="73" t="str">
        <v>Boston</v>
      </c>
      <c r="AT26" s="73" t="str">
        <v>Pittsburgh</v>
      </c>
      <c r="AU26" s="73" t="str">
        <v>Tampa Bay</v>
      </c>
      <c r="AV26" s="75" t="str">
        <v>NY Rangers</v>
      </c>
      <c r="AW26" s="72">
        <v>23</v>
      </c>
      <c r="AX26" s="73" t="str">
        <v>Minnesota</v>
      </c>
      <c r="AY26" s="73" t="str">
        <v>Vancouver</v>
      </c>
      <c r="AZ26" s="73" t="str">
        <v>St. Louis</v>
      </c>
      <c r="BA26" s="75" t="str">
        <v>Winnipeg</v>
      </c>
      <c r="CK26" s="72">
        <v>23</v>
      </c>
      <c r="CL26" s="73" t="str">
        <v>Pittsburgh</v>
      </c>
      <c r="CM26" s="75" t="str">
        <v>Tampa Bay</v>
      </c>
      <c r="CN26" s="72">
        <v>23</v>
      </c>
      <c r="CO26" s="73" t="str">
        <v>Vancouver</v>
      </c>
      <c r="CP26" s="75" t="str">
        <v>Winnipeg</v>
      </c>
      <c r="DZ26" s="72">
        <v>23</v>
      </c>
      <c r="EA26" s="73" t="str">
        <v>Tampa Bay</v>
      </c>
      <c r="EB26" s="75" t="str">
        <v>Winnipeg</v>
      </c>
      <c r="EE26" s="72"/>
      <c r="EF26" s="73">
        <f ca="1">COUNTIF(AS4:AV103,EF24)/COUNT(AR4:AR103)</f>
        <v>0.65</v>
      </c>
      <c r="EG26" s="73">
        <f ca="1">COUNTIF(CL4:CM103,EF24)/COUNT(CK4:CK103)</f>
        <v>0.47</v>
      </c>
      <c r="EH26" s="73">
        <f ca="1">COUNTIF(EA4:EB503,EF24)/COUNT(DZ4:DZ503)</f>
        <v>0.122</v>
      </c>
      <c r="EI26" s="73">
        <f ca="1">COUNTIF(FQ3:FQ502,EF24)/COUNT(FP3:FP502)</f>
        <v>0</v>
      </c>
      <c r="EJ26" s="73">
        <f ca="1">AQ6+IF(AP6=EF24,CJ4,0)+IF(CI4=EF24,DX4,0)+IF(DW4=EE24,FO3,0)</f>
        <v>6</v>
      </c>
      <c r="EK26" s="72"/>
      <c r="EL26" s="73">
        <f ca="1">COUNTIF(AX4:BA103,EL24)/COUNT(AW4:AW103)</f>
        <v>0</v>
      </c>
      <c r="EM26" s="73">
        <f ca="1">COUNTIF(CO4:CP103,EL24)/COUNT(CN4:CN103)</f>
        <v>0</v>
      </c>
      <c r="EN26" s="73">
        <f ca="1">COUNTIF(EA4:EB503,EL24)/COUNT(DZ4:DZ503)</f>
        <v>0</v>
      </c>
      <c r="EO26" s="73">
        <f ca="1">COUNTIF(FQ3:FQ502,EL24)/COUNT(FP3:FP502)</f>
        <v>0</v>
      </c>
      <c r="EP26" s="75">
        <f ca="1">AQ19+IF(AP19=EL24,CJ17,0)+IF(CI17=EL24,DX17,0)+IF(DW17=EK24,FO3,0)</f>
        <v>7</v>
      </c>
      <c r="ER26" s="72" t="s">
        <v>2</v>
      </c>
      <c r="ES26" s="104">
        <v>84.918202417441918</v>
      </c>
      <c r="ET26" s="72">
        <v>15</v>
      </c>
      <c r="EU26" s="73">
        <v>6</v>
      </c>
      <c r="EV26" s="73">
        <v>5</v>
      </c>
      <c r="EW26" s="73">
        <v>7</v>
      </c>
      <c r="EX26" s="73">
        <v>23</v>
      </c>
      <c r="EY26" s="73">
        <v>5</v>
      </c>
      <c r="EZ26" s="73">
        <v>20</v>
      </c>
      <c r="FA26" s="73">
        <v>11</v>
      </c>
      <c r="FB26" s="73">
        <v>10</v>
      </c>
      <c r="FC26" s="73">
        <v>7</v>
      </c>
      <c r="FD26" s="73">
        <v>7</v>
      </c>
      <c r="FE26" s="73">
        <v>14</v>
      </c>
      <c r="FF26" s="73">
        <v>21</v>
      </c>
      <c r="FG26" s="73">
        <v>7</v>
      </c>
      <c r="FH26" s="73">
        <v>7</v>
      </c>
      <c r="FI26" s="73">
        <v>28</v>
      </c>
      <c r="FJ26" s="75">
        <v>14</v>
      </c>
      <c r="FP26" s="73">
        <v>24</v>
      </c>
      <c r="FQ26" s="73" t="str">
        <v>Winnipeg</v>
      </c>
    </row>
    <row r="27" spans="1:173">
      <c r="AR27" s="72">
        <v>24</v>
      </c>
      <c r="AS27" s="73" t="str">
        <v>Boston</v>
      </c>
      <c r="AT27" s="73" t="str">
        <v>NY Islanders</v>
      </c>
      <c r="AU27" s="73" t="str">
        <v>Tampa Bay</v>
      </c>
      <c r="AV27" s="75" t="str">
        <v>Washington</v>
      </c>
      <c r="AW27" s="72">
        <v>24</v>
      </c>
      <c r="AX27" s="73" t="str">
        <v>Minnesota</v>
      </c>
      <c r="AY27" s="73" t="str">
        <v>Vancouver</v>
      </c>
      <c r="AZ27" s="73" t="str">
        <v>St. Louis</v>
      </c>
      <c r="BA27" s="75" t="str">
        <v>Winnipeg</v>
      </c>
      <c r="CK27" s="72">
        <v>24</v>
      </c>
      <c r="CL27" s="73" t="str">
        <v>NY Islanders</v>
      </c>
      <c r="CM27" s="75" t="str">
        <v>Detroit</v>
      </c>
      <c r="CN27" s="72">
        <v>24</v>
      </c>
      <c r="CO27" s="73" t="str">
        <v>Vancouver</v>
      </c>
      <c r="CP27" s="75" t="str">
        <v>Winnipeg</v>
      </c>
      <c r="DZ27" s="72">
        <v>24</v>
      </c>
      <c r="EA27" s="73" t="str">
        <v>Detroit</v>
      </c>
      <c r="EB27" s="75" t="str">
        <v>Winnipeg</v>
      </c>
      <c r="EE27" s="72">
        <v>6</v>
      </c>
      <c r="EF27" s="73" t="str">
        <f>B9</f>
        <v>Detroit</v>
      </c>
      <c r="EK27" s="72">
        <v>6</v>
      </c>
      <c r="EL27" s="73" t="str">
        <f>B22</f>
        <v>Chicago</v>
      </c>
      <c r="EP27" s="75"/>
      <c r="ER27" s="72" t="s">
        <v>6</v>
      </c>
      <c r="ES27" s="104">
        <v>84.879881947033894</v>
      </c>
      <c r="ET27" s="72">
        <v>16</v>
      </c>
      <c r="EU27" s="73">
        <v>15</v>
      </c>
      <c r="EV27" s="73">
        <v>7</v>
      </c>
      <c r="EW27" s="73">
        <v>7</v>
      </c>
      <c r="EX27" s="73">
        <v>6</v>
      </c>
      <c r="EY27" s="73">
        <v>10</v>
      </c>
      <c r="EZ27" s="73">
        <v>22</v>
      </c>
      <c r="FA27" s="73">
        <v>11</v>
      </c>
      <c r="FB27" s="73">
        <v>7</v>
      </c>
      <c r="FC27" s="73">
        <v>7</v>
      </c>
      <c r="FD27" s="73">
        <v>7</v>
      </c>
      <c r="FE27" s="73">
        <v>14</v>
      </c>
      <c r="FF27" s="73">
        <v>21</v>
      </c>
      <c r="FG27" s="73">
        <v>7</v>
      </c>
      <c r="FH27" s="73">
        <v>7</v>
      </c>
      <c r="FI27" s="73">
        <v>28</v>
      </c>
      <c r="FJ27" s="75">
        <v>14</v>
      </c>
      <c r="FP27" s="73">
        <v>25</v>
      </c>
      <c r="FQ27" s="73" t="str">
        <v>Winnipeg</v>
      </c>
    </row>
    <row r="28" spans="1:173">
      <c r="AR28" s="72">
        <v>25</v>
      </c>
      <c r="AS28" s="73" t="str">
        <v>Boston</v>
      </c>
      <c r="AT28" s="73" t="str">
        <v>NY Islanders</v>
      </c>
      <c r="AU28" s="73" t="str">
        <v>Tampa Bay</v>
      </c>
      <c r="AV28" s="75" t="str">
        <v>NY Rangers</v>
      </c>
      <c r="AW28" s="72">
        <v>25</v>
      </c>
      <c r="AX28" s="73" t="str">
        <v>Minnesota</v>
      </c>
      <c r="AY28" s="73" t="str">
        <v>Vancouver</v>
      </c>
      <c r="AZ28" s="73" t="str">
        <v>St. Louis</v>
      </c>
      <c r="BA28" s="75" t="str">
        <v>Winnipeg</v>
      </c>
      <c r="CK28" s="72">
        <v>25</v>
      </c>
      <c r="CL28" s="73" t="str">
        <v>Boston</v>
      </c>
      <c r="CM28" s="75" t="str">
        <v>Tampa Bay</v>
      </c>
      <c r="CN28" s="72">
        <v>25</v>
      </c>
      <c r="CO28" s="73" t="str">
        <v>Vancouver</v>
      </c>
      <c r="CP28" s="75" t="str">
        <v>Winnipeg</v>
      </c>
      <c r="DZ28" s="72">
        <v>25</v>
      </c>
      <c r="EA28" s="73" t="str">
        <v>Detroit</v>
      </c>
      <c r="EB28" s="75" t="str">
        <v>Winnipeg</v>
      </c>
      <c r="EE28" s="72"/>
      <c r="EF28" s="73" t="s">
        <v>522</v>
      </c>
      <c r="EG28" s="73" t="s">
        <v>523</v>
      </c>
      <c r="EH28" s="73" t="s">
        <v>524</v>
      </c>
      <c r="EI28" s="79" t="s">
        <v>521</v>
      </c>
      <c r="EJ28" s="79" t="s">
        <v>526</v>
      </c>
      <c r="EK28" s="72"/>
      <c r="EL28" s="79" t="s">
        <v>522</v>
      </c>
      <c r="EM28" s="79" t="s">
        <v>523</v>
      </c>
      <c r="EN28" s="79" t="s">
        <v>524</v>
      </c>
      <c r="EO28" s="79" t="s">
        <v>521</v>
      </c>
      <c r="EP28" s="97" t="s">
        <v>526</v>
      </c>
      <c r="ER28" s="72" t="s">
        <v>13</v>
      </c>
      <c r="ES28" s="104">
        <v>84.854221314066166</v>
      </c>
      <c r="ET28" s="72">
        <v>17</v>
      </c>
      <c r="EU28" s="73">
        <v>7</v>
      </c>
      <c r="EV28" s="73">
        <v>5</v>
      </c>
      <c r="EW28" s="73">
        <v>7</v>
      </c>
      <c r="EX28" s="73">
        <v>7</v>
      </c>
      <c r="EY28" s="73">
        <v>27</v>
      </c>
      <c r="EZ28" s="73">
        <v>17</v>
      </c>
      <c r="FA28" s="73">
        <v>9</v>
      </c>
      <c r="FB28" s="73">
        <v>14</v>
      </c>
      <c r="FC28" s="73">
        <v>7</v>
      </c>
      <c r="FD28" s="73">
        <v>7</v>
      </c>
      <c r="FE28" s="73">
        <v>14</v>
      </c>
      <c r="FF28" s="73">
        <v>21</v>
      </c>
      <c r="FG28" s="73">
        <v>7</v>
      </c>
      <c r="FH28" s="73">
        <v>7</v>
      </c>
      <c r="FI28" s="73">
        <v>28</v>
      </c>
      <c r="FJ28" s="75">
        <v>14</v>
      </c>
      <c r="FP28" s="73">
        <v>26</v>
      </c>
      <c r="FQ28" s="73" t="str">
        <v>Winnipeg</v>
      </c>
    </row>
    <row r="29" spans="1:173">
      <c r="AR29" s="72">
        <v>26</v>
      </c>
      <c r="AS29" s="73" t="str">
        <v>Boston</v>
      </c>
      <c r="AT29" s="73" t="str">
        <v>NY Islanders</v>
      </c>
      <c r="AU29" s="73" t="str">
        <v>Detroit</v>
      </c>
      <c r="AV29" s="75" t="str">
        <v>NY Rangers</v>
      </c>
      <c r="AW29" s="72">
        <v>26</v>
      </c>
      <c r="AX29" s="73" t="str">
        <v>Minnesota</v>
      </c>
      <c r="AY29" s="73" t="str">
        <v>Vancouver</v>
      </c>
      <c r="AZ29" s="73" t="str">
        <v>St. Louis</v>
      </c>
      <c r="BA29" s="75" t="str">
        <v>Winnipeg</v>
      </c>
      <c r="CK29" s="72">
        <v>26</v>
      </c>
      <c r="CL29" s="73" t="str">
        <v>Pittsburgh</v>
      </c>
      <c r="CM29" s="75" t="str">
        <v>Tampa Bay</v>
      </c>
      <c r="CN29" s="72">
        <v>26</v>
      </c>
      <c r="CO29" s="73" t="str">
        <v>Vancouver</v>
      </c>
      <c r="CP29" s="75" t="str">
        <v>Winnipeg</v>
      </c>
      <c r="DZ29" s="72">
        <v>26</v>
      </c>
      <c r="EA29" s="73" t="str">
        <v>Detroit</v>
      </c>
      <c r="EB29" s="75" t="str">
        <v>Winnipeg</v>
      </c>
      <c r="EE29" s="72"/>
      <c r="EF29" s="73">
        <f ca="1">COUNTIF(AS4:AV103,EF27)/COUNT(AR4:AR103)</f>
        <v>0.28000000000000003</v>
      </c>
      <c r="EG29" s="73">
        <f ca="1">COUNTIF(CL4:CM103,EF27)/COUNT(CK4:CK103)</f>
        <v>0.28000000000000003</v>
      </c>
      <c r="EH29" s="73">
        <f ca="1">COUNTIF(EA4:EB503,EF27)/COUNT(DZ4:DZ503)</f>
        <v>0.152</v>
      </c>
      <c r="EI29" s="73">
        <f ca="1">COUNTIF(FQ3:FQ502,EF27)/COUNT(FP3:FP502)</f>
        <v>0</v>
      </c>
      <c r="EJ29" s="73">
        <f ca="1">AQ8+IF(AP8=EF27,CJ8,0)+IF(CI8=EF27,DX4,0)+IF(DW4=EE27,FO3,0)</f>
        <v>4</v>
      </c>
      <c r="EK29" s="72"/>
      <c r="EL29" s="73">
        <f ca="1">COUNTIF(AX4:BA103,EL27)/COUNT(AW4:AW103)</f>
        <v>0</v>
      </c>
      <c r="EM29" s="73">
        <f ca="1">COUNTIF(CO4:CP103,EL27)/COUNT(CN4:CN103)</f>
        <v>0</v>
      </c>
      <c r="EN29" s="73">
        <f ca="1">COUNTIF(EA4:EB503,EL27)/COUNT(DZ4:DZ503)</f>
        <v>0</v>
      </c>
      <c r="EO29" s="73">
        <f ca="1">COUNTIF(FQ3:FQ502,EL27)/COUNT(FP3:FP502)</f>
        <v>0</v>
      </c>
      <c r="EP29" s="75">
        <f ca="1">AQ21+IF(AP21=EL27,CJ21,0)+IF(CI21=EL27,DX17,0)+IF(DW17=EK27,FO3,0)</f>
        <v>7</v>
      </c>
      <c r="ER29" s="72" t="s">
        <v>18</v>
      </c>
      <c r="ES29" s="104">
        <v>84.822257830980675</v>
      </c>
      <c r="ET29" s="72">
        <v>18</v>
      </c>
      <c r="EU29" s="73">
        <v>7</v>
      </c>
      <c r="EV29" s="73">
        <v>11</v>
      </c>
      <c r="EW29" s="73">
        <v>24</v>
      </c>
      <c r="EX29" s="73">
        <v>6</v>
      </c>
      <c r="EY29" s="73">
        <v>18</v>
      </c>
      <c r="EZ29" s="73">
        <v>4</v>
      </c>
      <c r="FA29" s="73">
        <v>5</v>
      </c>
      <c r="FB29" s="73">
        <v>12</v>
      </c>
      <c r="FC29" s="73">
        <v>7</v>
      </c>
      <c r="FD29" s="73">
        <v>7</v>
      </c>
      <c r="FE29" s="73">
        <v>14</v>
      </c>
      <c r="FF29" s="73">
        <v>21</v>
      </c>
      <c r="FG29" s="73">
        <v>7</v>
      </c>
      <c r="FH29" s="73">
        <v>7</v>
      </c>
      <c r="FI29" s="73">
        <v>28</v>
      </c>
      <c r="FJ29" s="75">
        <v>14</v>
      </c>
      <c r="FP29" s="73">
        <v>27</v>
      </c>
      <c r="FQ29" s="73" t="str">
        <v>Winnipeg</v>
      </c>
    </row>
    <row r="30" spans="1:173">
      <c r="AR30" s="72">
        <v>27</v>
      </c>
      <c r="AS30" s="73" t="str">
        <v>Montreal</v>
      </c>
      <c r="AT30" s="73" t="str">
        <v>NY Islanders</v>
      </c>
      <c r="AU30" s="73" t="str">
        <v>Tampa Bay</v>
      </c>
      <c r="AV30" s="75" t="str">
        <v>Washington</v>
      </c>
      <c r="AW30" s="72">
        <v>27</v>
      </c>
      <c r="AX30" s="73" t="str">
        <v>Minnesota</v>
      </c>
      <c r="AY30" s="73" t="str">
        <v>Vancouver</v>
      </c>
      <c r="AZ30" s="73" t="str">
        <v>St. Louis</v>
      </c>
      <c r="BA30" s="75" t="str">
        <v>Winnipeg</v>
      </c>
      <c r="CK30" s="72">
        <v>27</v>
      </c>
      <c r="CL30" s="73" t="str">
        <v>NY Islanders</v>
      </c>
      <c r="CM30" s="75" t="str">
        <v>Tampa Bay</v>
      </c>
      <c r="CN30" s="72">
        <v>27</v>
      </c>
      <c r="CO30" s="73" t="str">
        <v>Vancouver</v>
      </c>
      <c r="CP30" s="75" t="str">
        <v>Winnipeg</v>
      </c>
      <c r="DZ30" s="72">
        <v>27</v>
      </c>
      <c r="EA30" s="73" t="str">
        <v>NY Islanders</v>
      </c>
      <c r="EB30" s="75" t="str">
        <v>Winnipeg</v>
      </c>
      <c r="EE30" s="72">
        <v>7</v>
      </c>
      <c r="EF30" s="73" t="str">
        <f>B10</f>
        <v>Washington</v>
      </c>
      <c r="EK30" s="72">
        <v>7</v>
      </c>
      <c r="EL30" s="73" t="str">
        <f>B23</f>
        <v>Winnipeg</v>
      </c>
      <c r="EP30" s="75"/>
      <c r="ER30" s="72" t="s">
        <v>3</v>
      </c>
      <c r="ES30" s="104">
        <v>84.804182291797119</v>
      </c>
      <c r="ET30" s="72">
        <v>19</v>
      </c>
      <c r="EU30" s="73">
        <v>4</v>
      </c>
      <c r="EV30" s="73">
        <v>6</v>
      </c>
      <c r="EW30" s="73">
        <v>7</v>
      </c>
      <c r="EX30" s="73">
        <v>7</v>
      </c>
      <c r="EY30" s="73">
        <v>18</v>
      </c>
      <c r="EZ30" s="73">
        <v>26</v>
      </c>
      <c r="FA30" s="73">
        <v>11</v>
      </c>
      <c r="FB30" s="73">
        <v>8</v>
      </c>
      <c r="FC30" s="73">
        <v>7</v>
      </c>
      <c r="FD30" s="73">
        <v>7</v>
      </c>
      <c r="FE30" s="73">
        <v>14</v>
      </c>
      <c r="FF30" s="73">
        <v>21</v>
      </c>
      <c r="FG30" s="73">
        <v>7</v>
      </c>
      <c r="FH30" s="73">
        <v>7</v>
      </c>
      <c r="FI30" s="73">
        <v>28</v>
      </c>
      <c r="FJ30" s="75">
        <v>14</v>
      </c>
      <c r="FP30" s="73">
        <v>28</v>
      </c>
      <c r="FQ30" s="73" t="str">
        <v>Winnipeg</v>
      </c>
    </row>
    <row r="31" spans="1:173">
      <c r="AR31" s="72">
        <v>28</v>
      </c>
      <c r="AS31" s="73" t="str">
        <v>Montreal</v>
      </c>
      <c r="AT31" s="73" t="str">
        <v>NY Islanders</v>
      </c>
      <c r="AU31" s="73" t="str">
        <v>Tampa Bay</v>
      </c>
      <c r="AV31" s="75" t="str">
        <v>NY Rangers</v>
      </c>
      <c r="AW31" s="72">
        <v>28</v>
      </c>
      <c r="AX31" s="73" t="str">
        <v>Minnesota</v>
      </c>
      <c r="AY31" s="73" t="str">
        <v>Vancouver</v>
      </c>
      <c r="AZ31" s="73" t="str">
        <v>St. Louis</v>
      </c>
      <c r="BA31" s="75" t="str">
        <v>Winnipeg</v>
      </c>
      <c r="CK31" s="72">
        <v>28</v>
      </c>
      <c r="CL31" s="73" t="str">
        <v>NY Islanders</v>
      </c>
      <c r="CM31" s="75" t="str">
        <v>Tampa Bay</v>
      </c>
      <c r="CN31" s="72">
        <v>28</v>
      </c>
      <c r="CO31" s="73" t="str">
        <v>Vancouver</v>
      </c>
      <c r="CP31" s="75" t="str">
        <v>Winnipeg</v>
      </c>
      <c r="DZ31" s="72">
        <v>28</v>
      </c>
      <c r="EA31" s="73" t="str">
        <v>Detroit</v>
      </c>
      <c r="EB31" s="75" t="str">
        <v>Winnipeg</v>
      </c>
      <c r="EE31" s="72"/>
      <c r="EF31" s="73" t="s">
        <v>522</v>
      </c>
      <c r="EG31" s="73" t="s">
        <v>523</v>
      </c>
      <c r="EH31" s="73" t="s">
        <v>524</v>
      </c>
      <c r="EI31" s="79" t="s">
        <v>521</v>
      </c>
      <c r="EJ31" s="79" t="s">
        <v>526</v>
      </c>
      <c r="EK31" s="72"/>
      <c r="EL31" s="79" t="s">
        <v>522</v>
      </c>
      <c r="EM31" s="79" t="s">
        <v>523</v>
      </c>
      <c r="EN31" s="79" t="s">
        <v>524</v>
      </c>
      <c r="EO31" s="79" t="s">
        <v>521</v>
      </c>
      <c r="EP31" s="97" t="s">
        <v>526</v>
      </c>
      <c r="ER31" s="72" t="s">
        <v>25</v>
      </c>
      <c r="ES31" s="104">
        <v>84.777092564648797</v>
      </c>
      <c r="ET31" s="72">
        <v>20</v>
      </c>
      <c r="EU31" s="73">
        <v>6</v>
      </c>
      <c r="EV31" s="73">
        <v>12</v>
      </c>
      <c r="EW31" s="73">
        <v>7</v>
      </c>
      <c r="EX31" s="73">
        <v>18</v>
      </c>
      <c r="EY31" s="73">
        <v>6</v>
      </c>
      <c r="EZ31" s="73">
        <v>25</v>
      </c>
      <c r="FA31" s="73">
        <v>6</v>
      </c>
      <c r="FB31" s="73">
        <v>13</v>
      </c>
      <c r="FC31" s="73">
        <v>7</v>
      </c>
      <c r="FD31" s="73">
        <v>7</v>
      </c>
      <c r="FE31" s="73">
        <v>14</v>
      </c>
      <c r="FF31" s="73">
        <v>21</v>
      </c>
      <c r="FG31" s="73">
        <v>7</v>
      </c>
      <c r="FH31" s="73">
        <v>7</v>
      </c>
      <c r="FI31" s="73">
        <v>28</v>
      </c>
      <c r="FJ31" s="75">
        <v>14</v>
      </c>
      <c r="FP31" s="73">
        <v>29</v>
      </c>
      <c r="FQ31" s="73" t="str">
        <v>Winnipeg</v>
      </c>
    </row>
    <row r="32" spans="1:173">
      <c r="AR32" s="72">
        <v>29</v>
      </c>
      <c r="AS32" s="73" t="str">
        <v>Boston</v>
      </c>
      <c r="AT32" s="73" t="str">
        <v>Pittsburgh</v>
      </c>
      <c r="AU32" s="73" t="str">
        <v>Tampa Bay</v>
      </c>
      <c r="AV32" s="75" t="str">
        <v>Washington</v>
      </c>
      <c r="AW32" s="72">
        <v>29</v>
      </c>
      <c r="AX32" s="73" t="str">
        <v>Minnesota</v>
      </c>
      <c r="AY32" s="73" t="str">
        <v>Vancouver</v>
      </c>
      <c r="AZ32" s="73" t="str">
        <v>St. Louis</v>
      </c>
      <c r="BA32" s="75" t="str">
        <v>Winnipeg</v>
      </c>
      <c r="CK32" s="72">
        <v>29</v>
      </c>
      <c r="CL32" s="73" t="str">
        <v>Pittsburgh</v>
      </c>
      <c r="CM32" s="75" t="str">
        <v>Tampa Bay</v>
      </c>
      <c r="CN32" s="72">
        <v>29</v>
      </c>
      <c r="CO32" s="73" t="str">
        <v>Vancouver</v>
      </c>
      <c r="CP32" s="75" t="str">
        <v>Winnipeg</v>
      </c>
      <c r="DZ32" s="72">
        <v>29</v>
      </c>
      <c r="EA32" s="73" t="str">
        <v>Tampa Bay</v>
      </c>
      <c r="EB32" s="75" t="str">
        <v>Winnipeg</v>
      </c>
      <c r="EE32" s="72"/>
      <c r="EF32" s="73">
        <f ca="1">COUNTIF(AS4:AV103,EF30)/COUNT(AR4:AR103)</f>
        <v>0.48</v>
      </c>
      <c r="EG32" s="73">
        <f ca="1">COUNTIF(CL4:CM103,EF30)/COUNT(CK4:CK103)</f>
        <v>0</v>
      </c>
      <c r="EH32" s="73">
        <f ca="1">COUNTIF(EA4:EB503,EF30)/COUNT(DZ4:DZ503)</f>
        <v>8.0000000000000002E-3</v>
      </c>
      <c r="EI32" s="73">
        <f ca="1">COUNTIF(FQ3:FQ502,EF30)/COUNT(FP3:FP502)</f>
        <v>0</v>
      </c>
      <c r="EJ32" s="73">
        <f ca="1">AQ10+IF(AP10=EF30,CJ8,0)+IF(CI8=EF30,DX4,0)+IF(DW4=EE30,FO3,0)</f>
        <v>7</v>
      </c>
      <c r="EK32" s="72"/>
      <c r="EL32" s="73">
        <f ca="1">COUNTIF(AX4:BA103,EL30)/COUNT(AW4:AW103)</f>
        <v>1</v>
      </c>
      <c r="EM32" s="73">
        <f ca="1">COUNTIF(CO4:CP103,EL30)/COUNT(CN4:CN103)</f>
        <v>1</v>
      </c>
      <c r="EN32" s="73">
        <f ca="1">COUNTIF(EA4:EB503,EL30)/COUNT(DZ4:DZ503)</f>
        <v>1</v>
      </c>
      <c r="EO32" s="73">
        <f ca="1">COUNTIF(FQ3:FQ502,EL30)/COUNT(FP3:FP502)</f>
        <v>1</v>
      </c>
      <c r="EP32" s="75">
        <f ca="1">AQ23+IF(AP23=EL30,CJ21,0)+IF(CI21=EL30,DX17,0)+IF(DW17=EK30,FO3,0)</f>
        <v>28</v>
      </c>
      <c r="ER32" s="72" t="s">
        <v>11</v>
      </c>
      <c r="ES32" s="104">
        <v>84.703329894020342</v>
      </c>
      <c r="ET32" s="72">
        <v>21</v>
      </c>
      <c r="EU32" s="73">
        <v>7</v>
      </c>
      <c r="EV32" s="73">
        <v>14</v>
      </c>
      <c r="EW32" s="73">
        <v>25</v>
      </c>
      <c r="EX32" s="73">
        <v>12</v>
      </c>
      <c r="EY32" s="73">
        <v>6</v>
      </c>
      <c r="EZ32" s="73">
        <v>6</v>
      </c>
      <c r="FA32" s="73">
        <v>7</v>
      </c>
      <c r="FB32" s="73">
        <v>18</v>
      </c>
      <c r="FC32" s="73">
        <v>7</v>
      </c>
      <c r="FD32" s="73">
        <v>7</v>
      </c>
      <c r="FE32" s="73">
        <v>14</v>
      </c>
      <c r="FF32" s="73">
        <v>21</v>
      </c>
      <c r="FG32" s="73">
        <v>7</v>
      </c>
      <c r="FH32" s="73">
        <v>7</v>
      </c>
      <c r="FI32" s="73">
        <v>28</v>
      </c>
      <c r="FJ32" s="75">
        <v>14</v>
      </c>
      <c r="FP32" s="73">
        <v>30</v>
      </c>
      <c r="FQ32" s="73" t="str">
        <v>Winnipeg</v>
      </c>
    </row>
    <row r="33" spans="44:173">
      <c r="AR33" s="72">
        <v>30</v>
      </c>
      <c r="AS33" s="73" t="str">
        <v>Montreal</v>
      </c>
      <c r="AT33" s="73" t="str">
        <v>NY Islanders</v>
      </c>
      <c r="AU33" s="73" t="str">
        <v>Tampa Bay</v>
      </c>
      <c r="AV33" s="75" t="str">
        <v>Washington</v>
      </c>
      <c r="AW33" s="72">
        <v>30</v>
      </c>
      <c r="AX33" s="73" t="str">
        <v>Minnesota</v>
      </c>
      <c r="AY33" s="73" t="str">
        <v>Vancouver</v>
      </c>
      <c r="AZ33" s="73" t="str">
        <v>St. Louis</v>
      </c>
      <c r="BA33" s="75" t="str">
        <v>Winnipeg</v>
      </c>
      <c r="CK33" s="72">
        <v>30</v>
      </c>
      <c r="CL33" s="73" t="str">
        <v>NY Islanders</v>
      </c>
      <c r="CM33" s="75" t="str">
        <v>Tampa Bay</v>
      </c>
      <c r="CN33" s="72">
        <v>30</v>
      </c>
      <c r="CO33" s="73" t="str">
        <v>Vancouver</v>
      </c>
      <c r="CP33" s="75" t="str">
        <v>Winnipeg</v>
      </c>
      <c r="DZ33" s="72">
        <v>30</v>
      </c>
      <c r="EA33" s="73" t="str">
        <v>Pittsburgh</v>
      </c>
      <c r="EB33" s="75" t="str">
        <v>Winnipeg</v>
      </c>
      <c r="EE33" s="72">
        <v>8</v>
      </c>
      <c r="EF33" s="73" t="str">
        <f>B11</f>
        <v>Boston</v>
      </c>
      <c r="EK33" s="72">
        <v>8</v>
      </c>
      <c r="EL33" s="73" t="str">
        <f>B24</f>
        <v>Minnesota</v>
      </c>
      <c r="EP33" s="75"/>
      <c r="ER33" s="72" t="s">
        <v>4</v>
      </c>
      <c r="ES33" s="104">
        <v>84.692649343862158</v>
      </c>
      <c r="ET33" s="72">
        <v>22</v>
      </c>
      <c r="EU33" s="73">
        <v>7</v>
      </c>
      <c r="EV33" s="73">
        <v>11</v>
      </c>
      <c r="EW33" s="73">
        <v>4</v>
      </c>
      <c r="EX33" s="73">
        <v>17</v>
      </c>
      <c r="EY33" s="73">
        <v>6</v>
      </c>
      <c r="EZ33" s="73">
        <v>23</v>
      </c>
      <c r="FA33" s="73">
        <v>6</v>
      </c>
      <c r="FB33" s="73">
        <v>11</v>
      </c>
      <c r="FC33" s="73">
        <v>7</v>
      </c>
      <c r="FD33" s="73">
        <v>7</v>
      </c>
      <c r="FE33" s="73">
        <v>14</v>
      </c>
      <c r="FF33" s="73">
        <v>21</v>
      </c>
      <c r="FG33" s="73">
        <v>7</v>
      </c>
      <c r="FH33" s="73">
        <v>7</v>
      </c>
      <c r="FI33" s="73">
        <v>28</v>
      </c>
      <c r="FJ33" s="75">
        <v>14</v>
      </c>
      <c r="FP33" s="73">
        <v>31</v>
      </c>
      <c r="FQ33" s="73" t="str">
        <v>Winnipeg</v>
      </c>
    </row>
    <row r="34" spans="44:173">
      <c r="AR34" s="72">
        <v>31</v>
      </c>
      <c r="AS34" s="73" t="str">
        <v>Boston</v>
      </c>
      <c r="AT34" s="73" t="str">
        <v>NY Islanders</v>
      </c>
      <c r="AU34" s="73" t="str">
        <v>Tampa Bay</v>
      </c>
      <c r="AV34" s="75" t="str">
        <v>Washington</v>
      </c>
      <c r="AW34" s="72">
        <v>31</v>
      </c>
      <c r="AX34" s="73" t="str">
        <v>Minnesota</v>
      </c>
      <c r="AY34" s="73" t="str">
        <v>Vancouver</v>
      </c>
      <c r="AZ34" s="73" t="str">
        <v>St. Louis</v>
      </c>
      <c r="BA34" s="75" t="str">
        <v>Winnipeg</v>
      </c>
      <c r="CK34" s="72">
        <v>31</v>
      </c>
      <c r="CL34" s="73" t="str">
        <v>Montreal</v>
      </c>
      <c r="CM34" s="75" t="str">
        <v>NY Rangers</v>
      </c>
      <c r="CN34" s="72">
        <v>31</v>
      </c>
      <c r="CO34" s="73" t="str">
        <v>Vancouver</v>
      </c>
      <c r="CP34" s="75" t="str">
        <v>Winnipeg</v>
      </c>
      <c r="DZ34" s="72">
        <v>31</v>
      </c>
      <c r="EA34" s="73" t="str">
        <v>Boston</v>
      </c>
      <c r="EB34" s="75" t="str">
        <v>Winnipeg</v>
      </c>
      <c r="EE34" s="72"/>
      <c r="EF34" s="73" t="s">
        <v>522</v>
      </c>
      <c r="EG34" s="73" t="s">
        <v>523</v>
      </c>
      <c r="EH34" s="73" t="s">
        <v>524</v>
      </c>
      <c r="EI34" s="79" t="s">
        <v>521</v>
      </c>
      <c r="EJ34" s="79" t="s">
        <v>526</v>
      </c>
      <c r="EK34" s="72"/>
      <c r="EL34" s="79" t="s">
        <v>522</v>
      </c>
      <c r="EM34" s="79" t="s">
        <v>523</v>
      </c>
      <c r="EN34" s="79" t="s">
        <v>524</v>
      </c>
      <c r="EO34" s="79" t="s">
        <v>521</v>
      </c>
      <c r="EP34" s="97" t="s">
        <v>526</v>
      </c>
      <c r="ER34" s="72" t="s">
        <v>430</v>
      </c>
      <c r="ES34" s="104">
        <v>84.634788831985787</v>
      </c>
      <c r="ET34" s="72">
        <v>23</v>
      </c>
      <c r="EU34" s="73">
        <v>4</v>
      </c>
      <c r="EV34" s="73">
        <v>12</v>
      </c>
      <c r="EW34" s="73">
        <v>24</v>
      </c>
      <c r="EX34" s="73">
        <v>6</v>
      </c>
      <c r="EY34" s="73">
        <v>18</v>
      </c>
      <c r="EZ34" s="73">
        <v>5</v>
      </c>
      <c r="FA34" s="73">
        <v>7</v>
      </c>
      <c r="FB34" s="73">
        <v>9</v>
      </c>
      <c r="FC34" s="73">
        <v>7</v>
      </c>
      <c r="FD34" s="73">
        <v>7</v>
      </c>
      <c r="FE34" s="73">
        <v>14</v>
      </c>
      <c r="FF34" s="73">
        <v>21</v>
      </c>
      <c r="FG34" s="73">
        <v>7</v>
      </c>
      <c r="FH34" s="73">
        <v>7</v>
      </c>
      <c r="FI34" s="73">
        <v>28</v>
      </c>
      <c r="FJ34" s="75">
        <v>14</v>
      </c>
      <c r="FP34" s="73">
        <v>32</v>
      </c>
      <c r="FQ34" s="73" t="str">
        <v>Winnipeg</v>
      </c>
    </row>
    <row r="35" spans="44:173" ht="15.75" thickBot="1">
      <c r="AR35" s="72">
        <v>32</v>
      </c>
      <c r="AS35" s="73" t="str">
        <v>Boston</v>
      </c>
      <c r="AT35" s="73" t="str">
        <v>NY Islanders</v>
      </c>
      <c r="AU35" s="73" t="str">
        <v>Detroit</v>
      </c>
      <c r="AV35" s="75" t="str">
        <v>Washington</v>
      </c>
      <c r="AW35" s="72">
        <v>32</v>
      </c>
      <c r="AX35" s="73" t="str">
        <v>Minnesota</v>
      </c>
      <c r="AY35" s="73" t="str">
        <v>Vancouver</v>
      </c>
      <c r="AZ35" s="73" t="str">
        <v>St. Louis</v>
      </c>
      <c r="BA35" s="75" t="str">
        <v>Winnipeg</v>
      </c>
      <c r="CK35" s="72">
        <v>32</v>
      </c>
      <c r="CL35" s="73" t="str">
        <v>NY Islanders</v>
      </c>
      <c r="CM35" s="75" t="str">
        <v>Detroit</v>
      </c>
      <c r="CN35" s="72">
        <v>32</v>
      </c>
      <c r="CO35" s="73" t="str">
        <v>Vancouver</v>
      </c>
      <c r="CP35" s="75" t="str">
        <v>Winnipeg</v>
      </c>
      <c r="DZ35" s="72">
        <v>32</v>
      </c>
      <c r="EA35" s="73" t="str">
        <v>Montreal</v>
      </c>
      <c r="EB35" s="75" t="str">
        <v>Winnipeg</v>
      </c>
      <c r="EE35" s="71"/>
      <c r="EF35" s="76">
        <f ca="1">COUNTIF(AS4:AV103,EF33)/COUNT(AR4:AR103)</f>
        <v>0.6</v>
      </c>
      <c r="EG35" s="76">
        <f ca="1">COUNTIF(CL4:CM103,EF33)/COUNT(CK4:CK103)</f>
        <v>0.17</v>
      </c>
      <c r="EH35" s="76">
        <f ca="1">COUNTIF(EA4:EB503,EF33)/COUNT(DZ4:DZ503)</f>
        <v>0.02</v>
      </c>
      <c r="EI35" s="76">
        <f ca="1">COUNTIF(FQ3:FQ502,EF33)/COUNT(FP3:FP502)</f>
        <v>0</v>
      </c>
      <c r="EJ35" s="76">
        <f ca="1">AQ4+IF(AP4=EF33,CJ4,0)+IF(CI4=EF33,DX4,0)+IF(DW4=EE33,FO3,0)</f>
        <v>9</v>
      </c>
      <c r="EK35" s="71"/>
      <c r="EL35" s="76">
        <f ca="1">COUNTIF(AX4:BA103,EL33)/COUNT(AW4:AW103)</f>
        <v>1</v>
      </c>
      <c r="EM35" s="76">
        <f ca="1">COUNTIF(CO4:CP103,EL33)/COUNT(CN4:CN103)</f>
        <v>0</v>
      </c>
      <c r="EN35" s="76">
        <f ca="1">COUNTIF(EA4:EB503,EL33)/COUNT(DZ4:DZ503)</f>
        <v>0</v>
      </c>
      <c r="EO35" s="76">
        <f ca="1">COUNTIF(FQ3:FQ502,EL33)/COUNT(FP3:FP502)</f>
        <v>0</v>
      </c>
      <c r="EP35" s="77">
        <f ca="1">AQ17+IF(AP17=EL33,CJ17,0)+IF(CI17=EL33,DX17,0)+IF(DW17=EK33,FO3,0)</f>
        <v>14</v>
      </c>
      <c r="ER35" s="72" t="s">
        <v>19</v>
      </c>
      <c r="ES35" s="104">
        <v>84.56786728740262</v>
      </c>
      <c r="ET35" s="72">
        <v>24</v>
      </c>
      <c r="EU35" s="73">
        <v>12</v>
      </c>
      <c r="EV35" s="73">
        <v>5</v>
      </c>
      <c r="EW35" s="73">
        <v>24</v>
      </c>
      <c r="EX35" s="73">
        <v>17</v>
      </c>
      <c r="EY35" s="73">
        <v>5</v>
      </c>
      <c r="EZ35" s="73">
        <v>7</v>
      </c>
      <c r="FA35" s="73">
        <v>10</v>
      </c>
      <c r="FB35" s="73">
        <v>5</v>
      </c>
      <c r="FC35" s="73">
        <v>7</v>
      </c>
      <c r="FD35" s="73">
        <v>7</v>
      </c>
      <c r="FE35" s="73">
        <v>14</v>
      </c>
      <c r="FF35" s="73">
        <v>21</v>
      </c>
      <c r="FG35" s="73">
        <v>7</v>
      </c>
      <c r="FH35" s="73">
        <v>7</v>
      </c>
      <c r="FI35" s="73">
        <v>28</v>
      </c>
      <c r="FJ35" s="75">
        <v>14</v>
      </c>
      <c r="FP35" s="73">
        <v>33</v>
      </c>
      <c r="FQ35" s="73" t="str">
        <v>Winnipeg</v>
      </c>
    </row>
    <row r="36" spans="44:173">
      <c r="AR36" s="72">
        <v>33</v>
      </c>
      <c r="AS36" s="73" t="str">
        <v>Montreal</v>
      </c>
      <c r="AT36" s="73" t="str">
        <v>NY Islanders</v>
      </c>
      <c r="AU36" s="73" t="str">
        <v>Tampa Bay</v>
      </c>
      <c r="AV36" s="75" t="str">
        <v>Washington</v>
      </c>
      <c r="AW36" s="72">
        <v>33</v>
      </c>
      <c r="AX36" s="73" t="str">
        <v>Minnesota</v>
      </c>
      <c r="AY36" s="73" t="str">
        <v>Vancouver</v>
      </c>
      <c r="AZ36" s="73" t="str">
        <v>St. Louis</v>
      </c>
      <c r="BA36" s="75" t="str">
        <v>Winnipeg</v>
      </c>
      <c r="CK36" s="72">
        <v>33</v>
      </c>
      <c r="CL36" s="73" t="str">
        <v>NY Islanders</v>
      </c>
      <c r="CM36" s="75" t="str">
        <v>Tampa Bay</v>
      </c>
      <c r="CN36" s="72">
        <v>33</v>
      </c>
      <c r="CO36" s="73" t="str">
        <v>Vancouver</v>
      </c>
      <c r="CP36" s="75" t="str">
        <v>Winnipeg</v>
      </c>
      <c r="DZ36" s="72">
        <v>33</v>
      </c>
      <c r="EA36" s="73" t="str">
        <v>Detroit</v>
      </c>
      <c r="EB36" s="75" t="str">
        <v>Winnipeg</v>
      </c>
      <c r="ER36" s="72" t="s">
        <v>23</v>
      </c>
      <c r="ES36" s="104">
        <v>84.558509389146565</v>
      </c>
      <c r="ET36" s="72">
        <v>25</v>
      </c>
      <c r="EU36" s="73">
        <v>6</v>
      </c>
      <c r="EV36" s="73">
        <v>10</v>
      </c>
      <c r="EW36" s="73">
        <v>14</v>
      </c>
      <c r="EX36" s="73">
        <v>6</v>
      </c>
      <c r="EY36" s="73">
        <v>24</v>
      </c>
      <c r="EZ36" s="73">
        <v>4</v>
      </c>
      <c r="FA36" s="73">
        <v>6</v>
      </c>
      <c r="FB36" s="73">
        <v>11</v>
      </c>
      <c r="FC36" s="73">
        <v>7</v>
      </c>
      <c r="FD36" s="73">
        <v>7</v>
      </c>
      <c r="FE36" s="73">
        <v>14</v>
      </c>
      <c r="FF36" s="73">
        <v>21</v>
      </c>
      <c r="FG36" s="73">
        <v>7</v>
      </c>
      <c r="FH36" s="73">
        <v>7</v>
      </c>
      <c r="FI36" s="73">
        <v>28</v>
      </c>
      <c r="FJ36" s="75">
        <v>14</v>
      </c>
      <c r="FP36" s="73">
        <v>34</v>
      </c>
      <c r="FQ36" s="73" t="str">
        <v>Winnipeg</v>
      </c>
    </row>
    <row r="37" spans="44:173">
      <c r="AR37" s="72">
        <v>34</v>
      </c>
      <c r="AS37" s="73" t="str">
        <v>Boston</v>
      </c>
      <c r="AT37" s="73" t="str">
        <v>NY Islanders</v>
      </c>
      <c r="AU37" s="73" t="str">
        <v>Tampa Bay</v>
      </c>
      <c r="AV37" s="75" t="str">
        <v>NY Rangers</v>
      </c>
      <c r="AW37" s="72">
        <v>34</v>
      </c>
      <c r="AX37" s="73" t="str">
        <v>Minnesota</v>
      </c>
      <c r="AY37" s="73" t="str">
        <v>Vancouver</v>
      </c>
      <c r="AZ37" s="73" t="str">
        <v>St. Louis</v>
      </c>
      <c r="BA37" s="75" t="str">
        <v>Winnipeg</v>
      </c>
      <c r="CK37" s="72">
        <v>34</v>
      </c>
      <c r="CL37" s="73" t="str">
        <v>NY Islanders</v>
      </c>
      <c r="CM37" s="75" t="str">
        <v>Tampa Bay</v>
      </c>
      <c r="CN37" s="72">
        <v>34</v>
      </c>
      <c r="CO37" s="73" t="str">
        <v>Vancouver</v>
      </c>
      <c r="CP37" s="75" t="str">
        <v>Winnipeg</v>
      </c>
      <c r="DZ37" s="72">
        <v>34</v>
      </c>
      <c r="EA37" s="73" t="str">
        <v>Tampa Bay</v>
      </c>
      <c r="EB37" s="75" t="str">
        <v>Winnipeg</v>
      </c>
      <c r="ER37" s="72" t="s">
        <v>12</v>
      </c>
      <c r="ES37" s="104">
        <v>84.540679915027866</v>
      </c>
      <c r="ET37" s="72">
        <v>26</v>
      </c>
      <c r="EU37" s="73">
        <v>16</v>
      </c>
      <c r="EV37" s="73">
        <v>11</v>
      </c>
      <c r="EW37" s="73">
        <v>20</v>
      </c>
      <c r="EX37" s="73">
        <v>13</v>
      </c>
      <c r="EY37" s="73">
        <v>7</v>
      </c>
      <c r="EZ37" s="73">
        <v>4</v>
      </c>
      <c r="FA37" s="73">
        <v>6</v>
      </c>
      <c r="FB37" s="73">
        <v>6</v>
      </c>
      <c r="FC37" s="73">
        <v>7</v>
      </c>
      <c r="FD37" s="73">
        <v>7</v>
      </c>
      <c r="FE37" s="73">
        <v>14</v>
      </c>
      <c r="FF37" s="73">
        <v>21</v>
      </c>
      <c r="FG37" s="73">
        <v>7</v>
      </c>
      <c r="FH37" s="73">
        <v>7</v>
      </c>
      <c r="FI37" s="73">
        <v>28</v>
      </c>
      <c r="FJ37" s="75">
        <v>14</v>
      </c>
      <c r="FP37" s="73">
        <v>35</v>
      </c>
      <c r="FQ37" s="73" t="str">
        <v>Winnipeg</v>
      </c>
    </row>
    <row r="38" spans="44:173">
      <c r="AR38" s="72">
        <v>35</v>
      </c>
      <c r="AS38" s="73" t="str">
        <v>Boston</v>
      </c>
      <c r="AT38" s="73" t="str">
        <v>Pittsburgh</v>
      </c>
      <c r="AU38" s="73" t="str">
        <v>Tampa Bay</v>
      </c>
      <c r="AV38" s="75" t="str">
        <v>NY Rangers</v>
      </c>
      <c r="AW38" s="72">
        <v>35</v>
      </c>
      <c r="AX38" s="73" t="str">
        <v>Minnesota</v>
      </c>
      <c r="AY38" s="73" t="str">
        <v>Vancouver</v>
      </c>
      <c r="AZ38" s="73" t="str">
        <v>St. Louis</v>
      </c>
      <c r="BA38" s="75" t="str">
        <v>Winnipeg</v>
      </c>
      <c r="CK38" s="72">
        <v>35</v>
      </c>
      <c r="CL38" s="73" t="str">
        <v>Pittsburgh</v>
      </c>
      <c r="CM38" s="75" t="str">
        <v>Tampa Bay</v>
      </c>
      <c r="CN38" s="72">
        <v>35</v>
      </c>
      <c r="CO38" s="73" t="str">
        <v>Vancouver</v>
      </c>
      <c r="CP38" s="75" t="str">
        <v>Winnipeg</v>
      </c>
      <c r="DZ38" s="72">
        <v>35</v>
      </c>
      <c r="EA38" s="73" t="str">
        <v>Tampa Bay</v>
      </c>
      <c r="EB38" s="75" t="str">
        <v>Winnipeg</v>
      </c>
      <c r="ER38" s="72" t="s">
        <v>17</v>
      </c>
      <c r="ES38" s="104">
        <v>84.466737907719647</v>
      </c>
      <c r="ET38" s="72">
        <v>27</v>
      </c>
      <c r="EU38" s="73">
        <v>10</v>
      </c>
      <c r="EV38" s="73">
        <v>5</v>
      </c>
      <c r="EW38" s="73">
        <v>23</v>
      </c>
      <c r="EX38" s="73">
        <v>17</v>
      </c>
      <c r="EY38" s="73">
        <v>4</v>
      </c>
      <c r="EZ38" s="73">
        <v>4</v>
      </c>
      <c r="FA38" s="73">
        <v>10</v>
      </c>
      <c r="FB38" s="73">
        <v>4</v>
      </c>
      <c r="FC38" s="73">
        <v>7</v>
      </c>
      <c r="FD38" s="73">
        <v>7</v>
      </c>
      <c r="FE38" s="73">
        <v>14</v>
      </c>
      <c r="FF38" s="73">
        <v>21</v>
      </c>
      <c r="FG38" s="73">
        <v>7</v>
      </c>
      <c r="FH38" s="73">
        <v>7</v>
      </c>
      <c r="FI38" s="73">
        <v>28</v>
      </c>
      <c r="FJ38" s="75">
        <v>14</v>
      </c>
      <c r="FP38" s="73">
        <v>36</v>
      </c>
      <c r="FQ38" s="73" t="str">
        <v>Winnipeg</v>
      </c>
    </row>
    <row r="39" spans="44:173">
      <c r="AR39" s="72">
        <v>36</v>
      </c>
      <c r="AS39" s="73" t="str">
        <v>Boston</v>
      </c>
      <c r="AT39" s="73" t="str">
        <v>NY Islanders</v>
      </c>
      <c r="AU39" s="73" t="str">
        <v>Tampa Bay</v>
      </c>
      <c r="AV39" s="75" t="str">
        <v>NY Rangers</v>
      </c>
      <c r="AW39" s="72">
        <v>36</v>
      </c>
      <c r="AX39" s="73" t="str">
        <v>Minnesota</v>
      </c>
      <c r="AY39" s="73" t="str">
        <v>Vancouver</v>
      </c>
      <c r="AZ39" s="73" t="str">
        <v>St. Louis</v>
      </c>
      <c r="BA39" s="75" t="str">
        <v>Winnipeg</v>
      </c>
      <c r="CK39" s="72">
        <v>36</v>
      </c>
      <c r="CL39" s="73" t="str">
        <v>Pittsburgh</v>
      </c>
      <c r="CM39" s="75" t="str">
        <v>Tampa Bay</v>
      </c>
      <c r="CN39" s="72">
        <v>36</v>
      </c>
      <c r="CO39" s="73" t="str">
        <v>Vancouver</v>
      </c>
      <c r="CP39" s="75" t="str">
        <v>Winnipeg</v>
      </c>
      <c r="DZ39" s="72">
        <v>36</v>
      </c>
      <c r="EA39" s="73" t="str">
        <v>Tampa Bay</v>
      </c>
      <c r="EB39" s="75" t="str">
        <v>Winnipeg</v>
      </c>
      <c r="ER39" s="72" t="s">
        <v>16</v>
      </c>
      <c r="ES39" s="104">
        <v>84.439541672686488</v>
      </c>
      <c r="ET39" s="72">
        <v>28</v>
      </c>
      <c r="EU39" s="73">
        <v>11</v>
      </c>
      <c r="EV39" s="73">
        <v>10</v>
      </c>
      <c r="EW39" s="73">
        <v>7</v>
      </c>
      <c r="EX39" s="73">
        <v>6</v>
      </c>
      <c r="EY39" s="73">
        <v>27</v>
      </c>
      <c r="EZ39" s="73">
        <v>18</v>
      </c>
      <c r="FA39" s="73">
        <v>6</v>
      </c>
      <c r="FB39" s="73">
        <v>4</v>
      </c>
      <c r="FC39" s="73">
        <v>7</v>
      </c>
      <c r="FD39" s="73">
        <v>7</v>
      </c>
      <c r="FE39" s="73">
        <v>14</v>
      </c>
      <c r="FF39" s="73">
        <v>21</v>
      </c>
      <c r="FG39" s="73">
        <v>7</v>
      </c>
      <c r="FH39" s="73">
        <v>7</v>
      </c>
      <c r="FI39" s="73">
        <v>28</v>
      </c>
      <c r="FJ39" s="75">
        <v>14</v>
      </c>
      <c r="FP39" s="73">
        <v>37</v>
      </c>
      <c r="FQ39" s="73" t="str">
        <v>Winnipeg</v>
      </c>
    </row>
    <row r="40" spans="44:173">
      <c r="AR40" s="72">
        <v>37</v>
      </c>
      <c r="AS40" s="73" t="str">
        <v>Montreal</v>
      </c>
      <c r="AT40" s="73" t="str">
        <v>Pittsburgh</v>
      </c>
      <c r="AU40" s="73" t="str">
        <v>Tampa Bay</v>
      </c>
      <c r="AV40" s="75" t="str">
        <v>Washington</v>
      </c>
      <c r="AW40" s="72">
        <v>37</v>
      </c>
      <c r="AX40" s="73" t="str">
        <v>Minnesota</v>
      </c>
      <c r="AY40" s="73" t="str">
        <v>Vancouver</v>
      </c>
      <c r="AZ40" s="73" t="str">
        <v>St. Louis</v>
      </c>
      <c r="BA40" s="75" t="str">
        <v>Winnipeg</v>
      </c>
      <c r="CK40" s="72">
        <v>37</v>
      </c>
      <c r="CL40" s="73" t="str">
        <v>Montreal</v>
      </c>
      <c r="CM40" s="75" t="str">
        <v>NY Rangers</v>
      </c>
      <c r="CN40" s="72">
        <v>37</v>
      </c>
      <c r="CO40" s="73" t="str">
        <v>Vancouver</v>
      </c>
      <c r="CP40" s="75" t="str">
        <v>Winnipeg</v>
      </c>
      <c r="DZ40" s="72">
        <v>37</v>
      </c>
      <c r="EA40" s="73" t="str">
        <v>Tampa Bay</v>
      </c>
      <c r="EB40" s="75" t="str">
        <v>Winnipeg</v>
      </c>
      <c r="ER40" s="72" t="s">
        <v>15</v>
      </c>
      <c r="ES40" s="104">
        <v>84.438445187368572</v>
      </c>
      <c r="ET40" s="72">
        <v>29</v>
      </c>
      <c r="EU40" s="73">
        <v>6</v>
      </c>
      <c r="EV40" s="73">
        <v>7</v>
      </c>
      <c r="EW40" s="73">
        <v>23</v>
      </c>
      <c r="EX40" s="73">
        <v>13</v>
      </c>
      <c r="EY40" s="73">
        <v>7</v>
      </c>
      <c r="EZ40" s="73">
        <v>6</v>
      </c>
      <c r="FA40" s="73">
        <v>12</v>
      </c>
      <c r="FB40" s="73">
        <v>17</v>
      </c>
      <c r="FC40" s="73">
        <v>7</v>
      </c>
      <c r="FD40" s="73">
        <v>7</v>
      </c>
      <c r="FE40" s="73">
        <v>14</v>
      </c>
      <c r="FF40" s="73">
        <v>21</v>
      </c>
      <c r="FG40" s="73">
        <v>7</v>
      </c>
      <c r="FH40" s="73">
        <v>7</v>
      </c>
      <c r="FI40" s="73">
        <v>28</v>
      </c>
      <c r="FJ40" s="75">
        <v>14</v>
      </c>
      <c r="FP40" s="73">
        <v>38</v>
      </c>
      <c r="FQ40" s="73" t="str">
        <v>Winnipeg</v>
      </c>
    </row>
    <row r="41" spans="44:173" ht="15.75" thickBot="1">
      <c r="AR41" s="72">
        <v>38</v>
      </c>
      <c r="AS41" s="73" t="str">
        <v>Montreal</v>
      </c>
      <c r="AT41" s="73" t="str">
        <v>Pittsburgh</v>
      </c>
      <c r="AU41" s="73" t="str">
        <v>Tampa Bay</v>
      </c>
      <c r="AV41" s="75" t="str">
        <v>Washington</v>
      </c>
      <c r="AW41" s="72">
        <v>38</v>
      </c>
      <c r="AX41" s="73" t="str">
        <v>Minnesota</v>
      </c>
      <c r="AY41" s="73" t="str">
        <v>Vancouver</v>
      </c>
      <c r="AZ41" s="73" t="str">
        <v>St. Louis</v>
      </c>
      <c r="BA41" s="75" t="str">
        <v>Winnipeg</v>
      </c>
      <c r="CK41" s="72">
        <v>38</v>
      </c>
      <c r="CL41" s="73" t="str">
        <v>NY Islanders</v>
      </c>
      <c r="CM41" s="75" t="str">
        <v>Detroit</v>
      </c>
      <c r="CN41" s="72">
        <v>38</v>
      </c>
      <c r="CO41" s="73" t="str">
        <v>Vancouver</v>
      </c>
      <c r="CP41" s="75" t="str">
        <v>Winnipeg</v>
      </c>
      <c r="DZ41" s="72">
        <v>38</v>
      </c>
      <c r="EA41" s="73" t="str">
        <v>Tampa Bay</v>
      </c>
      <c r="EB41" s="75" t="str">
        <v>Winnipeg</v>
      </c>
      <c r="ER41" s="71" t="s">
        <v>20</v>
      </c>
      <c r="ES41" s="105">
        <v>84.432567381361238</v>
      </c>
      <c r="ET41" s="72">
        <v>30</v>
      </c>
      <c r="EU41" s="73">
        <v>5</v>
      </c>
      <c r="EV41" s="73">
        <v>7</v>
      </c>
      <c r="EW41" s="73">
        <v>23</v>
      </c>
      <c r="EX41" s="73">
        <v>12</v>
      </c>
      <c r="EY41" s="73">
        <v>6</v>
      </c>
      <c r="EZ41" s="73">
        <v>6</v>
      </c>
      <c r="FA41" s="73">
        <v>12</v>
      </c>
      <c r="FB41" s="73">
        <v>16</v>
      </c>
      <c r="FC41" s="73">
        <v>7</v>
      </c>
      <c r="FD41" s="73">
        <v>7</v>
      </c>
      <c r="FE41" s="73">
        <v>14</v>
      </c>
      <c r="FF41" s="73">
        <v>21</v>
      </c>
      <c r="FG41" s="73">
        <v>7</v>
      </c>
      <c r="FH41" s="73">
        <v>7</v>
      </c>
      <c r="FI41" s="73">
        <v>28</v>
      </c>
      <c r="FJ41" s="75">
        <v>14</v>
      </c>
      <c r="FP41" s="73">
        <v>39</v>
      </c>
      <c r="FQ41" s="73" t="str">
        <v>Winnipeg</v>
      </c>
    </row>
    <row r="42" spans="44:173">
      <c r="AR42" s="72">
        <v>39</v>
      </c>
      <c r="AS42" s="73" t="str">
        <v>Montreal</v>
      </c>
      <c r="AT42" s="73" t="str">
        <v>Pittsburgh</v>
      </c>
      <c r="AU42" s="73" t="str">
        <v>Detroit</v>
      </c>
      <c r="AV42" s="75" t="str">
        <v>NY Rangers</v>
      </c>
      <c r="AW42" s="72">
        <v>39</v>
      </c>
      <c r="AX42" s="73" t="str">
        <v>Minnesota</v>
      </c>
      <c r="AY42" s="73" t="str">
        <v>Vancouver</v>
      </c>
      <c r="AZ42" s="73" t="str">
        <v>St. Louis</v>
      </c>
      <c r="BA42" s="75" t="str">
        <v>Winnipeg</v>
      </c>
      <c r="CK42" s="72">
        <v>39</v>
      </c>
      <c r="CL42" s="73" t="str">
        <v>NY Islanders</v>
      </c>
      <c r="CM42" s="75" t="str">
        <v>Tampa Bay</v>
      </c>
      <c r="CN42" s="72">
        <v>39</v>
      </c>
      <c r="CO42" s="73" t="str">
        <v>Vancouver</v>
      </c>
      <c r="CP42" s="75" t="str">
        <v>Winnipeg</v>
      </c>
      <c r="DZ42" s="72">
        <v>39</v>
      </c>
      <c r="EA42" s="73" t="str">
        <v>Tampa Bay</v>
      </c>
      <c r="EB42" s="75" t="str">
        <v>Winnipeg</v>
      </c>
      <c r="ET42" s="72">
        <v>31</v>
      </c>
      <c r="EU42" s="73">
        <v>12</v>
      </c>
      <c r="EV42" s="73">
        <v>5</v>
      </c>
      <c r="EW42" s="73">
        <v>23</v>
      </c>
      <c r="EX42" s="73">
        <v>4</v>
      </c>
      <c r="EY42" s="73">
        <v>18</v>
      </c>
      <c r="EZ42" s="73">
        <v>4</v>
      </c>
      <c r="FA42" s="73">
        <v>10</v>
      </c>
      <c r="FB42" s="73">
        <v>5</v>
      </c>
      <c r="FC42" s="73">
        <v>7</v>
      </c>
      <c r="FD42" s="73">
        <v>7</v>
      </c>
      <c r="FE42" s="73">
        <v>14</v>
      </c>
      <c r="FF42" s="73">
        <v>21</v>
      </c>
      <c r="FG42" s="73">
        <v>7</v>
      </c>
      <c r="FH42" s="73">
        <v>7</v>
      </c>
      <c r="FI42" s="73">
        <v>28</v>
      </c>
      <c r="FJ42" s="75">
        <v>14</v>
      </c>
      <c r="FP42" s="73">
        <v>40</v>
      </c>
      <c r="FQ42" s="73" t="str">
        <v>Winnipeg</v>
      </c>
    </row>
    <row r="43" spans="44:173">
      <c r="AR43" s="72">
        <v>40</v>
      </c>
      <c r="AS43" s="73" t="str">
        <v>Boston</v>
      </c>
      <c r="AT43" s="73" t="str">
        <v>NY Islanders</v>
      </c>
      <c r="AU43" s="73" t="str">
        <v>Tampa Bay</v>
      </c>
      <c r="AV43" s="75" t="str">
        <v>Washington</v>
      </c>
      <c r="AW43" s="72">
        <v>40</v>
      </c>
      <c r="AX43" s="73" t="str">
        <v>Minnesota</v>
      </c>
      <c r="AY43" s="73" t="str">
        <v>Vancouver</v>
      </c>
      <c r="AZ43" s="73" t="str">
        <v>St. Louis</v>
      </c>
      <c r="BA43" s="75" t="str">
        <v>Winnipeg</v>
      </c>
      <c r="CK43" s="72">
        <v>40</v>
      </c>
      <c r="CL43" s="73" t="str">
        <v>Boston</v>
      </c>
      <c r="CM43" s="75" t="str">
        <v>Tampa Bay</v>
      </c>
      <c r="CN43" s="72">
        <v>40</v>
      </c>
      <c r="CO43" s="73" t="str">
        <v>Vancouver</v>
      </c>
      <c r="CP43" s="75" t="str">
        <v>Winnipeg</v>
      </c>
      <c r="DZ43" s="72">
        <v>40</v>
      </c>
      <c r="EA43" s="73" t="str">
        <v>NY Islanders</v>
      </c>
      <c r="EB43" s="75" t="str">
        <v>Winnipeg</v>
      </c>
      <c r="ED43" s="73" t="s">
        <v>443</v>
      </c>
      <c r="EE43" s="73" t="s">
        <v>457</v>
      </c>
      <c r="EF43" s="73" t="s">
        <v>444</v>
      </c>
      <c r="EG43" s="73" t="s">
        <v>445</v>
      </c>
      <c r="EH43" s="73" t="s">
        <v>458</v>
      </c>
      <c r="EI43" s="73" t="s">
        <v>451</v>
      </c>
      <c r="EJ43" s="73" t="s">
        <v>446</v>
      </c>
      <c r="EK43" s="73" t="s">
        <v>447</v>
      </c>
      <c r="EL43" s="73" t="s">
        <v>448</v>
      </c>
      <c r="EM43" s="73" t="s">
        <v>449</v>
      </c>
      <c r="EN43" s="73" t="s">
        <v>450</v>
      </c>
      <c r="EO43" s="73" t="s">
        <v>452</v>
      </c>
      <c r="EP43" s="73" t="s">
        <v>453</v>
      </c>
      <c r="EQ43" s="73" t="s">
        <v>454</v>
      </c>
      <c r="ER43" s="73" t="s">
        <v>455</v>
      </c>
      <c r="ES43" s="73" t="s">
        <v>456</v>
      </c>
      <c r="ET43" s="72">
        <v>32</v>
      </c>
      <c r="EU43" s="73">
        <v>5</v>
      </c>
      <c r="EV43" s="73">
        <v>9</v>
      </c>
      <c r="EW43" s="73">
        <v>25</v>
      </c>
      <c r="EX43" s="73">
        <v>10</v>
      </c>
      <c r="EY43" s="73">
        <v>5</v>
      </c>
      <c r="EZ43" s="73">
        <v>6</v>
      </c>
      <c r="FA43" s="73">
        <v>4</v>
      </c>
      <c r="FB43" s="73">
        <v>17</v>
      </c>
      <c r="FC43" s="73">
        <v>7</v>
      </c>
      <c r="FD43" s="73">
        <v>7</v>
      </c>
      <c r="FE43" s="73">
        <v>14</v>
      </c>
      <c r="FF43" s="73">
        <v>21</v>
      </c>
      <c r="FG43" s="73">
        <v>7</v>
      </c>
      <c r="FH43" s="73">
        <v>7</v>
      </c>
      <c r="FI43" s="73">
        <v>28</v>
      </c>
      <c r="FJ43" s="75">
        <v>14</v>
      </c>
      <c r="FP43" s="73">
        <v>41</v>
      </c>
      <c r="FQ43" s="73" t="str">
        <v>Winnipeg</v>
      </c>
    </row>
    <row r="44" spans="44:173">
      <c r="AR44" s="72">
        <v>41</v>
      </c>
      <c r="AS44" s="73" t="str">
        <v>Boston</v>
      </c>
      <c r="AT44" s="73" t="str">
        <v>NY Islanders</v>
      </c>
      <c r="AU44" s="73" t="str">
        <v>Tampa Bay</v>
      </c>
      <c r="AV44" s="75" t="str">
        <v>Washington</v>
      </c>
      <c r="AW44" s="72">
        <v>41</v>
      </c>
      <c r="AX44" s="73" t="str">
        <v>Minnesota</v>
      </c>
      <c r="AY44" s="73" t="str">
        <v>Vancouver</v>
      </c>
      <c r="AZ44" s="73" t="str">
        <v>St. Louis</v>
      </c>
      <c r="BA44" s="75" t="str">
        <v>Winnipeg</v>
      </c>
      <c r="CK44" s="72">
        <v>41</v>
      </c>
      <c r="CL44" s="73" t="str">
        <v>NY Islanders</v>
      </c>
      <c r="CM44" s="75" t="str">
        <v>Detroit</v>
      </c>
      <c r="CN44" s="72">
        <v>41</v>
      </c>
      <c r="CO44" s="73" t="str">
        <v>Vancouver</v>
      </c>
      <c r="CP44" s="75" t="str">
        <v>Winnipeg</v>
      </c>
      <c r="DZ44" s="72">
        <v>41</v>
      </c>
      <c r="EA44" s="73" t="str">
        <v>Tampa Bay</v>
      </c>
      <c r="EB44" s="75" t="str">
        <v>Winnipeg</v>
      </c>
      <c r="EC44" s="73" t="s">
        <v>526</v>
      </c>
      <c r="ED44" s="73">
        <f ca="1">EU112</f>
        <v>7.88</v>
      </c>
      <c r="EE44" s="73">
        <f t="shared" ref="EE44:ES44" ca="1" si="143">EV112</f>
        <v>8.98</v>
      </c>
      <c r="EF44" s="73">
        <f t="shared" ca="1" si="143"/>
        <v>16.52</v>
      </c>
      <c r="EG44" s="73">
        <f t="shared" ca="1" si="143"/>
        <v>10.81</v>
      </c>
      <c r="EH44" s="73">
        <f t="shared" ca="1" si="143"/>
        <v>13.14</v>
      </c>
      <c r="EI44" s="73">
        <f t="shared" ca="1" si="143"/>
        <v>9.92</v>
      </c>
      <c r="EJ44" s="73">
        <f t="shared" ca="1" si="143"/>
        <v>8.84</v>
      </c>
      <c r="EK44" s="73">
        <f t="shared" ca="1" si="143"/>
        <v>11.05</v>
      </c>
      <c r="EL44" s="73">
        <f t="shared" ca="1" si="143"/>
        <v>7</v>
      </c>
      <c r="EM44" s="73">
        <f t="shared" ca="1" si="143"/>
        <v>7</v>
      </c>
      <c r="EN44" s="73">
        <f t="shared" ca="1" si="143"/>
        <v>14</v>
      </c>
      <c r="EO44" s="73">
        <f t="shared" ca="1" si="143"/>
        <v>21</v>
      </c>
      <c r="EP44" s="73">
        <f t="shared" ca="1" si="143"/>
        <v>7</v>
      </c>
      <c r="EQ44" s="73">
        <f t="shared" ca="1" si="143"/>
        <v>7</v>
      </c>
      <c r="ER44" s="73">
        <f t="shared" ca="1" si="143"/>
        <v>28</v>
      </c>
      <c r="ES44" s="73">
        <f t="shared" ca="1" si="143"/>
        <v>14</v>
      </c>
      <c r="ET44" s="72">
        <v>33</v>
      </c>
      <c r="EU44" s="73">
        <v>20</v>
      </c>
      <c r="EV44" s="73">
        <v>6</v>
      </c>
      <c r="EW44" s="73">
        <v>26</v>
      </c>
      <c r="EX44" s="73">
        <v>10</v>
      </c>
      <c r="EY44" s="73">
        <v>4</v>
      </c>
      <c r="EZ44" s="73">
        <v>7</v>
      </c>
      <c r="FA44" s="73">
        <v>11</v>
      </c>
      <c r="FB44" s="73">
        <v>7</v>
      </c>
      <c r="FC44" s="73">
        <v>7</v>
      </c>
      <c r="FD44" s="73">
        <v>7</v>
      </c>
      <c r="FE44" s="73">
        <v>14</v>
      </c>
      <c r="FF44" s="73">
        <v>21</v>
      </c>
      <c r="FG44" s="73">
        <v>7</v>
      </c>
      <c r="FH44" s="73">
        <v>7</v>
      </c>
      <c r="FI44" s="73">
        <v>28</v>
      </c>
      <c r="FJ44" s="75">
        <v>14</v>
      </c>
      <c r="FP44" s="73">
        <v>42</v>
      </c>
      <c r="FQ44" s="73" t="str">
        <v>Winnipeg</v>
      </c>
    </row>
    <row r="45" spans="44:173">
      <c r="AR45" s="72">
        <v>42</v>
      </c>
      <c r="AS45" s="73" t="str">
        <v>Montreal</v>
      </c>
      <c r="AT45" s="73" t="str">
        <v>NY Islanders</v>
      </c>
      <c r="AU45" s="73" t="str">
        <v>Tampa Bay</v>
      </c>
      <c r="AV45" s="75" t="str">
        <v>NY Rangers</v>
      </c>
      <c r="AW45" s="72">
        <v>42</v>
      </c>
      <c r="AX45" s="73" t="str">
        <v>Minnesota</v>
      </c>
      <c r="AY45" s="73" t="str">
        <v>Vancouver</v>
      </c>
      <c r="AZ45" s="73" t="str">
        <v>St. Louis</v>
      </c>
      <c r="BA45" s="75" t="str">
        <v>Winnipeg</v>
      </c>
      <c r="CK45" s="72">
        <v>42</v>
      </c>
      <c r="CL45" s="73" t="str">
        <v>Boston</v>
      </c>
      <c r="CM45" s="75" t="str">
        <v>Tampa Bay</v>
      </c>
      <c r="CN45" s="72">
        <v>42</v>
      </c>
      <c r="CO45" s="73" t="str">
        <v>Vancouver</v>
      </c>
      <c r="CP45" s="75" t="str">
        <v>Winnipeg</v>
      </c>
      <c r="DZ45" s="72">
        <v>42</v>
      </c>
      <c r="EA45" s="73" t="str">
        <v>NY Islanders</v>
      </c>
      <c r="EB45" s="75" t="str">
        <v>Winnipeg</v>
      </c>
      <c r="EC45" s="73" t="s">
        <v>528</v>
      </c>
      <c r="ED45" s="73" t="e">
        <f>VLOOKUP(ED43,'Team Stats'!$A$4:$H$32,22,0)</f>
        <v>#REF!</v>
      </c>
      <c r="EE45" s="73" t="e">
        <f>VLOOKUP(EE43,'Team Stats'!$A$4:$H$32,22,0)</f>
        <v>#REF!</v>
      </c>
      <c r="EF45" s="73" t="e">
        <f>VLOOKUP(EF43,'Team Stats'!$A$4:$H$32,22,0)</f>
        <v>#REF!</v>
      </c>
      <c r="EG45" s="73" t="e">
        <f>VLOOKUP(EG43,'Team Stats'!$A$4:$H$32,22,0)</f>
        <v>#REF!</v>
      </c>
      <c r="EH45" s="73" t="e">
        <f>VLOOKUP(EH43,'Team Stats'!$A$4:$H$32,22,0)</f>
        <v>#REF!</v>
      </c>
      <c r="EI45" s="73" t="e">
        <f>VLOOKUP(EI43,'Team Stats'!$A$4:$H$32,22,0)</f>
        <v>#REF!</v>
      </c>
      <c r="EJ45" s="73" t="e">
        <f>VLOOKUP(EJ43,'Team Stats'!$A$4:$H$32,22,0)</f>
        <v>#REF!</v>
      </c>
      <c r="EK45" s="73" t="e">
        <f>VLOOKUP(EK43,'Team Stats'!$A$4:$H$32,22,0)</f>
        <v>#REF!</v>
      </c>
      <c r="EL45" s="73" t="e">
        <f>VLOOKUP(EL43,'Team Stats'!$A$4:$H$32,22,0)</f>
        <v>#REF!</v>
      </c>
      <c r="EM45" s="73" t="e">
        <f>VLOOKUP(EM43,'Team Stats'!$A$4:$H$32,22,0)</f>
        <v>#N/A</v>
      </c>
      <c r="EN45" s="73" t="e">
        <f>VLOOKUP(EN43,'Team Stats'!$A$4:$H$32,22,0)</f>
        <v>#REF!</v>
      </c>
      <c r="EO45" s="73" t="e">
        <f>VLOOKUP(EO43,'Team Stats'!$A$4:$H$32,22,0)</f>
        <v>#REF!</v>
      </c>
      <c r="EP45" s="73" t="e">
        <f>VLOOKUP(EP43,'Team Stats'!$A$4:$H$32,22,0)</f>
        <v>#REF!</v>
      </c>
      <c r="EQ45" s="73" t="e">
        <f>VLOOKUP(EQ43,'Team Stats'!$A$4:$H$32,22,0)</f>
        <v>#REF!</v>
      </c>
      <c r="ER45" s="73" t="e">
        <f>VLOOKUP(ER43,'Team Stats'!$A$4:$H$32,22,0)</f>
        <v>#REF!</v>
      </c>
      <c r="ES45" s="73" t="e">
        <f>VLOOKUP(ES43,'Team Stats'!$A$4:$H$32,22,0)</f>
        <v>#REF!</v>
      </c>
      <c r="ET45" s="72">
        <v>34</v>
      </c>
      <c r="EU45" s="73">
        <v>14</v>
      </c>
      <c r="EV45" s="73">
        <v>11</v>
      </c>
      <c r="EW45" s="73">
        <v>27</v>
      </c>
      <c r="EX45" s="73">
        <v>6</v>
      </c>
      <c r="EY45" s="73">
        <v>20</v>
      </c>
      <c r="EZ45" s="73">
        <v>7</v>
      </c>
      <c r="FA45" s="73">
        <v>5</v>
      </c>
      <c r="FB45" s="73">
        <v>7</v>
      </c>
      <c r="FC45" s="73">
        <v>7</v>
      </c>
      <c r="FD45" s="73">
        <v>7</v>
      </c>
      <c r="FE45" s="73">
        <v>14</v>
      </c>
      <c r="FF45" s="73">
        <v>21</v>
      </c>
      <c r="FG45" s="73">
        <v>7</v>
      </c>
      <c r="FH45" s="73">
        <v>7</v>
      </c>
      <c r="FI45" s="73">
        <v>28</v>
      </c>
      <c r="FJ45" s="75">
        <v>14</v>
      </c>
      <c r="FP45" s="73">
        <v>43</v>
      </c>
      <c r="FQ45" s="73" t="str">
        <v>Winnipeg</v>
      </c>
    </row>
    <row r="46" spans="44:173">
      <c r="AR46" s="72">
        <v>43</v>
      </c>
      <c r="AS46" s="73" t="str">
        <v>Boston</v>
      </c>
      <c r="AT46" s="73" t="str">
        <v>NY Islanders</v>
      </c>
      <c r="AU46" s="73" t="str">
        <v>Tampa Bay</v>
      </c>
      <c r="AV46" s="75" t="str">
        <v>NY Rangers</v>
      </c>
      <c r="AW46" s="72">
        <v>43</v>
      </c>
      <c r="AX46" s="73" t="str">
        <v>Minnesota</v>
      </c>
      <c r="AY46" s="73" t="str">
        <v>Vancouver</v>
      </c>
      <c r="AZ46" s="73" t="str">
        <v>St. Louis</v>
      </c>
      <c r="BA46" s="75" t="str">
        <v>Winnipeg</v>
      </c>
      <c r="CK46" s="72">
        <v>43</v>
      </c>
      <c r="CL46" s="73" t="str">
        <v>NY Islanders</v>
      </c>
      <c r="CM46" s="75" t="str">
        <v>Tampa Bay</v>
      </c>
      <c r="CN46" s="72">
        <v>43</v>
      </c>
      <c r="CO46" s="73" t="str">
        <v>Vancouver</v>
      </c>
      <c r="CP46" s="75" t="str">
        <v>Winnipeg</v>
      </c>
      <c r="DZ46" s="72">
        <v>43</v>
      </c>
      <c r="EA46" s="73" t="str">
        <v>Tampa Bay</v>
      </c>
      <c r="EB46" s="75" t="str">
        <v>Winnipeg</v>
      </c>
      <c r="ED46" s="73" t="e">
        <f ca="1">ED44*ED45</f>
        <v>#REF!</v>
      </c>
      <c r="EE46" s="73" t="e">
        <f t="shared" ref="EE46:ES46" ca="1" si="144">EE44*EE45</f>
        <v>#REF!</v>
      </c>
      <c r="EF46" s="73" t="e">
        <f t="shared" ca="1" si="144"/>
        <v>#REF!</v>
      </c>
      <c r="EG46" s="73" t="e">
        <f t="shared" ca="1" si="144"/>
        <v>#REF!</v>
      </c>
      <c r="EH46" s="73" t="e">
        <f t="shared" ca="1" si="144"/>
        <v>#REF!</v>
      </c>
      <c r="EI46" s="73" t="e">
        <f t="shared" ca="1" si="144"/>
        <v>#REF!</v>
      </c>
      <c r="EJ46" s="73" t="e">
        <f t="shared" ca="1" si="144"/>
        <v>#REF!</v>
      </c>
      <c r="EK46" s="73" t="e">
        <f t="shared" ca="1" si="144"/>
        <v>#REF!</v>
      </c>
      <c r="EL46" s="73" t="e">
        <f t="shared" ca="1" si="144"/>
        <v>#REF!</v>
      </c>
      <c r="EM46" s="73" t="e">
        <f t="shared" ca="1" si="144"/>
        <v>#N/A</v>
      </c>
      <c r="EN46" s="73" t="e">
        <f t="shared" ca="1" si="144"/>
        <v>#REF!</v>
      </c>
      <c r="EO46" s="73" t="e">
        <f t="shared" ca="1" si="144"/>
        <v>#REF!</v>
      </c>
      <c r="EP46" s="73" t="e">
        <f t="shared" ca="1" si="144"/>
        <v>#REF!</v>
      </c>
      <c r="EQ46" s="73" t="e">
        <f t="shared" ca="1" si="144"/>
        <v>#REF!</v>
      </c>
      <c r="ER46" s="73" t="e">
        <f t="shared" ca="1" si="144"/>
        <v>#REF!</v>
      </c>
      <c r="ES46" s="73" t="e">
        <f t="shared" ca="1" si="144"/>
        <v>#REF!</v>
      </c>
      <c r="ET46" s="72">
        <v>35</v>
      </c>
      <c r="EU46" s="73">
        <v>4</v>
      </c>
      <c r="EV46" s="73">
        <v>9</v>
      </c>
      <c r="EW46" s="73">
        <v>24</v>
      </c>
      <c r="EX46" s="73">
        <v>12</v>
      </c>
      <c r="EY46" s="73">
        <v>6</v>
      </c>
      <c r="EZ46" s="73">
        <v>6</v>
      </c>
      <c r="FA46" s="73">
        <v>5</v>
      </c>
      <c r="FB46" s="73">
        <v>17</v>
      </c>
      <c r="FC46" s="73">
        <v>7</v>
      </c>
      <c r="FD46" s="73">
        <v>7</v>
      </c>
      <c r="FE46" s="73">
        <v>14</v>
      </c>
      <c r="FF46" s="73">
        <v>21</v>
      </c>
      <c r="FG46" s="73">
        <v>7</v>
      </c>
      <c r="FH46" s="73">
        <v>7</v>
      </c>
      <c r="FI46" s="73">
        <v>28</v>
      </c>
      <c r="FJ46" s="75">
        <v>14</v>
      </c>
      <c r="FP46" s="73">
        <v>44</v>
      </c>
      <c r="FQ46" s="73" t="str">
        <v>Winnipeg</v>
      </c>
    </row>
    <row r="47" spans="44:173">
      <c r="AR47" s="72">
        <v>44</v>
      </c>
      <c r="AS47" s="73" t="str">
        <v>Boston</v>
      </c>
      <c r="AT47" s="73" t="str">
        <v>NY Islanders</v>
      </c>
      <c r="AU47" s="73" t="str">
        <v>Tampa Bay</v>
      </c>
      <c r="AV47" s="75" t="str">
        <v>NY Rangers</v>
      </c>
      <c r="AW47" s="72">
        <v>44</v>
      </c>
      <c r="AX47" s="73" t="str">
        <v>Minnesota</v>
      </c>
      <c r="AY47" s="73" t="str">
        <v>Vancouver</v>
      </c>
      <c r="AZ47" s="73" t="str">
        <v>St. Louis</v>
      </c>
      <c r="BA47" s="75" t="str">
        <v>Winnipeg</v>
      </c>
      <c r="CK47" s="72">
        <v>44</v>
      </c>
      <c r="CL47" s="73" t="str">
        <v>Boston</v>
      </c>
      <c r="CM47" s="75" t="str">
        <v>Tampa Bay</v>
      </c>
      <c r="CN47" s="72">
        <v>44</v>
      </c>
      <c r="CO47" s="73" t="str">
        <v>Vancouver</v>
      </c>
      <c r="CP47" s="75" t="str">
        <v>Winnipeg</v>
      </c>
      <c r="DZ47" s="72">
        <v>44</v>
      </c>
      <c r="EA47" s="73" t="str">
        <v>Tampa Bay</v>
      </c>
      <c r="EB47" s="75" t="str">
        <v>Winnipeg</v>
      </c>
      <c r="ET47" s="72">
        <v>36</v>
      </c>
      <c r="EU47" s="73">
        <v>19</v>
      </c>
      <c r="EV47" s="73">
        <v>10</v>
      </c>
      <c r="EW47" s="73">
        <v>24</v>
      </c>
      <c r="EX47" s="73">
        <v>13</v>
      </c>
      <c r="EY47" s="73">
        <v>7</v>
      </c>
      <c r="EZ47" s="73">
        <v>6</v>
      </c>
      <c r="FA47" s="73">
        <v>6</v>
      </c>
      <c r="FB47" s="73">
        <v>6</v>
      </c>
      <c r="FC47" s="73">
        <v>7</v>
      </c>
      <c r="FD47" s="73">
        <v>7</v>
      </c>
      <c r="FE47" s="73">
        <v>14</v>
      </c>
      <c r="FF47" s="73">
        <v>21</v>
      </c>
      <c r="FG47" s="73">
        <v>7</v>
      </c>
      <c r="FH47" s="73">
        <v>7</v>
      </c>
      <c r="FI47" s="73">
        <v>28</v>
      </c>
      <c r="FJ47" s="75">
        <v>14</v>
      </c>
      <c r="FP47" s="73">
        <v>45</v>
      </c>
      <c r="FQ47" s="73" t="str">
        <v>Winnipeg</v>
      </c>
    </row>
    <row r="48" spans="44:173">
      <c r="AR48" s="72">
        <v>45</v>
      </c>
      <c r="AS48" s="73" t="str">
        <v>Boston</v>
      </c>
      <c r="AT48" s="73" t="str">
        <v>NY Islanders</v>
      </c>
      <c r="AU48" s="73" t="str">
        <v>Tampa Bay</v>
      </c>
      <c r="AV48" s="75" t="str">
        <v>Washington</v>
      </c>
      <c r="AW48" s="72">
        <v>45</v>
      </c>
      <c r="AX48" s="73" t="str">
        <v>Minnesota</v>
      </c>
      <c r="AY48" s="73" t="str">
        <v>Vancouver</v>
      </c>
      <c r="AZ48" s="73" t="str">
        <v>St. Louis</v>
      </c>
      <c r="BA48" s="75" t="str">
        <v>Winnipeg</v>
      </c>
      <c r="CK48" s="72">
        <v>45</v>
      </c>
      <c r="CL48" s="73" t="str">
        <v>Pittsburgh</v>
      </c>
      <c r="CM48" s="75" t="str">
        <v>Tampa Bay</v>
      </c>
      <c r="CN48" s="72">
        <v>45</v>
      </c>
      <c r="CO48" s="73" t="str">
        <v>Vancouver</v>
      </c>
      <c r="CP48" s="75" t="str">
        <v>Winnipeg</v>
      </c>
      <c r="DZ48" s="72">
        <v>45</v>
      </c>
      <c r="EA48" s="73" t="str">
        <v>Tampa Bay</v>
      </c>
      <c r="EB48" s="75" t="str">
        <v>Winnipeg</v>
      </c>
      <c r="ET48" s="72">
        <v>37</v>
      </c>
      <c r="EU48" s="73">
        <v>6</v>
      </c>
      <c r="EV48" s="73">
        <v>6</v>
      </c>
      <c r="EW48" s="73">
        <v>17</v>
      </c>
      <c r="EX48" s="73">
        <v>24</v>
      </c>
      <c r="EY48" s="73">
        <v>5</v>
      </c>
      <c r="EZ48" s="73">
        <v>7</v>
      </c>
      <c r="FA48" s="73">
        <v>11</v>
      </c>
      <c r="FB48" s="73">
        <v>13</v>
      </c>
      <c r="FC48" s="73">
        <v>7</v>
      </c>
      <c r="FD48" s="73">
        <v>7</v>
      </c>
      <c r="FE48" s="73">
        <v>14</v>
      </c>
      <c r="FF48" s="73">
        <v>21</v>
      </c>
      <c r="FG48" s="73">
        <v>7</v>
      </c>
      <c r="FH48" s="73">
        <v>7</v>
      </c>
      <c r="FI48" s="73">
        <v>28</v>
      </c>
      <c r="FJ48" s="75">
        <v>14</v>
      </c>
      <c r="FP48" s="73">
        <v>46</v>
      </c>
      <c r="FQ48" s="73" t="str">
        <v>Winnipeg</v>
      </c>
    </row>
    <row r="49" spans="44:173">
      <c r="AR49" s="72">
        <v>46</v>
      </c>
      <c r="AS49" s="73" t="str">
        <v>Montreal</v>
      </c>
      <c r="AT49" s="73" t="str">
        <v>NY Islanders</v>
      </c>
      <c r="AU49" s="73" t="str">
        <v>Tampa Bay</v>
      </c>
      <c r="AV49" s="75" t="str">
        <v>Washington</v>
      </c>
      <c r="AW49" s="72">
        <v>46</v>
      </c>
      <c r="AX49" s="73" t="str">
        <v>Minnesota</v>
      </c>
      <c r="AY49" s="73" t="str">
        <v>Vancouver</v>
      </c>
      <c r="AZ49" s="73" t="str">
        <v>St. Louis</v>
      </c>
      <c r="BA49" s="75" t="str">
        <v>Winnipeg</v>
      </c>
      <c r="CK49" s="72">
        <v>46</v>
      </c>
      <c r="CL49" s="73" t="str">
        <v>NY Islanders</v>
      </c>
      <c r="CM49" s="75" t="str">
        <v>Detroit</v>
      </c>
      <c r="CN49" s="72">
        <v>46</v>
      </c>
      <c r="CO49" s="73" t="str">
        <v>Vancouver</v>
      </c>
      <c r="CP49" s="75" t="str">
        <v>Winnipeg</v>
      </c>
      <c r="DZ49" s="72">
        <v>46</v>
      </c>
      <c r="EA49" s="73" t="str">
        <v>Tampa Bay</v>
      </c>
      <c r="EB49" s="75" t="str">
        <v>Winnipeg</v>
      </c>
      <c r="ET49" s="72">
        <v>38</v>
      </c>
      <c r="EU49" s="73">
        <v>7</v>
      </c>
      <c r="EV49" s="73">
        <v>7</v>
      </c>
      <c r="EW49" s="73">
        <v>25</v>
      </c>
      <c r="EX49" s="73">
        <v>18</v>
      </c>
      <c r="EY49" s="73">
        <v>7</v>
      </c>
      <c r="EZ49" s="73">
        <v>6</v>
      </c>
      <c r="FA49" s="73">
        <v>12</v>
      </c>
      <c r="FB49" s="73">
        <v>11</v>
      </c>
      <c r="FC49" s="73">
        <v>7</v>
      </c>
      <c r="FD49" s="73">
        <v>7</v>
      </c>
      <c r="FE49" s="73">
        <v>14</v>
      </c>
      <c r="FF49" s="73">
        <v>21</v>
      </c>
      <c r="FG49" s="73">
        <v>7</v>
      </c>
      <c r="FH49" s="73">
        <v>7</v>
      </c>
      <c r="FI49" s="73">
        <v>28</v>
      </c>
      <c r="FJ49" s="75">
        <v>14</v>
      </c>
      <c r="FP49" s="73">
        <v>47</v>
      </c>
      <c r="FQ49" s="73" t="str">
        <v>Winnipeg</v>
      </c>
    </row>
    <row r="50" spans="44:173">
      <c r="AR50" s="72">
        <v>47</v>
      </c>
      <c r="AS50" s="73" t="str">
        <v>Boston</v>
      </c>
      <c r="AT50" s="73" t="str">
        <v>Pittsburgh</v>
      </c>
      <c r="AU50" s="73" t="str">
        <v>Tampa Bay</v>
      </c>
      <c r="AV50" s="75" t="str">
        <v>NY Rangers</v>
      </c>
      <c r="AW50" s="72">
        <v>47</v>
      </c>
      <c r="AX50" s="73" t="str">
        <v>Minnesota</v>
      </c>
      <c r="AY50" s="73" t="str">
        <v>Vancouver</v>
      </c>
      <c r="AZ50" s="73" t="str">
        <v>St. Louis</v>
      </c>
      <c r="BA50" s="75" t="str">
        <v>Winnipeg</v>
      </c>
      <c r="CK50" s="72">
        <v>47</v>
      </c>
      <c r="CL50" s="73" t="str">
        <v>Boston</v>
      </c>
      <c r="CM50" s="75" t="str">
        <v>Tampa Bay</v>
      </c>
      <c r="CN50" s="72">
        <v>47</v>
      </c>
      <c r="CO50" s="73" t="str">
        <v>Vancouver</v>
      </c>
      <c r="CP50" s="75" t="str">
        <v>Winnipeg</v>
      </c>
      <c r="DZ50" s="72">
        <v>47</v>
      </c>
      <c r="EA50" s="73" t="str">
        <v>Pittsburgh</v>
      </c>
      <c r="EB50" s="75" t="str">
        <v>Winnipeg</v>
      </c>
      <c r="ET50" s="72">
        <v>39</v>
      </c>
      <c r="EU50" s="73">
        <v>5</v>
      </c>
      <c r="EV50" s="73">
        <v>6</v>
      </c>
      <c r="EW50" s="73">
        <v>24</v>
      </c>
      <c r="EX50" s="73">
        <v>19</v>
      </c>
      <c r="EY50" s="73">
        <v>7</v>
      </c>
      <c r="EZ50" s="73">
        <v>4</v>
      </c>
      <c r="FA50" s="73">
        <v>12</v>
      </c>
      <c r="FB50" s="73">
        <v>10</v>
      </c>
      <c r="FC50" s="73">
        <v>7</v>
      </c>
      <c r="FD50" s="73">
        <v>7</v>
      </c>
      <c r="FE50" s="73">
        <v>14</v>
      </c>
      <c r="FF50" s="73">
        <v>21</v>
      </c>
      <c r="FG50" s="73">
        <v>7</v>
      </c>
      <c r="FH50" s="73">
        <v>7</v>
      </c>
      <c r="FI50" s="73">
        <v>28</v>
      </c>
      <c r="FJ50" s="75">
        <v>14</v>
      </c>
      <c r="FP50" s="73">
        <v>48</v>
      </c>
      <c r="FQ50" s="73" t="str">
        <v>Winnipeg</v>
      </c>
    </row>
    <row r="51" spans="44:173">
      <c r="AR51" s="72">
        <v>48</v>
      </c>
      <c r="AS51" s="73" t="str">
        <v>Montreal</v>
      </c>
      <c r="AT51" s="73" t="str">
        <v>NY Islanders</v>
      </c>
      <c r="AU51" s="73" t="str">
        <v>Tampa Bay</v>
      </c>
      <c r="AV51" s="75" t="str">
        <v>Washington</v>
      </c>
      <c r="AW51" s="72">
        <v>48</v>
      </c>
      <c r="AX51" s="73" t="str">
        <v>Minnesota</v>
      </c>
      <c r="AY51" s="73" t="str">
        <v>Vancouver</v>
      </c>
      <c r="AZ51" s="73" t="str">
        <v>St. Louis</v>
      </c>
      <c r="BA51" s="75" t="str">
        <v>Winnipeg</v>
      </c>
      <c r="CK51" s="72">
        <v>48</v>
      </c>
      <c r="CL51" s="73" t="str">
        <v>Pittsburgh</v>
      </c>
      <c r="CM51" s="75" t="str">
        <v>Detroit</v>
      </c>
      <c r="CN51" s="72">
        <v>48</v>
      </c>
      <c r="CO51" s="73" t="str">
        <v>Vancouver</v>
      </c>
      <c r="CP51" s="75" t="str">
        <v>Winnipeg</v>
      </c>
      <c r="DZ51" s="72">
        <v>48</v>
      </c>
      <c r="EA51" s="73" t="str">
        <v>Detroit</v>
      </c>
      <c r="EB51" s="75" t="str">
        <v>Winnipeg</v>
      </c>
      <c r="ET51" s="72">
        <v>40</v>
      </c>
      <c r="EU51" s="73">
        <v>6</v>
      </c>
      <c r="EV51" s="73">
        <v>12</v>
      </c>
      <c r="EW51" s="73">
        <v>25</v>
      </c>
      <c r="EX51" s="73">
        <v>11</v>
      </c>
      <c r="EY51" s="73">
        <v>4</v>
      </c>
      <c r="EZ51" s="73">
        <v>6</v>
      </c>
      <c r="FA51" s="73">
        <v>7</v>
      </c>
      <c r="FB51" s="73">
        <v>20</v>
      </c>
      <c r="FC51" s="73">
        <v>7</v>
      </c>
      <c r="FD51" s="73">
        <v>7</v>
      </c>
      <c r="FE51" s="73">
        <v>14</v>
      </c>
      <c r="FF51" s="73">
        <v>21</v>
      </c>
      <c r="FG51" s="73">
        <v>7</v>
      </c>
      <c r="FH51" s="73">
        <v>7</v>
      </c>
      <c r="FI51" s="73">
        <v>28</v>
      </c>
      <c r="FJ51" s="75">
        <v>14</v>
      </c>
      <c r="FP51" s="73">
        <v>49</v>
      </c>
      <c r="FQ51" s="73" t="str">
        <v>Winnipeg</v>
      </c>
    </row>
    <row r="52" spans="44:173">
      <c r="AR52" s="72">
        <v>49</v>
      </c>
      <c r="AS52" s="73" t="str">
        <v>Boston</v>
      </c>
      <c r="AT52" s="73" t="str">
        <v>Pittsburgh</v>
      </c>
      <c r="AU52" s="73" t="str">
        <v>Tampa Bay</v>
      </c>
      <c r="AV52" s="75" t="str">
        <v>NY Rangers</v>
      </c>
      <c r="AW52" s="72">
        <v>49</v>
      </c>
      <c r="AX52" s="73" t="str">
        <v>Minnesota</v>
      </c>
      <c r="AY52" s="73" t="str">
        <v>Vancouver</v>
      </c>
      <c r="AZ52" s="73" t="str">
        <v>St. Louis</v>
      </c>
      <c r="BA52" s="75" t="str">
        <v>Winnipeg</v>
      </c>
      <c r="CK52" s="72">
        <v>49</v>
      </c>
      <c r="CL52" s="73" t="str">
        <v>NY Islanders</v>
      </c>
      <c r="CM52" s="75" t="str">
        <v>Tampa Bay</v>
      </c>
      <c r="CN52" s="72">
        <v>49</v>
      </c>
      <c r="CO52" s="73" t="str">
        <v>Vancouver</v>
      </c>
      <c r="CP52" s="75" t="str">
        <v>Winnipeg</v>
      </c>
      <c r="DZ52" s="72">
        <v>49</v>
      </c>
      <c r="EA52" s="73" t="str">
        <v>Detroit</v>
      </c>
      <c r="EB52" s="75" t="str">
        <v>Winnipeg</v>
      </c>
      <c r="ET52" s="72">
        <v>41</v>
      </c>
      <c r="EU52" s="73">
        <v>6</v>
      </c>
      <c r="EV52" s="73">
        <v>9</v>
      </c>
      <c r="EW52" s="73">
        <v>4</v>
      </c>
      <c r="EX52" s="73">
        <v>18</v>
      </c>
      <c r="EY52" s="73">
        <v>7</v>
      </c>
      <c r="EZ52" s="73">
        <v>23</v>
      </c>
      <c r="FA52" s="73">
        <v>4</v>
      </c>
      <c r="FB52" s="73">
        <v>10</v>
      </c>
      <c r="FC52" s="73">
        <v>7</v>
      </c>
      <c r="FD52" s="73">
        <v>7</v>
      </c>
      <c r="FE52" s="73">
        <v>14</v>
      </c>
      <c r="FF52" s="73">
        <v>21</v>
      </c>
      <c r="FG52" s="73">
        <v>7</v>
      </c>
      <c r="FH52" s="73">
        <v>7</v>
      </c>
      <c r="FI52" s="73">
        <v>28</v>
      </c>
      <c r="FJ52" s="75">
        <v>14</v>
      </c>
      <c r="FP52" s="73">
        <v>50</v>
      </c>
      <c r="FQ52" s="73" t="str">
        <v>Winnipeg</v>
      </c>
    </row>
    <row r="53" spans="44:173">
      <c r="AR53" s="72">
        <v>50</v>
      </c>
      <c r="AS53" s="73" t="str">
        <v>Montreal</v>
      </c>
      <c r="AT53" s="73" t="str">
        <v>NY Islanders</v>
      </c>
      <c r="AU53" s="73" t="str">
        <v>Tampa Bay</v>
      </c>
      <c r="AV53" s="75" t="str">
        <v>Washington</v>
      </c>
      <c r="AW53" s="72">
        <v>50</v>
      </c>
      <c r="AX53" s="73" t="str">
        <v>Minnesota</v>
      </c>
      <c r="AY53" s="73" t="str">
        <v>Vancouver</v>
      </c>
      <c r="AZ53" s="73" t="str">
        <v>St. Louis</v>
      </c>
      <c r="BA53" s="75" t="str">
        <v>Winnipeg</v>
      </c>
      <c r="CK53" s="72">
        <v>50</v>
      </c>
      <c r="CL53" s="73" t="str">
        <v>NY Islanders</v>
      </c>
      <c r="CM53" s="75" t="str">
        <v>Tampa Bay</v>
      </c>
      <c r="CN53" s="72">
        <v>50</v>
      </c>
      <c r="CO53" s="73" t="str">
        <v>Vancouver</v>
      </c>
      <c r="CP53" s="75" t="str">
        <v>Winnipeg</v>
      </c>
      <c r="DZ53" s="72">
        <v>50</v>
      </c>
      <c r="EA53" s="73" t="str">
        <v>Tampa Bay</v>
      </c>
      <c r="EB53" s="75" t="str">
        <v>Winnipeg</v>
      </c>
      <c r="ET53" s="72">
        <v>42</v>
      </c>
      <c r="EU53" s="73">
        <v>10</v>
      </c>
      <c r="EV53" s="73">
        <v>5</v>
      </c>
      <c r="EW53" s="73">
        <v>24</v>
      </c>
      <c r="EX53" s="73">
        <v>7</v>
      </c>
      <c r="EY53" s="73">
        <v>19</v>
      </c>
      <c r="EZ53" s="73">
        <v>5</v>
      </c>
      <c r="FA53" s="73">
        <v>10</v>
      </c>
      <c r="FB53" s="73">
        <v>5</v>
      </c>
      <c r="FC53" s="73">
        <v>7</v>
      </c>
      <c r="FD53" s="73">
        <v>7</v>
      </c>
      <c r="FE53" s="73">
        <v>14</v>
      </c>
      <c r="FF53" s="73">
        <v>21</v>
      </c>
      <c r="FG53" s="73">
        <v>7</v>
      </c>
      <c r="FH53" s="73">
        <v>7</v>
      </c>
      <c r="FI53" s="73">
        <v>28</v>
      </c>
      <c r="FJ53" s="75">
        <v>14</v>
      </c>
      <c r="FP53" s="73">
        <v>51</v>
      </c>
      <c r="FQ53" s="73" t="str">
        <v>Winnipeg</v>
      </c>
    </row>
    <row r="54" spans="44:173">
      <c r="AR54" s="72">
        <v>51</v>
      </c>
      <c r="AS54" s="73" t="str">
        <v>Boston</v>
      </c>
      <c r="AT54" s="73" t="str">
        <v>Pittsburgh</v>
      </c>
      <c r="AU54" s="73" t="str">
        <v>Tampa Bay</v>
      </c>
      <c r="AV54" s="75" t="str">
        <v>Washington</v>
      </c>
      <c r="AW54" s="72">
        <v>51</v>
      </c>
      <c r="AX54" s="73" t="str">
        <v>Minnesota</v>
      </c>
      <c r="AY54" s="73" t="str">
        <v>Vancouver</v>
      </c>
      <c r="AZ54" s="73" t="str">
        <v>St. Louis</v>
      </c>
      <c r="BA54" s="75" t="str">
        <v>Winnipeg</v>
      </c>
      <c r="CK54" s="72">
        <v>51</v>
      </c>
      <c r="CL54" s="73" t="str">
        <v>Pittsburgh</v>
      </c>
      <c r="CM54" s="75" t="str">
        <v>Tampa Bay</v>
      </c>
      <c r="CN54" s="72">
        <v>51</v>
      </c>
      <c r="CO54" s="73" t="str">
        <v>Vancouver</v>
      </c>
      <c r="CP54" s="75" t="str">
        <v>Winnipeg</v>
      </c>
      <c r="DZ54" s="72">
        <v>51</v>
      </c>
      <c r="EA54" s="73" t="str">
        <v>Tampa Bay</v>
      </c>
      <c r="EB54" s="75" t="str">
        <v>Winnipeg</v>
      </c>
      <c r="ET54" s="72">
        <v>43</v>
      </c>
      <c r="EU54" s="73">
        <v>6</v>
      </c>
      <c r="EV54" s="73">
        <v>12</v>
      </c>
      <c r="EW54" s="73">
        <v>24</v>
      </c>
      <c r="EX54" s="73">
        <v>7</v>
      </c>
      <c r="EY54" s="73">
        <v>19</v>
      </c>
      <c r="EZ54" s="73">
        <v>4</v>
      </c>
      <c r="FA54" s="73">
        <v>6</v>
      </c>
      <c r="FB54" s="73">
        <v>11</v>
      </c>
      <c r="FC54" s="73">
        <v>7</v>
      </c>
      <c r="FD54" s="73">
        <v>7</v>
      </c>
      <c r="FE54" s="73">
        <v>14</v>
      </c>
      <c r="FF54" s="73">
        <v>21</v>
      </c>
      <c r="FG54" s="73">
        <v>7</v>
      </c>
      <c r="FH54" s="73">
        <v>7</v>
      </c>
      <c r="FI54" s="73">
        <v>28</v>
      </c>
      <c r="FJ54" s="75">
        <v>14</v>
      </c>
      <c r="FP54" s="73">
        <v>52</v>
      </c>
      <c r="FQ54" s="73" t="str">
        <v>Winnipeg</v>
      </c>
    </row>
    <row r="55" spans="44:173">
      <c r="AR55" s="72">
        <v>52</v>
      </c>
      <c r="AS55" s="73" t="str">
        <v>Montreal</v>
      </c>
      <c r="AT55" s="73" t="str">
        <v>NY Islanders</v>
      </c>
      <c r="AU55" s="73" t="str">
        <v>Detroit</v>
      </c>
      <c r="AV55" s="75" t="str">
        <v>NY Rangers</v>
      </c>
      <c r="AW55" s="72">
        <v>52</v>
      </c>
      <c r="AX55" s="73" t="str">
        <v>Minnesota</v>
      </c>
      <c r="AY55" s="73" t="str">
        <v>Vancouver</v>
      </c>
      <c r="AZ55" s="73" t="str">
        <v>St. Louis</v>
      </c>
      <c r="BA55" s="75" t="str">
        <v>Winnipeg</v>
      </c>
      <c r="CK55" s="72">
        <v>52</v>
      </c>
      <c r="CL55" s="73" t="str">
        <v>NY Islanders</v>
      </c>
      <c r="CM55" s="75" t="str">
        <v>Tampa Bay</v>
      </c>
      <c r="CN55" s="72">
        <v>52</v>
      </c>
      <c r="CO55" s="73" t="str">
        <v>Vancouver</v>
      </c>
      <c r="CP55" s="75" t="str">
        <v>Winnipeg</v>
      </c>
      <c r="DZ55" s="72">
        <v>52</v>
      </c>
      <c r="EA55" s="73" t="str">
        <v>Tampa Bay</v>
      </c>
      <c r="EB55" s="75" t="str">
        <v>Winnipeg</v>
      </c>
      <c r="ET55" s="72">
        <v>44</v>
      </c>
      <c r="EU55" s="73">
        <v>6</v>
      </c>
      <c r="EV55" s="73">
        <v>10</v>
      </c>
      <c r="EW55" s="73">
        <v>5</v>
      </c>
      <c r="EX55" s="73">
        <v>6</v>
      </c>
      <c r="EY55" s="73">
        <v>24</v>
      </c>
      <c r="EZ55" s="73">
        <v>16</v>
      </c>
      <c r="FA55" s="73">
        <v>6</v>
      </c>
      <c r="FB55" s="73">
        <v>10</v>
      </c>
      <c r="FC55" s="73">
        <v>7</v>
      </c>
      <c r="FD55" s="73">
        <v>7</v>
      </c>
      <c r="FE55" s="73">
        <v>14</v>
      </c>
      <c r="FF55" s="73">
        <v>21</v>
      </c>
      <c r="FG55" s="73">
        <v>7</v>
      </c>
      <c r="FH55" s="73">
        <v>7</v>
      </c>
      <c r="FI55" s="73">
        <v>28</v>
      </c>
      <c r="FJ55" s="75">
        <v>14</v>
      </c>
      <c r="FP55" s="73">
        <v>53</v>
      </c>
      <c r="FQ55" s="73" t="str">
        <v>Winnipeg</v>
      </c>
    </row>
    <row r="56" spans="44:173">
      <c r="AR56" s="72">
        <v>53</v>
      </c>
      <c r="AS56" s="73" t="str">
        <v>Boston</v>
      </c>
      <c r="AT56" s="73" t="str">
        <v>NY Islanders</v>
      </c>
      <c r="AU56" s="73" t="str">
        <v>Tampa Bay</v>
      </c>
      <c r="AV56" s="75" t="str">
        <v>Washington</v>
      </c>
      <c r="AW56" s="72">
        <v>53</v>
      </c>
      <c r="AX56" s="73" t="str">
        <v>Minnesota</v>
      </c>
      <c r="AY56" s="73" t="str">
        <v>Vancouver</v>
      </c>
      <c r="AZ56" s="73" t="str">
        <v>St. Louis</v>
      </c>
      <c r="BA56" s="75" t="str">
        <v>Winnipeg</v>
      </c>
      <c r="CK56" s="72">
        <v>53</v>
      </c>
      <c r="CL56" s="73" t="str">
        <v>Pittsburgh</v>
      </c>
      <c r="CM56" s="75" t="str">
        <v>Detroit</v>
      </c>
      <c r="CN56" s="72">
        <v>53</v>
      </c>
      <c r="CO56" s="73" t="str">
        <v>Vancouver</v>
      </c>
      <c r="CP56" s="75" t="str">
        <v>Winnipeg</v>
      </c>
      <c r="DZ56" s="72">
        <v>53</v>
      </c>
      <c r="EA56" s="73" t="str">
        <v>Detroit</v>
      </c>
      <c r="EB56" s="75" t="str">
        <v>Winnipeg</v>
      </c>
      <c r="ET56" s="72">
        <v>45</v>
      </c>
      <c r="EU56" s="73">
        <v>7</v>
      </c>
      <c r="EV56" s="73">
        <v>12</v>
      </c>
      <c r="EW56" s="73">
        <v>5</v>
      </c>
      <c r="EX56" s="73">
        <v>10</v>
      </c>
      <c r="EY56" s="73">
        <v>4</v>
      </c>
      <c r="EZ56" s="73">
        <v>25</v>
      </c>
      <c r="FA56" s="73">
        <v>6</v>
      </c>
      <c r="FB56" s="73">
        <v>20</v>
      </c>
      <c r="FC56" s="73">
        <v>7</v>
      </c>
      <c r="FD56" s="73">
        <v>7</v>
      </c>
      <c r="FE56" s="73">
        <v>14</v>
      </c>
      <c r="FF56" s="73">
        <v>21</v>
      </c>
      <c r="FG56" s="73">
        <v>7</v>
      </c>
      <c r="FH56" s="73">
        <v>7</v>
      </c>
      <c r="FI56" s="73">
        <v>28</v>
      </c>
      <c r="FJ56" s="75">
        <v>14</v>
      </c>
      <c r="FP56" s="73">
        <v>54</v>
      </c>
      <c r="FQ56" s="73" t="str">
        <v>Winnipeg</v>
      </c>
    </row>
    <row r="57" spans="44:173">
      <c r="AR57" s="72">
        <v>54</v>
      </c>
      <c r="AS57" s="73" t="str">
        <v>Montreal</v>
      </c>
      <c r="AT57" s="73" t="str">
        <v>NY Islanders</v>
      </c>
      <c r="AU57" s="73" t="str">
        <v>Tampa Bay</v>
      </c>
      <c r="AV57" s="75" t="str">
        <v>NY Rangers</v>
      </c>
      <c r="AW57" s="72">
        <v>54</v>
      </c>
      <c r="AX57" s="73" t="str">
        <v>Minnesota</v>
      </c>
      <c r="AY57" s="73" t="str">
        <v>Vancouver</v>
      </c>
      <c r="AZ57" s="73" t="str">
        <v>St. Louis</v>
      </c>
      <c r="BA57" s="75" t="str">
        <v>Winnipeg</v>
      </c>
      <c r="CK57" s="72">
        <v>54</v>
      </c>
      <c r="CL57" s="73" t="str">
        <v>Pittsburgh</v>
      </c>
      <c r="CM57" s="75" t="str">
        <v>Tampa Bay</v>
      </c>
      <c r="CN57" s="72">
        <v>54</v>
      </c>
      <c r="CO57" s="73" t="str">
        <v>Vancouver</v>
      </c>
      <c r="CP57" s="75" t="str">
        <v>Winnipeg</v>
      </c>
      <c r="DZ57" s="72">
        <v>54</v>
      </c>
      <c r="EA57" s="73" t="str">
        <v>NY Islanders</v>
      </c>
      <c r="EB57" s="75" t="str">
        <v>Winnipeg</v>
      </c>
      <c r="ET57" s="72">
        <v>46</v>
      </c>
      <c r="EU57" s="73">
        <v>7</v>
      </c>
      <c r="EV57" s="73">
        <v>5</v>
      </c>
      <c r="EW57" s="73">
        <v>21</v>
      </c>
      <c r="EX57" s="73">
        <v>7</v>
      </c>
      <c r="EY57" s="73">
        <v>12</v>
      </c>
      <c r="EZ57" s="73">
        <v>6</v>
      </c>
      <c r="FA57" s="73">
        <v>9</v>
      </c>
      <c r="FB57" s="73">
        <v>16</v>
      </c>
      <c r="FC57" s="73">
        <v>7</v>
      </c>
      <c r="FD57" s="73">
        <v>7</v>
      </c>
      <c r="FE57" s="73">
        <v>14</v>
      </c>
      <c r="FF57" s="73">
        <v>21</v>
      </c>
      <c r="FG57" s="73">
        <v>7</v>
      </c>
      <c r="FH57" s="73">
        <v>7</v>
      </c>
      <c r="FI57" s="73">
        <v>28</v>
      </c>
      <c r="FJ57" s="75">
        <v>14</v>
      </c>
      <c r="FP57" s="73">
        <v>55</v>
      </c>
      <c r="FQ57" s="73" t="str">
        <v>Winnipeg</v>
      </c>
    </row>
    <row r="58" spans="44:173">
      <c r="AR58" s="72">
        <v>55</v>
      </c>
      <c r="AS58" s="73" t="str">
        <v>Boston</v>
      </c>
      <c r="AT58" s="73" t="str">
        <v>NY Islanders</v>
      </c>
      <c r="AU58" s="73" t="str">
        <v>Tampa Bay</v>
      </c>
      <c r="AV58" s="75" t="str">
        <v>NY Rangers</v>
      </c>
      <c r="AW58" s="72">
        <v>55</v>
      </c>
      <c r="AX58" s="73" t="str">
        <v>Minnesota</v>
      </c>
      <c r="AY58" s="73" t="str">
        <v>Vancouver</v>
      </c>
      <c r="AZ58" s="73" t="str">
        <v>St. Louis</v>
      </c>
      <c r="BA58" s="75" t="str">
        <v>Winnipeg</v>
      </c>
      <c r="CK58" s="72">
        <v>55</v>
      </c>
      <c r="CL58" s="73" t="str">
        <v>NY Islanders</v>
      </c>
      <c r="CM58" s="75" t="str">
        <v>Tampa Bay</v>
      </c>
      <c r="CN58" s="72">
        <v>55</v>
      </c>
      <c r="CO58" s="73" t="str">
        <v>Vancouver</v>
      </c>
      <c r="CP58" s="75" t="str">
        <v>Winnipeg</v>
      </c>
      <c r="DZ58" s="72">
        <v>55</v>
      </c>
      <c r="EA58" s="73" t="str">
        <v>Tampa Bay</v>
      </c>
      <c r="EB58" s="75" t="str">
        <v>Winnipeg</v>
      </c>
      <c r="ET58" s="72">
        <v>47</v>
      </c>
      <c r="EU58" s="73">
        <v>6</v>
      </c>
      <c r="EV58" s="73">
        <v>6</v>
      </c>
      <c r="EW58" s="73">
        <v>21</v>
      </c>
      <c r="EX58" s="73">
        <v>17</v>
      </c>
      <c r="EY58" s="73">
        <v>6</v>
      </c>
      <c r="EZ58" s="73">
        <v>4</v>
      </c>
      <c r="FA58" s="73">
        <v>11</v>
      </c>
      <c r="FB58" s="73">
        <v>12</v>
      </c>
      <c r="FC58" s="73">
        <v>7</v>
      </c>
      <c r="FD58" s="73">
        <v>7</v>
      </c>
      <c r="FE58" s="73">
        <v>14</v>
      </c>
      <c r="FF58" s="73">
        <v>21</v>
      </c>
      <c r="FG58" s="73">
        <v>7</v>
      </c>
      <c r="FH58" s="73">
        <v>7</v>
      </c>
      <c r="FI58" s="73">
        <v>28</v>
      </c>
      <c r="FJ58" s="75">
        <v>14</v>
      </c>
      <c r="FP58" s="73">
        <v>56</v>
      </c>
      <c r="FQ58" s="73" t="str">
        <v>Winnipeg</v>
      </c>
    </row>
    <row r="59" spans="44:173">
      <c r="AR59" s="72">
        <v>56</v>
      </c>
      <c r="AS59" s="73" t="str">
        <v>Montreal</v>
      </c>
      <c r="AT59" s="73" t="str">
        <v>NY Islanders</v>
      </c>
      <c r="AU59" s="73" t="str">
        <v>Detroit</v>
      </c>
      <c r="AV59" s="75" t="str">
        <v>Washington</v>
      </c>
      <c r="AW59" s="72">
        <v>56</v>
      </c>
      <c r="AX59" s="73" t="str">
        <v>Minnesota</v>
      </c>
      <c r="AY59" s="73" t="str">
        <v>Vancouver</v>
      </c>
      <c r="AZ59" s="73" t="str">
        <v>St. Louis</v>
      </c>
      <c r="BA59" s="75" t="str">
        <v>Winnipeg</v>
      </c>
      <c r="CK59" s="72">
        <v>56</v>
      </c>
      <c r="CL59" s="73" t="str">
        <v>NY Islanders</v>
      </c>
      <c r="CM59" s="75" t="str">
        <v>Tampa Bay</v>
      </c>
      <c r="CN59" s="72">
        <v>56</v>
      </c>
      <c r="CO59" s="73" t="str">
        <v>Vancouver</v>
      </c>
      <c r="CP59" s="75" t="str">
        <v>Winnipeg</v>
      </c>
      <c r="DZ59" s="72">
        <v>56</v>
      </c>
      <c r="EA59" s="73" t="str">
        <v>Detroit</v>
      </c>
      <c r="EB59" s="75" t="str">
        <v>Winnipeg</v>
      </c>
      <c r="ET59" s="72">
        <v>48</v>
      </c>
      <c r="EU59" s="73">
        <v>13</v>
      </c>
      <c r="EV59" s="73">
        <v>7</v>
      </c>
      <c r="EW59" s="73">
        <v>6</v>
      </c>
      <c r="EX59" s="73">
        <v>7</v>
      </c>
      <c r="EY59" s="73">
        <v>25</v>
      </c>
      <c r="EZ59" s="73">
        <v>16</v>
      </c>
      <c r="FA59" s="73">
        <v>13</v>
      </c>
      <c r="FB59" s="73">
        <v>6</v>
      </c>
      <c r="FC59" s="73">
        <v>7</v>
      </c>
      <c r="FD59" s="73">
        <v>7</v>
      </c>
      <c r="FE59" s="73">
        <v>14</v>
      </c>
      <c r="FF59" s="73">
        <v>21</v>
      </c>
      <c r="FG59" s="73">
        <v>7</v>
      </c>
      <c r="FH59" s="73">
        <v>7</v>
      </c>
      <c r="FI59" s="73">
        <v>28</v>
      </c>
      <c r="FJ59" s="75">
        <v>14</v>
      </c>
      <c r="FP59" s="73">
        <v>57</v>
      </c>
      <c r="FQ59" s="73" t="str">
        <v>Winnipeg</v>
      </c>
    </row>
    <row r="60" spans="44:173">
      <c r="AR60" s="72">
        <v>57</v>
      </c>
      <c r="AS60" s="73" t="str">
        <v>Montreal</v>
      </c>
      <c r="AT60" s="73" t="str">
        <v>NY Islanders</v>
      </c>
      <c r="AU60" s="73" t="str">
        <v>Detroit</v>
      </c>
      <c r="AV60" s="75" t="str">
        <v>NY Rangers</v>
      </c>
      <c r="AW60" s="72">
        <v>57</v>
      </c>
      <c r="AX60" s="73" t="str">
        <v>Minnesota</v>
      </c>
      <c r="AY60" s="73" t="str">
        <v>Vancouver</v>
      </c>
      <c r="AZ60" s="73" t="str">
        <v>St. Louis</v>
      </c>
      <c r="BA60" s="75" t="str">
        <v>Winnipeg</v>
      </c>
      <c r="CK60" s="72">
        <v>57</v>
      </c>
      <c r="CL60" s="73" t="str">
        <v>Montreal</v>
      </c>
      <c r="CM60" s="75" t="str">
        <v>Tampa Bay</v>
      </c>
      <c r="CN60" s="72">
        <v>57</v>
      </c>
      <c r="CO60" s="73" t="str">
        <v>Vancouver</v>
      </c>
      <c r="CP60" s="75" t="str">
        <v>Winnipeg</v>
      </c>
      <c r="DZ60" s="72">
        <v>57</v>
      </c>
      <c r="EA60" s="73" t="str">
        <v>Tampa Bay</v>
      </c>
      <c r="EB60" s="75" t="str">
        <v>Winnipeg</v>
      </c>
      <c r="ET60" s="72">
        <v>49</v>
      </c>
      <c r="EU60" s="73">
        <v>5</v>
      </c>
      <c r="EV60" s="73">
        <v>11</v>
      </c>
      <c r="EW60" s="73">
        <v>24</v>
      </c>
      <c r="EX60" s="73">
        <v>19</v>
      </c>
      <c r="EY60" s="73">
        <v>7</v>
      </c>
      <c r="EZ60" s="73">
        <v>6</v>
      </c>
      <c r="FA60" s="73">
        <v>5</v>
      </c>
      <c r="FB60" s="73">
        <v>12</v>
      </c>
      <c r="FC60" s="73">
        <v>7</v>
      </c>
      <c r="FD60" s="73">
        <v>7</v>
      </c>
      <c r="FE60" s="73">
        <v>14</v>
      </c>
      <c r="FF60" s="73">
        <v>21</v>
      </c>
      <c r="FG60" s="73">
        <v>7</v>
      </c>
      <c r="FH60" s="73">
        <v>7</v>
      </c>
      <c r="FI60" s="73">
        <v>28</v>
      </c>
      <c r="FJ60" s="75">
        <v>14</v>
      </c>
      <c r="FP60" s="73">
        <v>58</v>
      </c>
      <c r="FQ60" s="73" t="str">
        <v>Winnipeg</v>
      </c>
    </row>
    <row r="61" spans="44:173">
      <c r="AR61" s="72">
        <v>58</v>
      </c>
      <c r="AS61" s="73" t="str">
        <v>Boston</v>
      </c>
      <c r="AT61" s="73" t="str">
        <v>NY Islanders</v>
      </c>
      <c r="AU61" s="73" t="str">
        <v>Detroit</v>
      </c>
      <c r="AV61" s="75" t="str">
        <v>Washington</v>
      </c>
      <c r="AW61" s="72">
        <v>58</v>
      </c>
      <c r="AX61" s="73" t="str">
        <v>Minnesota</v>
      </c>
      <c r="AY61" s="73" t="str">
        <v>Vancouver</v>
      </c>
      <c r="AZ61" s="73" t="str">
        <v>St. Louis</v>
      </c>
      <c r="BA61" s="75" t="str">
        <v>Winnipeg</v>
      </c>
      <c r="CK61" s="72">
        <v>58</v>
      </c>
      <c r="CL61" s="73" t="str">
        <v>NY Islanders</v>
      </c>
      <c r="CM61" s="75" t="str">
        <v>Detroit</v>
      </c>
      <c r="CN61" s="72">
        <v>58</v>
      </c>
      <c r="CO61" s="73" t="str">
        <v>Vancouver</v>
      </c>
      <c r="CP61" s="75" t="str">
        <v>Winnipeg</v>
      </c>
      <c r="DZ61" s="72">
        <v>58</v>
      </c>
      <c r="EA61" s="73" t="str">
        <v>Tampa Bay</v>
      </c>
      <c r="EB61" s="75" t="str">
        <v>Winnipeg</v>
      </c>
      <c r="ET61" s="72">
        <v>50</v>
      </c>
      <c r="EU61" s="73">
        <v>7</v>
      </c>
      <c r="EV61" s="73">
        <v>6</v>
      </c>
      <c r="EW61" s="73">
        <v>25</v>
      </c>
      <c r="EX61" s="73">
        <v>6</v>
      </c>
      <c r="EY61" s="73">
        <v>20</v>
      </c>
      <c r="EZ61" s="73">
        <v>6</v>
      </c>
      <c r="FA61" s="73">
        <v>11</v>
      </c>
      <c r="FB61" s="73">
        <v>14</v>
      </c>
      <c r="FC61" s="73">
        <v>7</v>
      </c>
      <c r="FD61" s="73">
        <v>7</v>
      </c>
      <c r="FE61" s="73">
        <v>14</v>
      </c>
      <c r="FF61" s="73">
        <v>21</v>
      </c>
      <c r="FG61" s="73">
        <v>7</v>
      </c>
      <c r="FH61" s="73">
        <v>7</v>
      </c>
      <c r="FI61" s="73">
        <v>28</v>
      </c>
      <c r="FJ61" s="75">
        <v>14</v>
      </c>
      <c r="FP61" s="73">
        <v>59</v>
      </c>
      <c r="FQ61" s="73" t="str">
        <v>Winnipeg</v>
      </c>
    </row>
    <row r="62" spans="44:173">
      <c r="AR62" s="72">
        <v>59</v>
      </c>
      <c r="AS62" s="73" t="str">
        <v>Boston</v>
      </c>
      <c r="AT62" s="73" t="str">
        <v>NY Islanders</v>
      </c>
      <c r="AU62" s="73" t="str">
        <v>Tampa Bay</v>
      </c>
      <c r="AV62" s="75" t="str">
        <v>NY Rangers</v>
      </c>
      <c r="AW62" s="72">
        <v>59</v>
      </c>
      <c r="AX62" s="73" t="str">
        <v>Minnesota</v>
      </c>
      <c r="AY62" s="73" t="str">
        <v>Vancouver</v>
      </c>
      <c r="AZ62" s="73" t="str">
        <v>St. Louis</v>
      </c>
      <c r="BA62" s="75" t="str">
        <v>Winnipeg</v>
      </c>
      <c r="CK62" s="72">
        <v>59</v>
      </c>
      <c r="CL62" s="73" t="str">
        <v>NY Islanders</v>
      </c>
      <c r="CM62" s="75" t="str">
        <v>Tampa Bay</v>
      </c>
      <c r="CN62" s="72">
        <v>59</v>
      </c>
      <c r="CO62" s="73" t="str">
        <v>Vancouver</v>
      </c>
      <c r="CP62" s="75" t="str">
        <v>Winnipeg</v>
      </c>
      <c r="DZ62" s="72">
        <v>59</v>
      </c>
      <c r="EA62" s="73" t="str">
        <v>Tampa Bay</v>
      </c>
      <c r="EB62" s="75" t="str">
        <v>Winnipeg</v>
      </c>
      <c r="ET62" s="72">
        <v>51</v>
      </c>
      <c r="EU62" s="73">
        <v>7</v>
      </c>
      <c r="EV62" s="73">
        <v>17</v>
      </c>
      <c r="EW62" s="73">
        <v>11</v>
      </c>
      <c r="EX62" s="73">
        <v>7</v>
      </c>
      <c r="EY62" s="73">
        <v>26</v>
      </c>
      <c r="EZ62" s="73">
        <v>4</v>
      </c>
      <c r="FA62" s="73">
        <v>5</v>
      </c>
      <c r="FB62" s="73">
        <v>14</v>
      </c>
      <c r="FC62" s="73">
        <v>7</v>
      </c>
      <c r="FD62" s="73">
        <v>7</v>
      </c>
      <c r="FE62" s="73">
        <v>14</v>
      </c>
      <c r="FF62" s="73">
        <v>21</v>
      </c>
      <c r="FG62" s="73">
        <v>7</v>
      </c>
      <c r="FH62" s="73">
        <v>7</v>
      </c>
      <c r="FI62" s="73">
        <v>28</v>
      </c>
      <c r="FJ62" s="75">
        <v>14</v>
      </c>
      <c r="FP62" s="73">
        <v>60</v>
      </c>
      <c r="FQ62" s="73" t="str">
        <v>Winnipeg</v>
      </c>
    </row>
    <row r="63" spans="44:173">
      <c r="AR63" s="72">
        <v>60</v>
      </c>
      <c r="AS63" s="73" t="str">
        <v>Montreal</v>
      </c>
      <c r="AT63" s="73" t="str">
        <v>Pittsburgh</v>
      </c>
      <c r="AU63" s="73" t="str">
        <v>Tampa Bay</v>
      </c>
      <c r="AV63" s="75" t="str">
        <v>NY Rangers</v>
      </c>
      <c r="AW63" s="72">
        <v>60</v>
      </c>
      <c r="AX63" s="73" t="str">
        <v>Minnesota</v>
      </c>
      <c r="AY63" s="73" t="str">
        <v>Vancouver</v>
      </c>
      <c r="AZ63" s="73" t="str">
        <v>St. Louis</v>
      </c>
      <c r="BA63" s="75" t="str">
        <v>Winnipeg</v>
      </c>
      <c r="CK63" s="72">
        <v>60</v>
      </c>
      <c r="CL63" s="73" t="str">
        <v>Boston</v>
      </c>
      <c r="CM63" s="75" t="str">
        <v>Tampa Bay</v>
      </c>
      <c r="CN63" s="72">
        <v>60</v>
      </c>
      <c r="CO63" s="73" t="str">
        <v>Vancouver</v>
      </c>
      <c r="CP63" s="75" t="str">
        <v>Winnipeg</v>
      </c>
      <c r="DZ63" s="72">
        <v>60</v>
      </c>
      <c r="EA63" s="73" t="str">
        <v>Detroit</v>
      </c>
      <c r="EB63" s="75" t="str">
        <v>Winnipeg</v>
      </c>
      <c r="ET63" s="72">
        <v>52</v>
      </c>
      <c r="EU63" s="73">
        <v>18</v>
      </c>
      <c r="EV63" s="73">
        <v>4</v>
      </c>
      <c r="EW63" s="73">
        <v>4</v>
      </c>
      <c r="EX63" s="73">
        <v>7</v>
      </c>
      <c r="EY63" s="73">
        <v>13</v>
      </c>
      <c r="EZ63" s="73">
        <v>20</v>
      </c>
      <c r="FA63" s="73">
        <v>8</v>
      </c>
      <c r="FB63" s="73">
        <v>7</v>
      </c>
      <c r="FC63" s="73">
        <v>7</v>
      </c>
      <c r="FD63" s="73">
        <v>7</v>
      </c>
      <c r="FE63" s="73">
        <v>14</v>
      </c>
      <c r="FF63" s="73">
        <v>21</v>
      </c>
      <c r="FG63" s="73">
        <v>7</v>
      </c>
      <c r="FH63" s="73">
        <v>7</v>
      </c>
      <c r="FI63" s="73">
        <v>28</v>
      </c>
      <c r="FJ63" s="75">
        <v>14</v>
      </c>
      <c r="FP63" s="73">
        <v>61</v>
      </c>
      <c r="FQ63" s="73" t="str">
        <v>Winnipeg</v>
      </c>
    </row>
    <row r="64" spans="44:173">
      <c r="AR64" s="72">
        <v>61</v>
      </c>
      <c r="AS64" s="73" t="str">
        <v>Boston</v>
      </c>
      <c r="AT64" s="73" t="str">
        <v>NY Islanders</v>
      </c>
      <c r="AU64" s="73" t="str">
        <v>Detroit</v>
      </c>
      <c r="AV64" s="75" t="str">
        <v>NY Rangers</v>
      </c>
      <c r="AW64" s="72">
        <v>61</v>
      </c>
      <c r="AX64" s="73" t="str">
        <v>Minnesota</v>
      </c>
      <c r="AY64" s="73" t="str">
        <v>Vancouver</v>
      </c>
      <c r="AZ64" s="73" t="str">
        <v>St. Louis</v>
      </c>
      <c r="BA64" s="75" t="str">
        <v>Winnipeg</v>
      </c>
      <c r="CK64" s="72">
        <v>61</v>
      </c>
      <c r="CL64" s="73" t="str">
        <v>Pittsburgh</v>
      </c>
      <c r="CM64" s="75" t="str">
        <v>Tampa Bay</v>
      </c>
      <c r="CN64" s="72">
        <v>61</v>
      </c>
      <c r="CO64" s="73" t="str">
        <v>Vancouver</v>
      </c>
      <c r="CP64" s="75" t="str">
        <v>Winnipeg</v>
      </c>
      <c r="DZ64" s="72">
        <v>61</v>
      </c>
      <c r="EA64" s="73" t="str">
        <v>Tampa Bay</v>
      </c>
      <c r="EB64" s="75" t="str">
        <v>Winnipeg</v>
      </c>
      <c r="ET64" s="72">
        <v>53</v>
      </c>
      <c r="EU64" s="73">
        <v>7</v>
      </c>
      <c r="EV64" s="73">
        <v>12</v>
      </c>
      <c r="EW64" s="73">
        <v>24</v>
      </c>
      <c r="EX64" s="73">
        <v>6</v>
      </c>
      <c r="EY64" s="73">
        <v>16</v>
      </c>
      <c r="EZ64" s="73">
        <v>7</v>
      </c>
      <c r="FA64" s="73">
        <v>7</v>
      </c>
      <c r="FB64" s="73">
        <v>12</v>
      </c>
      <c r="FC64" s="73">
        <v>7</v>
      </c>
      <c r="FD64" s="73">
        <v>7</v>
      </c>
      <c r="FE64" s="73">
        <v>14</v>
      </c>
      <c r="FF64" s="73">
        <v>21</v>
      </c>
      <c r="FG64" s="73">
        <v>7</v>
      </c>
      <c r="FH64" s="73">
        <v>7</v>
      </c>
      <c r="FI64" s="73">
        <v>28</v>
      </c>
      <c r="FJ64" s="75">
        <v>14</v>
      </c>
      <c r="FP64" s="73">
        <v>62</v>
      </c>
      <c r="FQ64" s="73" t="str">
        <v>Winnipeg</v>
      </c>
    </row>
    <row r="65" spans="44:173">
      <c r="AR65" s="72">
        <v>62</v>
      </c>
      <c r="AS65" s="73" t="str">
        <v>Montreal</v>
      </c>
      <c r="AT65" s="73" t="str">
        <v>NY Islanders</v>
      </c>
      <c r="AU65" s="73" t="str">
        <v>Tampa Bay</v>
      </c>
      <c r="AV65" s="75" t="str">
        <v>NY Rangers</v>
      </c>
      <c r="AW65" s="72">
        <v>62</v>
      </c>
      <c r="AX65" s="73" t="str">
        <v>Minnesota</v>
      </c>
      <c r="AY65" s="73" t="str">
        <v>Vancouver</v>
      </c>
      <c r="AZ65" s="73" t="str">
        <v>St. Louis</v>
      </c>
      <c r="BA65" s="75" t="str">
        <v>Winnipeg</v>
      </c>
      <c r="CK65" s="72">
        <v>62</v>
      </c>
      <c r="CL65" s="73" t="str">
        <v>Pittsburgh</v>
      </c>
      <c r="CM65" s="75" t="str">
        <v>Tampa Bay</v>
      </c>
      <c r="CN65" s="72">
        <v>62</v>
      </c>
      <c r="CO65" s="73" t="str">
        <v>Vancouver</v>
      </c>
      <c r="CP65" s="75" t="str">
        <v>Winnipeg</v>
      </c>
      <c r="DZ65" s="72">
        <v>62</v>
      </c>
      <c r="EA65" s="73" t="str">
        <v>Tampa Bay</v>
      </c>
      <c r="EB65" s="75" t="str">
        <v>Winnipeg</v>
      </c>
      <c r="ET65" s="72">
        <v>54</v>
      </c>
      <c r="EU65" s="73">
        <v>11</v>
      </c>
      <c r="EV65" s="73">
        <v>9</v>
      </c>
      <c r="EW65" s="73">
        <v>20</v>
      </c>
      <c r="EX65" s="73">
        <v>16</v>
      </c>
      <c r="EY65" s="73">
        <v>7</v>
      </c>
      <c r="EZ65" s="73">
        <v>4</v>
      </c>
      <c r="FA65" s="73">
        <v>5</v>
      </c>
      <c r="FB65" s="73">
        <v>7</v>
      </c>
      <c r="FC65" s="73">
        <v>7</v>
      </c>
      <c r="FD65" s="73">
        <v>7</v>
      </c>
      <c r="FE65" s="73">
        <v>14</v>
      </c>
      <c r="FF65" s="73">
        <v>21</v>
      </c>
      <c r="FG65" s="73">
        <v>7</v>
      </c>
      <c r="FH65" s="73">
        <v>7</v>
      </c>
      <c r="FI65" s="73">
        <v>28</v>
      </c>
      <c r="FJ65" s="75">
        <v>14</v>
      </c>
      <c r="FP65" s="73">
        <v>63</v>
      </c>
      <c r="FQ65" s="73" t="str">
        <v>Winnipeg</v>
      </c>
    </row>
    <row r="66" spans="44:173">
      <c r="AR66" s="72">
        <v>63</v>
      </c>
      <c r="AS66" s="73" t="str">
        <v>Boston</v>
      </c>
      <c r="AT66" s="73" t="str">
        <v>NY Islanders</v>
      </c>
      <c r="AU66" s="73" t="str">
        <v>Tampa Bay</v>
      </c>
      <c r="AV66" s="75" t="str">
        <v>NY Rangers</v>
      </c>
      <c r="AW66" s="72">
        <v>63</v>
      </c>
      <c r="AX66" s="73" t="str">
        <v>Minnesota</v>
      </c>
      <c r="AY66" s="73" t="str">
        <v>Vancouver</v>
      </c>
      <c r="AZ66" s="73" t="str">
        <v>St. Louis</v>
      </c>
      <c r="BA66" s="75" t="str">
        <v>Winnipeg</v>
      </c>
      <c r="CK66" s="72">
        <v>63</v>
      </c>
      <c r="CL66" s="73" t="str">
        <v>Boston</v>
      </c>
      <c r="CM66" s="75" t="str">
        <v>Tampa Bay</v>
      </c>
      <c r="CN66" s="72">
        <v>63</v>
      </c>
      <c r="CO66" s="73" t="str">
        <v>Vancouver</v>
      </c>
      <c r="CP66" s="75" t="str">
        <v>Winnipeg</v>
      </c>
      <c r="DZ66" s="72">
        <v>63</v>
      </c>
      <c r="EA66" s="73" t="str">
        <v>NY Islanders</v>
      </c>
      <c r="EB66" s="75" t="str">
        <v>Winnipeg</v>
      </c>
      <c r="ET66" s="72">
        <v>55</v>
      </c>
      <c r="EU66" s="73">
        <v>13</v>
      </c>
      <c r="EV66" s="73">
        <v>7</v>
      </c>
      <c r="EW66" s="73">
        <v>16</v>
      </c>
      <c r="EX66" s="73">
        <v>7</v>
      </c>
      <c r="EY66" s="73">
        <v>24</v>
      </c>
      <c r="EZ66" s="73">
        <v>7</v>
      </c>
      <c r="FA66" s="73">
        <v>12</v>
      </c>
      <c r="FB66" s="73">
        <v>7</v>
      </c>
      <c r="FC66" s="73">
        <v>7</v>
      </c>
      <c r="FD66" s="73">
        <v>7</v>
      </c>
      <c r="FE66" s="73">
        <v>14</v>
      </c>
      <c r="FF66" s="73">
        <v>21</v>
      </c>
      <c r="FG66" s="73">
        <v>7</v>
      </c>
      <c r="FH66" s="73">
        <v>7</v>
      </c>
      <c r="FI66" s="73">
        <v>28</v>
      </c>
      <c r="FJ66" s="75">
        <v>14</v>
      </c>
      <c r="FP66" s="73">
        <v>64</v>
      </c>
      <c r="FQ66" s="73" t="str">
        <v>Winnipeg</v>
      </c>
    </row>
    <row r="67" spans="44:173">
      <c r="AR67" s="72">
        <v>64</v>
      </c>
      <c r="AS67" s="73" t="str">
        <v>Montreal</v>
      </c>
      <c r="AT67" s="73" t="str">
        <v>NY Islanders</v>
      </c>
      <c r="AU67" s="73" t="str">
        <v>Detroit</v>
      </c>
      <c r="AV67" s="75" t="str">
        <v>Washington</v>
      </c>
      <c r="AW67" s="72">
        <v>64</v>
      </c>
      <c r="AX67" s="73" t="str">
        <v>Minnesota</v>
      </c>
      <c r="AY67" s="73" t="str">
        <v>Vancouver</v>
      </c>
      <c r="AZ67" s="73" t="str">
        <v>St. Louis</v>
      </c>
      <c r="BA67" s="75" t="str">
        <v>Winnipeg</v>
      </c>
      <c r="CK67" s="72">
        <v>64</v>
      </c>
      <c r="CL67" s="73" t="str">
        <v>NY Islanders</v>
      </c>
      <c r="CM67" s="75" t="str">
        <v>Detroit</v>
      </c>
      <c r="CN67" s="72">
        <v>64</v>
      </c>
      <c r="CO67" s="73" t="str">
        <v>Vancouver</v>
      </c>
      <c r="CP67" s="75" t="str">
        <v>Winnipeg</v>
      </c>
      <c r="DZ67" s="72">
        <v>64</v>
      </c>
      <c r="EA67" s="73" t="str">
        <v>Tampa Bay</v>
      </c>
      <c r="EB67" s="75" t="str">
        <v>Winnipeg</v>
      </c>
      <c r="ET67" s="72">
        <v>56</v>
      </c>
      <c r="EU67" s="73">
        <v>6</v>
      </c>
      <c r="EV67" s="73">
        <v>11</v>
      </c>
      <c r="EW67" s="73">
        <v>24</v>
      </c>
      <c r="EX67" s="73">
        <v>6</v>
      </c>
      <c r="EY67" s="73">
        <v>10</v>
      </c>
      <c r="EZ67" s="73">
        <v>5</v>
      </c>
      <c r="FA67" s="73">
        <v>6</v>
      </c>
      <c r="FB67" s="73">
        <v>17</v>
      </c>
      <c r="FC67" s="73">
        <v>7</v>
      </c>
      <c r="FD67" s="73">
        <v>7</v>
      </c>
      <c r="FE67" s="73">
        <v>14</v>
      </c>
      <c r="FF67" s="73">
        <v>21</v>
      </c>
      <c r="FG67" s="73">
        <v>7</v>
      </c>
      <c r="FH67" s="73">
        <v>7</v>
      </c>
      <c r="FI67" s="73">
        <v>28</v>
      </c>
      <c r="FJ67" s="75">
        <v>14</v>
      </c>
      <c r="FP67" s="73">
        <v>65</v>
      </c>
      <c r="FQ67" s="73" t="str">
        <v>Winnipeg</v>
      </c>
    </row>
    <row r="68" spans="44:173">
      <c r="AR68" s="72">
        <v>65</v>
      </c>
      <c r="AS68" s="73" t="str">
        <v>Boston</v>
      </c>
      <c r="AT68" s="73" t="str">
        <v>NY Islanders</v>
      </c>
      <c r="AU68" s="73" t="str">
        <v>Tampa Bay</v>
      </c>
      <c r="AV68" s="75" t="str">
        <v>Washington</v>
      </c>
      <c r="AW68" s="72">
        <v>65</v>
      </c>
      <c r="AX68" s="73" t="str">
        <v>Minnesota</v>
      </c>
      <c r="AY68" s="73" t="str">
        <v>Vancouver</v>
      </c>
      <c r="AZ68" s="73" t="str">
        <v>St. Louis</v>
      </c>
      <c r="BA68" s="75" t="str">
        <v>Winnipeg</v>
      </c>
      <c r="CK68" s="72">
        <v>65</v>
      </c>
      <c r="CL68" s="73" t="str">
        <v>Boston</v>
      </c>
      <c r="CM68" s="75" t="str">
        <v>Tampa Bay</v>
      </c>
      <c r="CN68" s="72">
        <v>65</v>
      </c>
      <c r="CO68" s="73" t="str">
        <v>Vancouver</v>
      </c>
      <c r="CP68" s="75" t="str">
        <v>Winnipeg</v>
      </c>
      <c r="DZ68" s="72">
        <v>65</v>
      </c>
      <c r="EA68" s="73" t="str">
        <v>Boston</v>
      </c>
      <c r="EB68" s="75" t="str">
        <v>Winnipeg</v>
      </c>
      <c r="ET68" s="72">
        <v>57</v>
      </c>
      <c r="EU68" s="73">
        <v>5</v>
      </c>
      <c r="EV68" s="73">
        <v>5</v>
      </c>
      <c r="EW68" s="73">
        <v>20</v>
      </c>
      <c r="EX68" s="73">
        <v>6</v>
      </c>
      <c r="EY68" s="73">
        <v>11</v>
      </c>
      <c r="EZ68" s="73">
        <v>5</v>
      </c>
      <c r="FA68" s="73">
        <v>9</v>
      </c>
      <c r="FB68" s="73">
        <v>14</v>
      </c>
      <c r="FC68" s="73">
        <v>7</v>
      </c>
      <c r="FD68" s="73">
        <v>7</v>
      </c>
      <c r="FE68" s="73">
        <v>14</v>
      </c>
      <c r="FF68" s="73">
        <v>21</v>
      </c>
      <c r="FG68" s="73">
        <v>7</v>
      </c>
      <c r="FH68" s="73">
        <v>7</v>
      </c>
      <c r="FI68" s="73">
        <v>28</v>
      </c>
      <c r="FJ68" s="75">
        <v>14</v>
      </c>
      <c r="FP68" s="73">
        <v>66</v>
      </c>
      <c r="FQ68" s="73" t="str">
        <v>Winnipeg</v>
      </c>
    </row>
    <row r="69" spans="44:173">
      <c r="AR69" s="72">
        <v>66</v>
      </c>
      <c r="AS69" s="73" t="str">
        <v>Boston</v>
      </c>
      <c r="AT69" s="73" t="str">
        <v>Pittsburgh</v>
      </c>
      <c r="AU69" s="73" t="str">
        <v>Tampa Bay</v>
      </c>
      <c r="AV69" s="75" t="str">
        <v>Washington</v>
      </c>
      <c r="AW69" s="72">
        <v>66</v>
      </c>
      <c r="AX69" s="73" t="str">
        <v>Minnesota</v>
      </c>
      <c r="AY69" s="73" t="str">
        <v>Vancouver</v>
      </c>
      <c r="AZ69" s="73" t="str">
        <v>St. Louis</v>
      </c>
      <c r="BA69" s="75" t="str">
        <v>Winnipeg</v>
      </c>
      <c r="CK69" s="72">
        <v>66</v>
      </c>
      <c r="CL69" s="73" t="str">
        <v>NY Islanders</v>
      </c>
      <c r="CM69" s="75" t="str">
        <v>Tampa Bay</v>
      </c>
      <c r="CN69" s="72">
        <v>66</v>
      </c>
      <c r="CO69" s="73" t="str">
        <v>Vancouver</v>
      </c>
      <c r="CP69" s="75" t="str">
        <v>Winnipeg</v>
      </c>
      <c r="DZ69" s="72">
        <v>66</v>
      </c>
      <c r="EA69" s="73" t="str">
        <v>Detroit</v>
      </c>
      <c r="EB69" s="75" t="str">
        <v>Winnipeg</v>
      </c>
      <c r="ET69" s="72">
        <v>58</v>
      </c>
      <c r="EU69" s="73">
        <v>6</v>
      </c>
      <c r="EV69" s="73">
        <v>6</v>
      </c>
      <c r="EW69" s="73">
        <v>12</v>
      </c>
      <c r="EX69" s="73">
        <v>6</v>
      </c>
      <c r="EY69" s="73">
        <v>20</v>
      </c>
      <c r="EZ69" s="73">
        <v>5</v>
      </c>
      <c r="FA69" s="73">
        <v>27</v>
      </c>
      <c r="FB69" s="73">
        <v>13</v>
      </c>
      <c r="FC69" s="73">
        <v>7</v>
      </c>
      <c r="FD69" s="73">
        <v>7</v>
      </c>
      <c r="FE69" s="73">
        <v>14</v>
      </c>
      <c r="FF69" s="73">
        <v>21</v>
      </c>
      <c r="FG69" s="73">
        <v>7</v>
      </c>
      <c r="FH69" s="73">
        <v>7</v>
      </c>
      <c r="FI69" s="73">
        <v>28</v>
      </c>
      <c r="FJ69" s="75">
        <v>14</v>
      </c>
      <c r="FP69" s="73">
        <v>67</v>
      </c>
      <c r="FQ69" s="73" t="str">
        <v>Winnipeg</v>
      </c>
    </row>
    <row r="70" spans="44:173">
      <c r="AR70" s="72">
        <v>67</v>
      </c>
      <c r="AS70" s="73" t="str">
        <v>Boston</v>
      </c>
      <c r="AT70" s="73" t="str">
        <v>NY Islanders</v>
      </c>
      <c r="AU70" s="73" t="str">
        <v>Tampa Bay</v>
      </c>
      <c r="AV70" s="75" t="str">
        <v>NY Rangers</v>
      </c>
      <c r="AW70" s="72">
        <v>67</v>
      </c>
      <c r="AX70" s="73" t="str">
        <v>Minnesota</v>
      </c>
      <c r="AY70" s="73" t="str">
        <v>Vancouver</v>
      </c>
      <c r="AZ70" s="73" t="str">
        <v>St. Louis</v>
      </c>
      <c r="BA70" s="75" t="str">
        <v>Winnipeg</v>
      </c>
      <c r="CK70" s="72">
        <v>67</v>
      </c>
      <c r="CL70" s="73" t="str">
        <v>Pittsburgh</v>
      </c>
      <c r="CM70" s="75" t="str">
        <v>Tampa Bay</v>
      </c>
      <c r="CN70" s="72">
        <v>67</v>
      </c>
      <c r="CO70" s="73" t="str">
        <v>Vancouver</v>
      </c>
      <c r="CP70" s="75" t="str">
        <v>Winnipeg</v>
      </c>
      <c r="DZ70" s="72">
        <v>67</v>
      </c>
      <c r="EA70" s="73" t="str">
        <v>NY Islanders</v>
      </c>
      <c r="EB70" s="75" t="str">
        <v>Winnipeg</v>
      </c>
      <c r="ET70" s="72">
        <v>59</v>
      </c>
      <c r="EU70" s="73">
        <v>7</v>
      </c>
      <c r="EV70" s="73">
        <v>6</v>
      </c>
      <c r="EW70" s="73">
        <v>6</v>
      </c>
      <c r="EX70" s="73">
        <v>6</v>
      </c>
      <c r="EY70" s="73">
        <v>17</v>
      </c>
      <c r="EZ70" s="73">
        <v>25</v>
      </c>
      <c r="FA70" s="73">
        <v>11</v>
      </c>
      <c r="FB70" s="73">
        <v>11</v>
      </c>
      <c r="FC70" s="73">
        <v>7</v>
      </c>
      <c r="FD70" s="73">
        <v>7</v>
      </c>
      <c r="FE70" s="73">
        <v>14</v>
      </c>
      <c r="FF70" s="73">
        <v>21</v>
      </c>
      <c r="FG70" s="73">
        <v>7</v>
      </c>
      <c r="FH70" s="73">
        <v>7</v>
      </c>
      <c r="FI70" s="73">
        <v>28</v>
      </c>
      <c r="FJ70" s="75">
        <v>14</v>
      </c>
      <c r="FP70" s="73">
        <v>68</v>
      </c>
      <c r="FQ70" s="73" t="str">
        <v>Winnipeg</v>
      </c>
    </row>
    <row r="71" spans="44:173">
      <c r="AR71" s="72">
        <v>68</v>
      </c>
      <c r="AS71" s="73" t="str">
        <v>Boston</v>
      </c>
      <c r="AT71" s="73" t="str">
        <v>NY Islanders</v>
      </c>
      <c r="AU71" s="73" t="str">
        <v>Detroit</v>
      </c>
      <c r="AV71" s="75" t="str">
        <v>NY Rangers</v>
      </c>
      <c r="AW71" s="72">
        <v>68</v>
      </c>
      <c r="AX71" s="73" t="str">
        <v>Minnesota</v>
      </c>
      <c r="AY71" s="73" t="str">
        <v>Vancouver</v>
      </c>
      <c r="AZ71" s="73" t="str">
        <v>St. Louis</v>
      </c>
      <c r="BA71" s="75" t="str">
        <v>Winnipeg</v>
      </c>
      <c r="CK71" s="72">
        <v>68</v>
      </c>
      <c r="CL71" s="73" t="str">
        <v>NY Islanders</v>
      </c>
      <c r="CM71" s="75" t="str">
        <v>Detroit</v>
      </c>
      <c r="CN71" s="72">
        <v>68</v>
      </c>
      <c r="CO71" s="73" t="str">
        <v>Vancouver</v>
      </c>
      <c r="CP71" s="75" t="str">
        <v>Winnipeg</v>
      </c>
      <c r="DZ71" s="72">
        <v>68</v>
      </c>
      <c r="EA71" s="73" t="str">
        <v>Tampa Bay</v>
      </c>
      <c r="EB71" s="75" t="str">
        <v>Winnipeg</v>
      </c>
      <c r="ET71" s="72">
        <v>60</v>
      </c>
      <c r="EU71" s="73">
        <v>7</v>
      </c>
      <c r="EV71" s="73">
        <v>7</v>
      </c>
      <c r="EW71" s="73">
        <v>21</v>
      </c>
      <c r="EX71" s="73">
        <v>7</v>
      </c>
      <c r="EY71" s="73">
        <v>13</v>
      </c>
      <c r="EZ71" s="73">
        <v>4</v>
      </c>
      <c r="FA71" s="73">
        <v>12</v>
      </c>
      <c r="FB71" s="73">
        <v>18</v>
      </c>
      <c r="FC71" s="73">
        <v>7</v>
      </c>
      <c r="FD71" s="73">
        <v>7</v>
      </c>
      <c r="FE71" s="73">
        <v>14</v>
      </c>
      <c r="FF71" s="73">
        <v>21</v>
      </c>
      <c r="FG71" s="73">
        <v>7</v>
      </c>
      <c r="FH71" s="73">
        <v>7</v>
      </c>
      <c r="FI71" s="73">
        <v>28</v>
      </c>
      <c r="FJ71" s="75">
        <v>14</v>
      </c>
      <c r="FP71" s="73">
        <v>69</v>
      </c>
      <c r="FQ71" s="73" t="str">
        <v>Winnipeg</v>
      </c>
    </row>
    <row r="72" spans="44:173">
      <c r="AR72" s="72">
        <v>69</v>
      </c>
      <c r="AS72" s="73" t="str">
        <v>Montreal</v>
      </c>
      <c r="AT72" s="73" t="str">
        <v>Pittsburgh</v>
      </c>
      <c r="AU72" s="73" t="str">
        <v>Tampa Bay</v>
      </c>
      <c r="AV72" s="75" t="str">
        <v>NY Rangers</v>
      </c>
      <c r="AW72" s="72">
        <v>69</v>
      </c>
      <c r="AX72" s="73" t="str">
        <v>Minnesota</v>
      </c>
      <c r="AY72" s="73" t="str">
        <v>Vancouver</v>
      </c>
      <c r="AZ72" s="73" t="str">
        <v>St. Louis</v>
      </c>
      <c r="BA72" s="75" t="str">
        <v>Winnipeg</v>
      </c>
      <c r="CK72" s="72">
        <v>69</v>
      </c>
      <c r="CL72" s="73" t="str">
        <v>NY Islanders</v>
      </c>
      <c r="CM72" s="75" t="str">
        <v>Detroit</v>
      </c>
      <c r="CN72" s="72">
        <v>69</v>
      </c>
      <c r="CO72" s="73" t="str">
        <v>Vancouver</v>
      </c>
      <c r="CP72" s="75" t="str">
        <v>Winnipeg</v>
      </c>
      <c r="DZ72" s="72">
        <v>69</v>
      </c>
      <c r="EA72" s="73" t="str">
        <v>Tampa Bay</v>
      </c>
      <c r="EB72" s="75" t="str">
        <v>Winnipeg</v>
      </c>
      <c r="ET72" s="72">
        <v>61</v>
      </c>
      <c r="EU72" s="73">
        <v>12</v>
      </c>
      <c r="EV72" s="73">
        <v>11</v>
      </c>
      <c r="EW72" s="73">
        <v>5</v>
      </c>
      <c r="EX72" s="73">
        <v>25</v>
      </c>
      <c r="EY72" s="73">
        <v>6</v>
      </c>
      <c r="EZ72" s="73">
        <v>16</v>
      </c>
      <c r="FA72" s="73">
        <v>7</v>
      </c>
      <c r="FB72" s="73">
        <v>7</v>
      </c>
      <c r="FC72" s="73">
        <v>7</v>
      </c>
      <c r="FD72" s="73">
        <v>7</v>
      </c>
      <c r="FE72" s="73">
        <v>14</v>
      </c>
      <c r="FF72" s="73">
        <v>21</v>
      </c>
      <c r="FG72" s="73">
        <v>7</v>
      </c>
      <c r="FH72" s="73">
        <v>7</v>
      </c>
      <c r="FI72" s="73">
        <v>28</v>
      </c>
      <c r="FJ72" s="75">
        <v>14</v>
      </c>
      <c r="FP72" s="73">
        <v>70</v>
      </c>
      <c r="FQ72" s="73" t="str">
        <v>Winnipeg</v>
      </c>
    </row>
    <row r="73" spans="44:173">
      <c r="AR73" s="72">
        <v>70</v>
      </c>
      <c r="AS73" s="73" t="str">
        <v>Boston</v>
      </c>
      <c r="AT73" s="73" t="str">
        <v>NY Islanders</v>
      </c>
      <c r="AU73" s="73" t="str">
        <v>Detroit</v>
      </c>
      <c r="AV73" s="75" t="str">
        <v>NY Rangers</v>
      </c>
      <c r="AW73" s="72">
        <v>70</v>
      </c>
      <c r="AX73" s="73" t="str">
        <v>Minnesota</v>
      </c>
      <c r="AY73" s="73" t="str">
        <v>Vancouver</v>
      </c>
      <c r="AZ73" s="73" t="str">
        <v>St. Louis</v>
      </c>
      <c r="BA73" s="75" t="str">
        <v>Winnipeg</v>
      </c>
      <c r="CK73" s="72">
        <v>70</v>
      </c>
      <c r="CL73" s="73" t="str">
        <v>NY Islanders</v>
      </c>
      <c r="CM73" s="75" t="str">
        <v>Tampa Bay</v>
      </c>
      <c r="CN73" s="72">
        <v>70</v>
      </c>
      <c r="CO73" s="73" t="str">
        <v>Vancouver</v>
      </c>
      <c r="CP73" s="75" t="str">
        <v>Winnipeg</v>
      </c>
      <c r="DZ73" s="72">
        <v>70</v>
      </c>
      <c r="EA73" s="73" t="str">
        <v>Tampa Bay</v>
      </c>
      <c r="EB73" s="75" t="str">
        <v>Winnipeg</v>
      </c>
      <c r="ET73" s="72">
        <v>62</v>
      </c>
      <c r="EU73" s="73">
        <v>7</v>
      </c>
      <c r="EV73" s="73">
        <v>26</v>
      </c>
      <c r="EW73" s="73">
        <v>7</v>
      </c>
      <c r="EX73" s="73">
        <v>18</v>
      </c>
      <c r="EY73" s="73">
        <v>6</v>
      </c>
      <c r="EZ73" s="73">
        <v>14</v>
      </c>
      <c r="FA73" s="73">
        <v>5</v>
      </c>
      <c r="FB73" s="73">
        <v>12</v>
      </c>
      <c r="FC73" s="73">
        <v>7</v>
      </c>
      <c r="FD73" s="73">
        <v>7</v>
      </c>
      <c r="FE73" s="73">
        <v>14</v>
      </c>
      <c r="FF73" s="73">
        <v>21</v>
      </c>
      <c r="FG73" s="73">
        <v>7</v>
      </c>
      <c r="FH73" s="73">
        <v>7</v>
      </c>
      <c r="FI73" s="73">
        <v>28</v>
      </c>
      <c r="FJ73" s="75">
        <v>14</v>
      </c>
      <c r="FP73" s="73">
        <v>71</v>
      </c>
      <c r="FQ73" s="73" t="str">
        <v>Winnipeg</v>
      </c>
    </row>
    <row r="74" spans="44:173">
      <c r="AR74" s="72">
        <v>71</v>
      </c>
      <c r="AS74" s="73" t="str">
        <v>Boston</v>
      </c>
      <c r="AT74" s="73" t="str">
        <v>Pittsburgh</v>
      </c>
      <c r="AU74" s="73" t="str">
        <v>Tampa Bay</v>
      </c>
      <c r="AV74" s="75" t="str">
        <v>NY Rangers</v>
      </c>
      <c r="AW74" s="72">
        <v>71</v>
      </c>
      <c r="AX74" s="73" t="str">
        <v>Minnesota</v>
      </c>
      <c r="AY74" s="73" t="str">
        <v>Vancouver</v>
      </c>
      <c r="AZ74" s="73" t="str">
        <v>St. Louis</v>
      </c>
      <c r="BA74" s="75" t="str">
        <v>Winnipeg</v>
      </c>
      <c r="CK74" s="72">
        <v>71</v>
      </c>
      <c r="CL74" s="73" t="str">
        <v>Montreal</v>
      </c>
      <c r="CM74" s="75" t="str">
        <v>Detroit</v>
      </c>
      <c r="CN74" s="72">
        <v>71</v>
      </c>
      <c r="CO74" s="73" t="str">
        <v>Vancouver</v>
      </c>
      <c r="CP74" s="75" t="str">
        <v>Winnipeg</v>
      </c>
      <c r="DZ74" s="72">
        <v>71</v>
      </c>
      <c r="EA74" s="73" t="str">
        <v>NY Islanders</v>
      </c>
      <c r="EB74" s="75" t="str">
        <v>Winnipeg</v>
      </c>
      <c r="ET74" s="72">
        <v>63</v>
      </c>
      <c r="EU74" s="73">
        <v>7</v>
      </c>
      <c r="EV74" s="73">
        <v>4</v>
      </c>
      <c r="EW74" s="73">
        <v>7</v>
      </c>
      <c r="EX74" s="73">
        <v>7</v>
      </c>
      <c r="EY74" s="73">
        <v>13</v>
      </c>
      <c r="EZ74" s="73">
        <v>25</v>
      </c>
      <c r="FA74" s="73">
        <v>8</v>
      </c>
      <c r="FB74" s="73">
        <v>20</v>
      </c>
      <c r="FC74" s="73">
        <v>7</v>
      </c>
      <c r="FD74" s="73">
        <v>7</v>
      </c>
      <c r="FE74" s="73">
        <v>14</v>
      </c>
      <c r="FF74" s="73">
        <v>21</v>
      </c>
      <c r="FG74" s="73">
        <v>7</v>
      </c>
      <c r="FH74" s="73">
        <v>7</v>
      </c>
      <c r="FI74" s="73">
        <v>28</v>
      </c>
      <c r="FJ74" s="75">
        <v>14</v>
      </c>
      <c r="FP74" s="73">
        <v>72</v>
      </c>
      <c r="FQ74" s="73" t="str">
        <v>Winnipeg</v>
      </c>
    </row>
    <row r="75" spans="44:173">
      <c r="AR75" s="72">
        <v>72</v>
      </c>
      <c r="AS75" s="73" t="str">
        <v>Boston</v>
      </c>
      <c r="AT75" s="73" t="str">
        <v>Pittsburgh</v>
      </c>
      <c r="AU75" s="73" t="str">
        <v>Tampa Bay</v>
      </c>
      <c r="AV75" s="75" t="str">
        <v>Washington</v>
      </c>
      <c r="AW75" s="72">
        <v>72</v>
      </c>
      <c r="AX75" s="73" t="str">
        <v>Minnesota</v>
      </c>
      <c r="AY75" s="73" t="str">
        <v>Vancouver</v>
      </c>
      <c r="AZ75" s="73" t="str">
        <v>St. Louis</v>
      </c>
      <c r="BA75" s="75" t="str">
        <v>Winnipeg</v>
      </c>
      <c r="CK75" s="72">
        <v>72</v>
      </c>
      <c r="CL75" s="73" t="str">
        <v>NY Islanders</v>
      </c>
      <c r="CM75" s="75" t="str">
        <v>Tampa Bay</v>
      </c>
      <c r="CN75" s="72">
        <v>72</v>
      </c>
      <c r="CO75" s="73" t="str">
        <v>Vancouver</v>
      </c>
      <c r="CP75" s="75" t="str">
        <v>Winnipeg</v>
      </c>
      <c r="DZ75" s="72">
        <v>72</v>
      </c>
      <c r="EA75" s="73" t="str">
        <v>Montreal</v>
      </c>
      <c r="EB75" s="75" t="str">
        <v>Winnipeg</v>
      </c>
      <c r="ET75" s="72">
        <v>64</v>
      </c>
      <c r="EU75" s="73">
        <v>7</v>
      </c>
      <c r="EV75" s="73">
        <v>6</v>
      </c>
      <c r="EW75" s="73">
        <v>26</v>
      </c>
      <c r="EX75" s="73">
        <v>6</v>
      </c>
      <c r="EY75" s="73">
        <v>17</v>
      </c>
      <c r="EZ75" s="73">
        <v>5</v>
      </c>
      <c r="FA75" s="73">
        <v>13</v>
      </c>
      <c r="FB75" s="73">
        <v>11</v>
      </c>
      <c r="FC75" s="73">
        <v>7</v>
      </c>
      <c r="FD75" s="73">
        <v>7</v>
      </c>
      <c r="FE75" s="73">
        <v>14</v>
      </c>
      <c r="FF75" s="73">
        <v>21</v>
      </c>
      <c r="FG75" s="73">
        <v>7</v>
      </c>
      <c r="FH75" s="73">
        <v>7</v>
      </c>
      <c r="FI75" s="73">
        <v>28</v>
      </c>
      <c r="FJ75" s="75">
        <v>14</v>
      </c>
      <c r="FP75" s="73">
        <v>73</v>
      </c>
      <c r="FQ75" s="73" t="str">
        <v>Winnipeg</v>
      </c>
    </row>
    <row r="76" spans="44:173">
      <c r="AR76" s="72">
        <v>73</v>
      </c>
      <c r="AS76" s="73" t="str">
        <v>Montreal</v>
      </c>
      <c r="AT76" s="73" t="str">
        <v>Pittsburgh</v>
      </c>
      <c r="AU76" s="73" t="str">
        <v>Tampa Bay</v>
      </c>
      <c r="AV76" s="75" t="str">
        <v>Washington</v>
      </c>
      <c r="AW76" s="72">
        <v>73</v>
      </c>
      <c r="AX76" s="73" t="str">
        <v>Minnesota</v>
      </c>
      <c r="AY76" s="73" t="str">
        <v>Vancouver</v>
      </c>
      <c r="AZ76" s="73" t="str">
        <v>St. Louis</v>
      </c>
      <c r="BA76" s="75" t="str">
        <v>Winnipeg</v>
      </c>
      <c r="CK76" s="72">
        <v>73</v>
      </c>
      <c r="CL76" s="73" t="str">
        <v>NY Islanders</v>
      </c>
      <c r="CM76" s="75" t="str">
        <v>Tampa Bay</v>
      </c>
      <c r="CN76" s="72">
        <v>73</v>
      </c>
      <c r="CO76" s="73" t="str">
        <v>Vancouver</v>
      </c>
      <c r="CP76" s="75" t="str">
        <v>Winnipeg</v>
      </c>
      <c r="DZ76" s="72">
        <v>73</v>
      </c>
      <c r="EA76" s="73" t="str">
        <v>Tampa Bay</v>
      </c>
      <c r="EB76" s="75" t="str">
        <v>Winnipeg</v>
      </c>
      <c r="ET76" s="72">
        <v>65</v>
      </c>
      <c r="EU76" s="73">
        <v>5</v>
      </c>
      <c r="EV76" s="73">
        <v>12</v>
      </c>
      <c r="EW76" s="73">
        <v>6</v>
      </c>
      <c r="EX76" s="73">
        <v>7</v>
      </c>
      <c r="EY76" s="73">
        <v>24</v>
      </c>
      <c r="EZ76" s="73">
        <v>16</v>
      </c>
      <c r="FA76" s="73">
        <v>7</v>
      </c>
      <c r="FB76" s="73">
        <v>10</v>
      </c>
      <c r="FC76" s="73">
        <v>7</v>
      </c>
      <c r="FD76" s="73">
        <v>7</v>
      </c>
      <c r="FE76" s="73">
        <v>14</v>
      </c>
      <c r="FF76" s="73">
        <v>21</v>
      </c>
      <c r="FG76" s="73">
        <v>7</v>
      </c>
      <c r="FH76" s="73">
        <v>7</v>
      </c>
      <c r="FI76" s="73">
        <v>28</v>
      </c>
      <c r="FJ76" s="75">
        <v>14</v>
      </c>
      <c r="FP76" s="73">
        <v>74</v>
      </c>
      <c r="FQ76" s="73" t="str">
        <v>Winnipeg</v>
      </c>
    </row>
    <row r="77" spans="44:173">
      <c r="AR77" s="72">
        <v>74</v>
      </c>
      <c r="AS77" s="73" t="str">
        <v>Boston</v>
      </c>
      <c r="AT77" s="73" t="str">
        <v>NY Islanders</v>
      </c>
      <c r="AU77" s="73" t="str">
        <v>Detroit</v>
      </c>
      <c r="AV77" s="75" t="str">
        <v>Washington</v>
      </c>
      <c r="AW77" s="72">
        <v>74</v>
      </c>
      <c r="AX77" s="73" t="str">
        <v>Minnesota</v>
      </c>
      <c r="AY77" s="73" t="str">
        <v>Vancouver</v>
      </c>
      <c r="AZ77" s="73" t="str">
        <v>St. Louis</v>
      </c>
      <c r="BA77" s="75" t="str">
        <v>Winnipeg</v>
      </c>
      <c r="CK77" s="72">
        <v>74</v>
      </c>
      <c r="CL77" s="73" t="str">
        <v>Boston</v>
      </c>
      <c r="CM77" s="75" t="str">
        <v>Tampa Bay</v>
      </c>
      <c r="CN77" s="72">
        <v>74</v>
      </c>
      <c r="CO77" s="73" t="str">
        <v>Vancouver</v>
      </c>
      <c r="CP77" s="75" t="str">
        <v>Winnipeg</v>
      </c>
      <c r="DZ77" s="72">
        <v>74</v>
      </c>
      <c r="EA77" s="73" t="str">
        <v>Boston</v>
      </c>
      <c r="EB77" s="75" t="str">
        <v>Winnipeg</v>
      </c>
      <c r="ET77" s="72">
        <v>66</v>
      </c>
      <c r="EU77" s="73">
        <v>15</v>
      </c>
      <c r="EV77" s="73">
        <v>23</v>
      </c>
      <c r="EW77" s="73">
        <v>14</v>
      </c>
      <c r="EX77" s="73">
        <v>6</v>
      </c>
      <c r="EY77" s="73">
        <v>11</v>
      </c>
      <c r="EZ77" s="73">
        <v>7</v>
      </c>
      <c r="FA77" s="73">
        <v>4</v>
      </c>
      <c r="FB77" s="73">
        <v>5</v>
      </c>
      <c r="FC77" s="73">
        <v>7</v>
      </c>
      <c r="FD77" s="73">
        <v>7</v>
      </c>
      <c r="FE77" s="73">
        <v>14</v>
      </c>
      <c r="FF77" s="73">
        <v>21</v>
      </c>
      <c r="FG77" s="73">
        <v>7</v>
      </c>
      <c r="FH77" s="73">
        <v>7</v>
      </c>
      <c r="FI77" s="73">
        <v>28</v>
      </c>
      <c r="FJ77" s="75">
        <v>14</v>
      </c>
      <c r="FP77" s="73">
        <v>75</v>
      </c>
      <c r="FQ77" s="73" t="str">
        <v>Winnipeg</v>
      </c>
    </row>
    <row r="78" spans="44:173">
      <c r="AR78" s="72">
        <v>75</v>
      </c>
      <c r="AS78" s="73" t="str">
        <v>Montreal</v>
      </c>
      <c r="AT78" s="73" t="str">
        <v>Pittsburgh</v>
      </c>
      <c r="AU78" s="73" t="str">
        <v>Detroit</v>
      </c>
      <c r="AV78" s="75" t="str">
        <v>Washington</v>
      </c>
      <c r="AW78" s="72">
        <v>75</v>
      </c>
      <c r="AX78" s="73" t="str">
        <v>Minnesota</v>
      </c>
      <c r="AY78" s="73" t="str">
        <v>Vancouver</v>
      </c>
      <c r="AZ78" s="73" t="str">
        <v>St. Louis</v>
      </c>
      <c r="BA78" s="75" t="str">
        <v>Winnipeg</v>
      </c>
      <c r="CK78" s="72">
        <v>75</v>
      </c>
      <c r="CL78" s="73" t="str">
        <v>Boston</v>
      </c>
      <c r="CM78" s="75" t="str">
        <v>Detroit</v>
      </c>
      <c r="CN78" s="72">
        <v>75</v>
      </c>
      <c r="CO78" s="73" t="str">
        <v>Vancouver</v>
      </c>
      <c r="CP78" s="75" t="str">
        <v>Winnipeg</v>
      </c>
      <c r="DZ78" s="72">
        <v>75</v>
      </c>
      <c r="EA78" s="73" t="str">
        <v>Tampa Bay</v>
      </c>
      <c r="EB78" s="75" t="str">
        <v>Winnipeg</v>
      </c>
      <c r="ET78" s="72">
        <v>67</v>
      </c>
      <c r="EU78" s="73">
        <v>6</v>
      </c>
      <c r="EV78" s="73">
        <v>10</v>
      </c>
      <c r="EW78" s="73">
        <v>23</v>
      </c>
      <c r="EX78" s="73">
        <v>6</v>
      </c>
      <c r="EY78" s="73">
        <v>16</v>
      </c>
      <c r="EZ78" s="73">
        <v>6</v>
      </c>
      <c r="FA78" s="73">
        <v>5</v>
      </c>
      <c r="FB78" s="73">
        <v>11</v>
      </c>
      <c r="FC78" s="73">
        <v>7</v>
      </c>
      <c r="FD78" s="73">
        <v>7</v>
      </c>
      <c r="FE78" s="73">
        <v>14</v>
      </c>
      <c r="FF78" s="73">
        <v>21</v>
      </c>
      <c r="FG78" s="73">
        <v>7</v>
      </c>
      <c r="FH78" s="73">
        <v>7</v>
      </c>
      <c r="FI78" s="73">
        <v>28</v>
      </c>
      <c r="FJ78" s="75">
        <v>14</v>
      </c>
      <c r="FP78" s="73">
        <v>76</v>
      </c>
      <c r="FQ78" s="73" t="str">
        <v>Winnipeg</v>
      </c>
    </row>
    <row r="79" spans="44:173">
      <c r="AR79" s="72">
        <v>76</v>
      </c>
      <c r="AS79" s="73" t="str">
        <v>Boston</v>
      </c>
      <c r="AT79" s="73" t="str">
        <v>NY Islanders</v>
      </c>
      <c r="AU79" s="73" t="str">
        <v>Tampa Bay</v>
      </c>
      <c r="AV79" s="75" t="str">
        <v>Washington</v>
      </c>
      <c r="AW79" s="72">
        <v>76</v>
      </c>
      <c r="AX79" s="73" t="str">
        <v>Minnesota</v>
      </c>
      <c r="AY79" s="73" t="str">
        <v>Vancouver</v>
      </c>
      <c r="AZ79" s="73" t="str">
        <v>St. Louis</v>
      </c>
      <c r="BA79" s="75" t="str">
        <v>Winnipeg</v>
      </c>
      <c r="CK79" s="72">
        <v>76</v>
      </c>
      <c r="CL79" s="73" t="str">
        <v>NY Islanders</v>
      </c>
      <c r="CM79" s="75" t="str">
        <v>Detroit</v>
      </c>
      <c r="CN79" s="72">
        <v>76</v>
      </c>
      <c r="CO79" s="73" t="str">
        <v>Vancouver</v>
      </c>
      <c r="CP79" s="75" t="str">
        <v>Winnipeg</v>
      </c>
      <c r="DZ79" s="72">
        <v>76</v>
      </c>
      <c r="EA79" s="73" t="str">
        <v>Tampa Bay</v>
      </c>
      <c r="EB79" s="75" t="str">
        <v>Winnipeg</v>
      </c>
      <c r="ET79" s="72">
        <v>68</v>
      </c>
      <c r="EU79" s="73">
        <v>7</v>
      </c>
      <c r="EV79" s="73">
        <v>6</v>
      </c>
      <c r="EW79" s="73">
        <v>14</v>
      </c>
      <c r="EX79" s="73">
        <v>23</v>
      </c>
      <c r="EY79" s="73">
        <v>7</v>
      </c>
      <c r="EZ79" s="73">
        <v>6</v>
      </c>
      <c r="FA79" s="73">
        <v>10</v>
      </c>
      <c r="FB79" s="73">
        <v>12</v>
      </c>
      <c r="FC79" s="73">
        <v>7</v>
      </c>
      <c r="FD79" s="73">
        <v>7</v>
      </c>
      <c r="FE79" s="73">
        <v>14</v>
      </c>
      <c r="FF79" s="73">
        <v>21</v>
      </c>
      <c r="FG79" s="73">
        <v>7</v>
      </c>
      <c r="FH79" s="73">
        <v>7</v>
      </c>
      <c r="FI79" s="73">
        <v>28</v>
      </c>
      <c r="FJ79" s="75">
        <v>14</v>
      </c>
      <c r="FP79" s="73">
        <v>77</v>
      </c>
      <c r="FQ79" s="73" t="str">
        <v>Winnipeg</v>
      </c>
    </row>
    <row r="80" spans="44:173">
      <c r="AR80" s="72">
        <v>77</v>
      </c>
      <c r="AS80" s="73" t="str">
        <v>Boston</v>
      </c>
      <c r="AT80" s="73" t="str">
        <v>NY Islanders</v>
      </c>
      <c r="AU80" s="73" t="str">
        <v>Detroit</v>
      </c>
      <c r="AV80" s="75" t="str">
        <v>NY Rangers</v>
      </c>
      <c r="AW80" s="72">
        <v>77</v>
      </c>
      <c r="AX80" s="73" t="str">
        <v>Minnesota</v>
      </c>
      <c r="AY80" s="73" t="str">
        <v>Vancouver</v>
      </c>
      <c r="AZ80" s="73" t="str">
        <v>St. Louis</v>
      </c>
      <c r="BA80" s="75" t="str">
        <v>Winnipeg</v>
      </c>
      <c r="CK80" s="72">
        <v>77</v>
      </c>
      <c r="CL80" s="73" t="str">
        <v>Boston</v>
      </c>
      <c r="CM80" s="75" t="str">
        <v>Tampa Bay</v>
      </c>
      <c r="CN80" s="72">
        <v>77</v>
      </c>
      <c r="CO80" s="73" t="str">
        <v>Vancouver</v>
      </c>
      <c r="CP80" s="75" t="str">
        <v>Winnipeg</v>
      </c>
      <c r="DZ80" s="72">
        <v>77</v>
      </c>
      <c r="EA80" s="73" t="str">
        <v>Tampa Bay</v>
      </c>
      <c r="EB80" s="75" t="str">
        <v>Winnipeg</v>
      </c>
      <c r="ET80" s="72">
        <v>69</v>
      </c>
      <c r="EU80" s="73">
        <v>13</v>
      </c>
      <c r="EV80" s="73">
        <v>4</v>
      </c>
      <c r="EW80" s="73">
        <v>19</v>
      </c>
      <c r="EX80" s="73">
        <v>4</v>
      </c>
      <c r="EY80" s="73">
        <v>24</v>
      </c>
      <c r="EZ80" s="73">
        <v>7</v>
      </c>
      <c r="FA80" s="73">
        <v>10</v>
      </c>
      <c r="FB80" s="73">
        <v>6</v>
      </c>
      <c r="FC80" s="73">
        <v>7</v>
      </c>
      <c r="FD80" s="73">
        <v>7</v>
      </c>
      <c r="FE80" s="73">
        <v>14</v>
      </c>
      <c r="FF80" s="73">
        <v>21</v>
      </c>
      <c r="FG80" s="73">
        <v>7</v>
      </c>
      <c r="FH80" s="73">
        <v>7</v>
      </c>
      <c r="FI80" s="73">
        <v>28</v>
      </c>
      <c r="FJ80" s="75">
        <v>14</v>
      </c>
      <c r="FP80" s="73">
        <v>78</v>
      </c>
      <c r="FQ80" s="73" t="str">
        <v>Winnipeg</v>
      </c>
    </row>
    <row r="81" spans="44:173">
      <c r="AR81" s="72">
        <v>78</v>
      </c>
      <c r="AS81" s="73" t="str">
        <v>Boston</v>
      </c>
      <c r="AT81" s="73" t="str">
        <v>NY Islanders</v>
      </c>
      <c r="AU81" s="73" t="str">
        <v>Tampa Bay</v>
      </c>
      <c r="AV81" s="75" t="str">
        <v>Washington</v>
      </c>
      <c r="AW81" s="72">
        <v>78</v>
      </c>
      <c r="AX81" s="73" t="str">
        <v>Minnesota</v>
      </c>
      <c r="AY81" s="73" t="str">
        <v>Vancouver</v>
      </c>
      <c r="AZ81" s="73" t="str">
        <v>St. Louis</v>
      </c>
      <c r="BA81" s="75" t="str">
        <v>Winnipeg</v>
      </c>
      <c r="CK81" s="72">
        <v>78</v>
      </c>
      <c r="CL81" s="73" t="str">
        <v>Boston</v>
      </c>
      <c r="CM81" s="75" t="str">
        <v>Tampa Bay</v>
      </c>
      <c r="CN81" s="72">
        <v>78</v>
      </c>
      <c r="CO81" s="73" t="str">
        <v>Vancouver</v>
      </c>
      <c r="CP81" s="75" t="str">
        <v>Winnipeg</v>
      </c>
      <c r="DZ81" s="72">
        <v>78</v>
      </c>
      <c r="EA81" s="73" t="str">
        <v>Tampa Bay</v>
      </c>
      <c r="EB81" s="75" t="str">
        <v>Winnipeg</v>
      </c>
      <c r="ET81" s="72">
        <v>70</v>
      </c>
      <c r="EU81" s="73">
        <v>5</v>
      </c>
      <c r="EV81" s="73">
        <v>11</v>
      </c>
      <c r="EW81" s="73">
        <v>7</v>
      </c>
      <c r="EX81" s="73">
        <v>6</v>
      </c>
      <c r="EY81" s="73">
        <v>17</v>
      </c>
      <c r="EZ81" s="73">
        <v>24</v>
      </c>
      <c r="FA81" s="73">
        <v>6</v>
      </c>
      <c r="FB81" s="73">
        <v>11</v>
      </c>
      <c r="FC81" s="73">
        <v>7</v>
      </c>
      <c r="FD81" s="73">
        <v>7</v>
      </c>
      <c r="FE81" s="73">
        <v>14</v>
      </c>
      <c r="FF81" s="73">
        <v>21</v>
      </c>
      <c r="FG81" s="73">
        <v>7</v>
      </c>
      <c r="FH81" s="73">
        <v>7</v>
      </c>
      <c r="FI81" s="73">
        <v>28</v>
      </c>
      <c r="FJ81" s="75">
        <v>14</v>
      </c>
      <c r="FP81" s="73">
        <v>79</v>
      </c>
      <c r="FQ81" s="73" t="str">
        <v>Winnipeg</v>
      </c>
    </row>
    <row r="82" spans="44:173">
      <c r="AR82" s="72">
        <v>79</v>
      </c>
      <c r="AS82" s="73" t="str">
        <v>Montreal</v>
      </c>
      <c r="AT82" s="73" t="str">
        <v>Pittsburgh</v>
      </c>
      <c r="AU82" s="73" t="str">
        <v>Tampa Bay</v>
      </c>
      <c r="AV82" s="75" t="str">
        <v>Washington</v>
      </c>
      <c r="AW82" s="72">
        <v>79</v>
      </c>
      <c r="AX82" s="73" t="str">
        <v>Minnesota</v>
      </c>
      <c r="AY82" s="73" t="str">
        <v>Vancouver</v>
      </c>
      <c r="AZ82" s="73" t="str">
        <v>St. Louis</v>
      </c>
      <c r="BA82" s="75" t="str">
        <v>Winnipeg</v>
      </c>
      <c r="CK82" s="72">
        <v>79</v>
      </c>
      <c r="CL82" s="73" t="str">
        <v>NY Islanders</v>
      </c>
      <c r="CM82" s="75" t="str">
        <v>Tampa Bay</v>
      </c>
      <c r="CN82" s="72">
        <v>79</v>
      </c>
      <c r="CO82" s="73" t="str">
        <v>Vancouver</v>
      </c>
      <c r="CP82" s="75" t="str">
        <v>Winnipeg</v>
      </c>
      <c r="DZ82" s="72">
        <v>79</v>
      </c>
      <c r="EA82" s="73" t="str">
        <v>Tampa Bay</v>
      </c>
      <c r="EB82" s="75" t="str">
        <v>Winnipeg</v>
      </c>
      <c r="ET82" s="72">
        <v>71</v>
      </c>
      <c r="EU82" s="73">
        <v>5</v>
      </c>
      <c r="EV82" s="73">
        <v>12</v>
      </c>
      <c r="EW82" s="73">
        <v>25</v>
      </c>
      <c r="EX82" s="73">
        <v>7</v>
      </c>
      <c r="EY82" s="73">
        <v>12</v>
      </c>
      <c r="EZ82" s="73">
        <v>7</v>
      </c>
      <c r="FA82" s="73">
        <v>6</v>
      </c>
      <c r="FB82" s="73">
        <v>15</v>
      </c>
      <c r="FC82" s="73">
        <v>7</v>
      </c>
      <c r="FD82" s="73">
        <v>7</v>
      </c>
      <c r="FE82" s="73">
        <v>14</v>
      </c>
      <c r="FF82" s="73">
        <v>21</v>
      </c>
      <c r="FG82" s="73">
        <v>7</v>
      </c>
      <c r="FH82" s="73">
        <v>7</v>
      </c>
      <c r="FI82" s="73">
        <v>28</v>
      </c>
      <c r="FJ82" s="75">
        <v>14</v>
      </c>
      <c r="FP82" s="73">
        <v>80</v>
      </c>
      <c r="FQ82" s="73" t="str">
        <v>Winnipeg</v>
      </c>
    </row>
    <row r="83" spans="44:173">
      <c r="AR83" s="72">
        <v>80</v>
      </c>
      <c r="AS83" s="73" t="str">
        <v>Boston</v>
      </c>
      <c r="AT83" s="73" t="str">
        <v>NY Islanders</v>
      </c>
      <c r="AU83" s="73" t="str">
        <v>Detroit</v>
      </c>
      <c r="AV83" s="75" t="str">
        <v>Washington</v>
      </c>
      <c r="AW83" s="72">
        <v>80</v>
      </c>
      <c r="AX83" s="73" t="str">
        <v>Minnesota</v>
      </c>
      <c r="AY83" s="73" t="str">
        <v>Vancouver</v>
      </c>
      <c r="AZ83" s="73" t="str">
        <v>St. Louis</v>
      </c>
      <c r="BA83" s="75" t="str">
        <v>Winnipeg</v>
      </c>
      <c r="CK83" s="72">
        <v>80</v>
      </c>
      <c r="CL83" s="73" t="str">
        <v>NY Islanders</v>
      </c>
      <c r="CM83" s="75" t="str">
        <v>Detroit</v>
      </c>
      <c r="CN83" s="72">
        <v>80</v>
      </c>
      <c r="CO83" s="73" t="str">
        <v>Vancouver</v>
      </c>
      <c r="CP83" s="75" t="str">
        <v>Winnipeg</v>
      </c>
      <c r="DZ83" s="72">
        <v>80</v>
      </c>
      <c r="EA83" s="73" t="str">
        <v>Tampa Bay</v>
      </c>
      <c r="EB83" s="75" t="str">
        <v>Winnipeg</v>
      </c>
      <c r="ET83" s="72">
        <v>72</v>
      </c>
      <c r="EU83" s="73">
        <v>12</v>
      </c>
      <c r="EV83" s="73">
        <v>5</v>
      </c>
      <c r="EW83" s="73">
        <v>12</v>
      </c>
      <c r="EX83" s="73">
        <v>6</v>
      </c>
      <c r="EY83" s="73">
        <v>23</v>
      </c>
      <c r="EZ83" s="73">
        <v>5</v>
      </c>
      <c r="FA83" s="73">
        <v>17</v>
      </c>
      <c r="FB83" s="73">
        <v>7</v>
      </c>
      <c r="FC83" s="73">
        <v>7</v>
      </c>
      <c r="FD83" s="73">
        <v>7</v>
      </c>
      <c r="FE83" s="73">
        <v>14</v>
      </c>
      <c r="FF83" s="73">
        <v>21</v>
      </c>
      <c r="FG83" s="73">
        <v>7</v>
      </c>
      <c r="FH83" s="73">
        <v>7</v>
      </c>
      <c r="FI83" s="73">
        <v>28</v>
      </c>
      <c r="FJ83" s="75">
        <v>14</v>
      </c>
      <c r="FP83" s="73">
        <v>81</v>
      </c>
      <c r="FQ83" s="73" t="str">
        <v>Winnipeg</v>
      </c>
    </row>
    <row r="84" spans="44:173">
      <c r="AR84" s="72">
        <v>81</v>
      </c>
      <c r="AS84" s="73" t="str">
        <v>Boston</v>
      </c>
      <c r="AT84" s="73" t="str">
        <v>NY Islanders</v>
      </c>
      <c r="AU84" s="73" t="str">
        <v>Detroit</v>
      </c>
      <c r="AV84" s="75" t="str">
        <v>Washington</v>
      </c>
      <c r="AW84" s="72">
        <v>81</v>
      </c>
      <c r="AX84" s="73" t="str">
        <v>Minnesota</v>
      </c>
      <c r="AY84" s="73" t="str">
        <v>Vancouver</v>
      </c>
      <c r="AZ84" s="73" t="str">
        <v>St. Louis</v>
      </c>
      <c r="BA84" s="75" t="str">
        <v>Winnipeg</v>
      </c>
      <c r="CK84" s="72">
        <v>81</v>
      </c>
      <c r="CL84" s="73" t="str">
        <v>Montreal</v>
      </c>
      <c r="CM84" s="75" t="str">
        <v>Detroit</v>
      </c>
      <c r="CN84" s="72">
        <v>81</v>
      </c>
      <c r="CO84" s="73" t="str">
        <v>Vancouver</v>
      </c>
      <c r="CP84" s="75" t="str">
        <v>Winnipeg</v>
      </c>
      <c r="DZ84" s="72">
        <v>81</v>
      </c>
      <c r="EA84" s="73" t="str">
        <v>Tampa Bay</v>
      </c>
      <c r="EB84" s="75" t="str">
        <v>Winnipeg</v>
      </c>
      <c r="ET84" s="72">
        <v>73</v>
      </c>
      <c r="EU84" s="73">
        <v>7</v>
      </c>
      <c r="EV84" s="73">
        <v>6</v>
      </c>
      <c r="EW84" s="73">
        <v>6</v>
      </c>
      <c r="EX84" s="73">
        <v>27</v>
      </c>
      <c r="EY84" s="73">
        <v>7</v>
      </c>
      <c r="EZ84" s="73">
        <v>18</v>
      </c>
      <c r="FA84" s="73">
        <v>11</v>
      </c>
      <c r="FB84" s="73">
        <v>13</v>
      </c>
      <c r="FC84" s="73">
        <v>7</v>
      </c>
      <c r="FD84" s="73">
        <v>7</v>
      </c>
      <c r="FE84" s="73">
        <v>14</v>
      </c>
      <c r="FF84" s="73">
        <v>21</v>
      </c>
      <c r="FG84" s="73">
        <v>7</v>
      </c>
      <c r="FH84" s="73">
        <v>7</v>
      </c>
      <c r="FI84" s="73">
        <v>28</v>
      </c>
      <c r="FJ84" s="75">
        <v>14</v>
      </c>
      <c r="FP84" s="73">
        <v>82</v>
      </c>
      <c r="FQ84" s="73" t="str">
        <v>Winnipeg</v>
      </c>
    </row>
    <row r="85" spans="44:173">
      <c r="AR85" s="72">
        <v>82</v>
      </c>
      <c r="AS85" s="73" t="str">
        <v>Montreal</v>
      </c>
      <c r="AT85" s="73" t="str">
        <v>NY Islanders</v>
      </c>
      <c r="AU85" s="73" t="str">
        <v>Tampa Bay</v>
      </c>
      <c r="AV85" s="75" t="str">
        <v>NY Rangers</v>
      </c>
      <c r="AW85" s="72">
        <v>82</v>
      </c>
      <c r="AX85" s="73" t="str">
        <v>Minnesota</v>
      </c>
      <c r="AY85" s="73" t="str">
        <v>Vancouver</v>
      </c>
      <c r="AZ85" s="73" t="str">
        <v>St. Louis</v>
      </c>
      <c r="BA85" s="75" t="str">
        <v>Winnipeg</v>
      </c>
      <c r="CK85" s="72">
        <v>82</v>
      </c>
      <c r="CL85" s="73" t="str">
        <v>Pittsburgh</v>
      </c>
      <c r="CM85" s="75" t="str">
        <v>Detroit</v>
      </c>
      <c r="CN85" s="72">
        <v>82</v>
      </c>
      <c r="CO85" s="73" t="str">
        <v>Vancouver</v>
      </c>
      <c r="CP85" s="75" t="str">
        <v>Winnipeg</v>
      </c>
      <c r="DZ85" s="72">
        <v>82</v>
      </c>
      <c r="EA85" s="73" t="str">
        <v>Tampa Bay</v>
      </c>
      <c r="EB85" s="75" t="str">
        <v>Winnipeg</v>
      </c>
      <c r="ET85" s="72">
        <v>74</v>
      </c>
      <c r="EU85" s="73">
        <v>5</v>
      </c>
      <c r="EV85" s="73">
        <v>7</v>
      </c>
      <c r="EW85" s="73">
        <v>23</v>
      </c>
      <c r="EX85" s="73">
        <v>7</v>
      </c>
      <c r="EY85" s="73">
        <v>20</v>
      </c>
      <c r="EZ85" s="73">
        <v>4</v>
      </c>
      <c r="FA85" s="73">
        <v>12</v>
      </c>
      <c r="FB85" s="73">
        <v>11</v>
      </c>
      <c r="FC85" s="73">
        <v>7</v>
      </c>
      <c r="FD85" s="73">
        <v>7</v>
      </c>
      <c r="FE85" s="73">
        <v>14</v>
      </c>
      <c r="FF85" s="73">
        <v>21</v>
      </c>
      <c r="FG85" s="73">
        <v>7</v>
      </c>
      <c r="FH85" s="73">
        <v>7</v>
      </c>
      <c r="FI85" s="73">
        <v>28</v>
      </c>
      <c r="FJ85" s="75">
        <v>14</v>
      </c>
      <c r="FP85" s="73">
        <v>83</v>
      </c>
      <c r="FQ85" s="73" t="str">
        <v>Winnipeg</v>
      </c>
    </row>
    <row r="86" spans="44:173">
      <c r="AR86" s="72">
        <v>83</v>
      </c>
      <c r="AS86" s="73" t="str">
        <v>Montreal</v>
      </c>
      <c r="AT86" s="73" t="str">
        <v>NY Islanders</v>
      </c>
      <c r="AU86" s="73" t="str">
        <v>Tampa Bay</v>
      </c>
      <c r="AV86" s="75" t="str">
        <v>NY Rangers</v>
      </c>
      <c r="AW86" s="72">
        <v>83</v>
      </c>
      <c r="AX86" s="73" t="str">
        <v>Minnesota</v>
      </c>
      <c r="AY86" s="73" t="str">
        <v>Vancouver</v>
      </c>
      <c r="AZ86" s="73" t="str">
        <v>St. Louis</v>
      </c>
      <c r="BA86" s="75" t="str">
        <v>Winnipeg</v>
      </c>
      <c r="CK86" s="72">
        <v>83</v>
      </c>
      <c r="CL86" s="73" t="str">
        <v>NY Islanders</v>
      </c>
      <c r="CM86" s="75" t="str">
        <v>Tampa Bay</v>
      </c>
      <c r="CN86" s="72">
        <v>83</v>
      </c>
      <c r="CO86" s="73" t="str">
        <v>Vancouver</v>
      </c>
      <c r="CP86" s="75" t="str">
        <v>Winnipeg</v>
      </c>
      <c r="DZ86" s="72">
        <v>83</v>
      </c>
      <c r="EA86" s="73" t="str">
        <v>Pittsburgh</v>
      </c>
      <c r="EB86" s="75" t="str">
        <v>Winnipeg</v>
      </c>
      <c r="ET86" s="72">
        <v>75</v>
      </c>
      <c r="EU86" s="73">
        <v>6</v>
      </c>
      <c r="EV86" s="73">
        <v>11</v>
      </c>
      <c r="EW86" s="73">
        <v>23</v>
      </c>
      <c r="EX86" s="73">
        <v>4</v>
      </c>
      <c r="EY86" s="73">
        <v>18</v>
      </c>
      <c r="EZ86" s="73">
        <v>4</v>
      </c>
      <c r="FA86" s="73">
        <v>6</v>
      </c>
      <c r="FB86" s="73">
        <v>13</v>
      </c>
      <c r="FC86" s="73">
        <v>7</v>
      </c>
      <c r="FD86" s="73">
        <v>7</v>
      </c>
      <c r="FE86" s="73">
        <v>14</v>
      </c>
      <c r="FF86" s="73">
        <v>21</v>
      </c>
      <c r="FG86" s="73">
        <v>7</v>
      </c>
      <c r="FH86" s="73">
        <v>7</v>
      </c>
      <c r="FI86" s="73">
        <v>28</v>
      </c>
      <c r="FJ86" s="75">
        <v>14</v>
      </c>
      <c r="FP86" s="73">
        <v>84</v>
      </c>
      <c r="FQ86" s="73" t="str">
        <v>Winnipeg</v>
      </c>
    </row>
    <row r="87" spans="44:173">
      <c r="AR87" s="72">
        <v>84</v>
      </c>
      <c r="AS87" s="73" t="str">
        <v>Montreal</v>
      </c>
      <c r="AT87" s="73" t="str">
        <v>NY Islanders</v>
      </c>
      <c r="AU87" s="73" t="str">
        <v>Tampa Bay</v>
      </c>
      <c r="AV87" s="75" t="str">
        <v>Washington</v>
      </c>
      <c r="AW87" s="72">
        <v>84</v>
      </c>
      <c r="AX87" s="73" t="str">
        <v>Minnesota</v>
      </c>
      <c r="AY87" s="73" t="str">
        <v>Vancouver</v>
      </c>
      <c r="AZ87" s="73" t="str">
        <v>St. Louis</v>
      </c>
      <c r="BA87" s="75" t="str">
        <v>Winnipeg</v>
      </c>
      <c r="CK87" s="72">
        <v>84</v>
      </c>
      <c r="CL87" s="73" t="str">
        <v>Pittsburgh</v>
      </c>
      <c r="CM87" s="75" t="str">
        <v>Detroit</v>
      </c>
      <c r="CN87" s="72">
        <v>84</v>
      </c>
      <c r="CO87" s="73" t="str">
        <v>Vancouver</v>
      </c>
      <c r="CP87" s="75" t="str">
        <v>Winnipeg</v>
      </c>
      <c r="DZ87" s="72">
        <v>84</v>
      </c>
      <c r="EA87" s="73" t="str">
        <v>NY Islanders</v>
      </c>
      <c r="EB87" s="75" t="str">
        <v>Winnipeg</v>
      </c>
      <c r="ET87" s="72">
        <v>76</v>
      </c>
      <c r="EU87" s="73">
        <v>10</v>
      </c>
      <c r="EV87" s="73">
        <v>7</v>
      </c>
      <c r="EW87" s="73">
        <v>7</v>
      </c>
      <c r="EX87" s="73">
        <v>6</v>
      </c>
      <c r="EY87" s="73">
        <v>16</v>
      </c>
      <c r="EZ87" s="73">
        <v>24</v>
      </c>
      <c r="FA87" s="73">
        <v>12</v>
      </c>
      <c r="FB87" s="73">
        <v>5</v>
      </c>
      <c r="FC87" s="73">
        <v>7</v>
      </c>
      <c r="FD87" s="73">
        <v>7</v>
      </c>
      <c r="FE87" s="73">
        <v>14</v>
      </c>
      <c r="FF87" s="73">
        <v>21</v>
      </c>
      <c r="FG87" s="73">
        <v>7</v>
      </c>
      <c r="FH87" s="73">
        <v>7</v>
      </c>
      <c r="FI87" s="73">
        <v>28</v>
      </c>
      <c r="FJ87" s="75">
        <v>14</v>
      </c>
      <c r="FP87" s="73">
        <v>85</v>
      </c>
      <c r="FQ87" s="73" t="str">
        <v>Winnipeg</v>
      </c>
    </row>
    <row r="88" spans="44:173">
      <c r="AR88" s="72">
        <v>85</v>
      </c>
      <c r="AS88" s="73" t="str">
        <v>Boston</v>
      </c>
      <c r="AT88" s="73" t="str">
        <v>NY Islanders</v>
      </c>
      <c r="AU88" s="73" t="str">
        <v>Detroit</v>
      </c>
      <c r="AV88" s="75" t="str">
        <v>NY Rangers</v>
      </c>
      <c r="AW88" s="72">
        <v>85</v>
      </c>
      <c r="AX88" s="73" t="str">
        <v>Minnesota</v>
      </c>
      <c r="AY88" s="73" t="str">
        <v>Vancouver</v>
      </c>
      <c r="AZ88" s="73" t="str">
        <v>St. Louis</v>
      </c>
      <c r="BA88" s="75" t="str">
        <v>Winnipeg</v>
      </c>
      <c r="CK88" s="72">
        <v>85</v>
      </c>
      <c r="CL88" s="73" t="str">
        <v>Pittsburgh</v>
      </c>
      <c r="CM88" s="75" t="str">
        <v>Tampa Bay</v>
      </c>
      <c r="CN88" s="72">
        <v>85</v>
      </c>
      <c r="CO88" s="73" t="str">
        <v>Vancouver</v>
      </c>
      <c r="CP88" s="75" t="str">
        <v>Winnipeg</v>
      </c>
      <c r="DZ88" s="72">
        <v>85</v>
      </c>
      <c r="EA88" s="73" t="str">
        <v>Pittsburgh</v>
      </c>
      <c r="EB88" s="75" t="str">
        <v>Winnipeg</v>
      </c>
      <c r="ET88" s="72">
        <v>77</v>
      </c>
      <c r="EU88" s="73">
        <v>14</v>
      </c>
      <c r="EV88" s="73">
        <v>11</v>
      </c>
      <c r="EW88" s="73">
        <v>15</v>
      </c>
      <c r="EX88" s="73">
        <v>26</v>
      </c>
      <c r="EY88" s="73">
        <v>6</v>
      </c>
      <c r="EZ88" s="73">
        <v>4</v>
      </c>
      <c r="FA88" s="73">
        <v>6</v>
      </c>
      <c r="FB88" s="73">
        <v>7</v>
      </c>
      <c r="FC88" s="73">
        <v>7</v>
      </c>
      <c r="FD88" s="73">
        <v>7</v>
      </c>
      <c r="FE88" s="73">
        <v>14</v>
      </c>
      <c r="FF88" s="73">
        <v>21</v>
      </c>
      <c r="FG88" s="73">
        <v>7</v>
      </c>
      <c r="FH88" s="73">
        <v>7</v>
      </c>
      <c r="FI88" s="73">
        <v>28</v>
      </c>
      <c r="FJ88" s="75">
        <v>14</v>
      </c>
      <c r="FP88" s="73">
        <v>86</v>
      </c>
      <c r="FQ88" s="73" t="str">
        <v>Winnipeg</v>
      </c>
    </row>
    <row r="89" spans="44:173">
      <c r="AR89" s="72">
        <v>86</v>
      </c>
      <c r="AS89" s="73" t="str">
        <v>Boston</v>
      </c>
      <c r="AT89" s="73" t="str">
        <v>NY Islanders</v>
      </c>
      <c r="AU89" s="73" t="str">
        <v>Tampa Bay</v>
      </c>
      <c r="AV89" s="75" t="str">
        <v>NY Rangers</v>
      </c>
      <c r="AW89" s="72">
        <v>86</v>
      </c>
      <c r="AX89" s="73" t="str">
        <v>Minnesota</v>
      </c>
      <c r="AY89" s="73" t="str">
        <v>Vancouver</v>
      </c>
      <c r="AZ89" s="73" t="str">
        <v>St. Louis</v>
      </c>
      <c r="BA89" s="75" t="str">
        <v>Winnipeg</v>
      </c>
      <c r="CK89" s="72">
        <v>86</v>
      </c>
      <c r="CL89" s="73" t="str">
        <v>NY Islanders</v>
      </c>
      <c r="CM89" s="75" t="str">
        <v>Tampa Bay</v>
      </c>
      <c r="CN89" s="72">
        <v>86</v>
      </c>
      <c r="CO89" s="73" t="str">
        <v>Vancouver</v>
      </c>
      <c r="CP89" s="75" t="str">
        <v>Winnipeg</v>
      </c>
      <c r="DZ89" s="72">
        <v>86</v>
      </c>
      <c r="EA89" s="73" t="str">
        <v>Montreal</v>
      </c>
      <c r="EB89" s="75" t="str">
        <v>Winnipeg</v>
      </c>
      <c r="ET89" s="72">
        <v>78</v>
      </c>
      <c r="EU89" s="73">
        <v>5</v>
      </c>
      <c r="EV89" s="73">
        <v>7</v>
      </c>
      <c r="EW89" s="73">
        <v>25</v>
      </c>
      <c r="EX89" s="73">
        <v>19</v>
      </c>
      <c r="EY89" s="73">
        <v>6</v>
      </c>
      <c r="EZ89" s="73">
        <v>7</v>
      </c>
      <c r="FA89" s="73">
        <v>11</v>
      </c>
      <c r="FB89" s="73">
        <v>11</v>
      </c>
      <c r="FC89" s="73">
        <v>7</v>
      </c>
      <c r="FD89" s="73">
        <v>7</v>
      </c>
      <c r="FE89" s="73">
        <v>14</v>
      </c>
      <c r="FF89" s="73">
        <v>21</v>
      </c>
      <c r="FG89" s="73">
        <v>7</v>
      </c>
      <c r="FH89" s="73">
        <v>7</v>
      </c>
      <c r="FI89" s="73">
        <v>28</v>
      </c>
      <c r="FJ89" s="75">
        <v>14</v>
      </c>
      <c r="FP89" s="73">
        <v>87</v>
      </c>
      <c r="FQ89" s="73" t="str">
        <v>Winnipeg</v>
      </c>
    </row>
    <row r="90" spans="44:173">
      <c r="AR90" s="72">
        <v>87</v>
      </c>
      <c r="AS90" s="73" t="str">
        <v>Montreal</v>
      </c>
      <c r="AT90" s="73" t="str">
        <v>Pittsburgh</v>
      </c>
      <c r="AU90" s="73" t="str">
        <v>Tampa Bay</v>
      </c>
      <c r="AV90" s="75" t="str">
        <v>NY Rangers</v>
      </c>
      <c r="AW90" s="72">
        <v>87</v>
      </c>
      <c r="AX90" s="73" t="str">
        <v>Minnesota</v>
      </c>
      <c r="AY90" s="73" t="str">
        <v>Vancouver</v>
      </c>
      <c r="AZ90" s="73" t="str">
        <v>St. Louis</v>
      </c>
      <c r="BA90" s="75" t="str">
        <v>Winnipeg</v>
      </c>
      <c r="CK90" s="72">
        <v>87</v>
      </c>
      <c r="CL90" s="73" t="str">
        <v>Pittsburgh</v>
      </c>
      <c r="CM90" s="75" t="str">
        <v>Tampa Bay</v>
      </c>
      <c r="CN90" s="72">
        <v>87</v>
      </c>
      <c r="CO90" s="73" t="str">
        <v>Vancouver</v>
      </c>
      <c r="CP90" s="75" t="str">
        <v>Winnipeg</v>
      </c>
      <c r="DZ90" s="72">
        <v>87</v>
      </c>
      <c r="EA90" s="73" t="str">
        <v>Washington</v>
      </c>
      <c r="EB90" s="75" t="str">
        <v>Winnipeg</v>
      </c>
      <c r="ET90" s="72">
        <v>79</v>
      </c>
      <c r="EU90" s="73">
        <v>5</v>
      </c>
      <c r="EV90" s="73">
        <v>5</v>
      </c>
      <c r="EW90" s="73">
        <v>25</v>
      </c>
      <c r="EX90" s="73">
        <v>6</v>
      </c>
      <c r="EY90" s="73">
        <v>18</v>
      </c>
      <c r="EZ90" s="73">
        <v>7</v>
      </c>
      <c r="FA90" s="73">
        <v>11</v>
      </c>
      <c r="FB90" s="73">
        <v>12</v>
      </c>
      <c r="FC90" s="73">
        <v>7</v>
      </c>
      <c r="FD90" s="73">
        <v>7</v>
      </c>
      <c r="FE90" s="73">
        <v>14</v>
      </c>
      <c r="FF90" s="73">
        <v>21</v>
      </c>
      <c r="FG90" s="73">
        <v>7</v>
      </c>
      <c r="FH90" s="73">
        <v>7</v>
      </c>
      <c r="FI90" s="73">
        <v>28</v>
      </c>
      <c r="FJ90" s="75">
        <v>14</v>
      </c>
      <c r="FP90" s="73">
        <v>88</v>
      </c>
      <c r="FQ90" s="73" t="str">
        <v>Winnipeg</v>
      </c>
    </row>
    <row r="91" spans="44:173">
      <c r="AR91" s="72">
        <v>88</v>
      </c>
      <c r="AS91" s="73" t="str">
        <v>Montreal</v>
      </c>
      <c r="AT91" s="73" t="str">
        <v>NY Islanders</v>
      </c>
      <c r="AU91" s="73" t="str">
        <v>Tampa Bay</v>
      </c>
      <c r="AV91" s="75" t="str">
        <v>NY Rangers</v>
      </c>
      <c r="AW91" s="72">
        <v>88</v>
      </c>
      <c r="AX91" s="73" t="str">
        <v>Minnesota</v>
      </c>
      <c r="AY91" s="73" t="str">
        <v>Vancouver</v>
      </c>
      <c r="AZ91" s="73" t="str">
        <v>St. Louis</v>
      </c>
      <c r="BA91" s="75" t="str">
        <v>Winnipeg</v>
      </c>
      <c r="CK91" s="72">
        <v>88</v>
      </c>
      <c r="CL91" s="73" t="str">
        <v>NY Islanders</v>
      </c>
      <c r="CM91" s="75" t="str">
        <v>Tampa Bay</v>
      </c>
      <c r="CN91" s="72">
        <v>88</v>
      </c>
      <c r="CO91" s="73" t="str">
        <v>Vancouver</v>
      </c>
      <c r="CP91" s="75" t="str">
        <v>Winnipeg</v>
      </c>
      <c r="DZ91" s="72">
        <v>88</v>
      </c>
      <c r="EA91" s="73" t="str">
        <v>Detroit</v>
      </c>
      <c r="EB91" s="75" t="str">
        <v>Winnipeg</v>
      </c>
      <c r="ET91" s="72">
        <v>80</v>
      </c>
      <c r="EU91" s="73">
        <v>6</v>
      </c>
      <c r="EV91" s="73">
        <v>13</v>
      </c>
      <c r="EW91" s="73">
        <v>18</v>
      </c>
      <c r="EX91" s="73">
        <v>6</v>
      </c>
      <c r="EY91" s="73">
        <v>26</v>
      </c>
      <c r="EZ91" s="73">
        <v>6</v>
      </c>
      <c r="FA91" s="73">
        <v>7</v>
      </c>
      <c r="FB91" s="73">
        <v>13</v>
      </c>
      <c r="FC91" s="73">
        <v>7</v>
      </c>
      <c r="FD91" s="73">
        <v>7</v>
      </c>
      <c r="FE91" s="73">
        <v>14</v>
      </c>
      <c r="FF91" s="73">
        <v>21</v>
      </c>
      <c r="FG91" s="73">
        <v>7</v>
      </c>
      <c r="FH91" s="73">
        <v>7</v>
      </c>
      <c r="FI91" s="73">
        <v>28</v>
      </c>
      <c r="FJ91" s="75">
        <v>14</v>
      </c>
      <c r="FP91" s="73">
        <v>89</v>
      </c>
      <c r="FQ91" s="73" t="str">
        <v>Winnipeg</v>
      </c>
    </row>
    <row r="92" spans="44:173">
      <c r="AR92" s="72">
        <v>89</v>
      </c>
      <c r="AS92" s="73" t="str">
        <v>Montreal</v>
      </c>
      <c r="AT92" s="73" t="str">
        <v>Pittsburgh</v>
      </c>
      <c r="AU92" s="73" t="str">
        <v>Detroit</v>
      </c>
      <c r="AV92" s="75" t="str">
        <v>NY Rangers</v>
      </c>
      <c r="AW92" s="72">
        <v>89</v>
      </c>
      <c r="AX92" s="73" t="str">
        <v>Minnesota</v>
      </c>
      <c r="AY92" s="73" t="str">
        <v>Vancouver</v>
      </c>
      <c r="AZ92" s="73" t="str">
        <v>St. Louis</v>
      </c>
      <c r="BA92" s="75" t="str">
        <v>Winnipeg</v>
      </c>
      <c r="CK92" s="72">
        <v>89</v>
      </c>
      <c r="CL92" s="73" t="str">
        <v>NY Islanders</v>
      </c>
      <c r="CM92" s="75" t="str">
        <v>Tampa Bay</v>
      </c>
      <c r="CN92" s="72">
        <v>89</v>
      </c>
      <c r="CO92" s="73" t="str">
        <v>Vancouver</v>
      </c>
      <c r="CP92" s="75" t="str">
        <v>Winnipeg</v>
      </c>
      <c r="DZ92" s="72">
        <v>89</v>
      </c>
      <c r="EA92" s="73" t="str">
        <v>Tampa Bay</v>
      </c>
      <c r="EB92" s="75" t="str">
        <v>Winnipeg</v>
      </c>
      <c r="ET92" s="72">
        <v>81</v>
      </c>
      <c r="EU92" s="73">
        <v>11</v>
      </c>
      <c r="EV92" s="73">
        <v>22</v>
      </c>
      <c r="EW92" s="73">
        <v>9</v>
      </c>
      <c r="EX92" s="73">
        <v>15</v>
      </c>
      <c r="EY92" s="73">
        <v>6</v>
      </c>
      <c r="EZ92" s="73">
        <v>4</v>
      </c>
      <c r="FA92" s="73">
        <v>5</v>
      </c>
      <c r="FB92" s="73">
        <v>7</v>
      </c>
      <c r="FC92" s="73">
        <v>7</v>
      </c>
      <c r="FD92" s="73">
        <v>7</v>
      </c>
      <c r="FE92" s="73">
        <v>14</v>
      </c>
      <c r="FF92" s="73">
        <v>21</v>
      </c>
      <c r="FG92" s="73">
        <v>7</v>
      </c>
      <c r="FH92" s="73">
        <v>7</v>
      </c>
      <c r="FI92" s="73">
        <v>28</v>
      </c>
      <c r="FJ92" s="75">
        <v>14</v>
      </c>
      <c r="FP92" s="73">
        <v>90</v>
      </c>
      <c r="FQ92" s="73" t="str">
        <v>Winnipeg</v>
      </c>
    </row>
    <row r="93" spans="44:173">
      <c r="AR93" s="72">
        <v>90</v>
      </c>
      <c r="AS93" s="73" t="str">
        <v>Boston</v>
      </c>
      <c r="AT93" s="73" t="str">
        <v>NY Islanders</v>
      </c>
      <c r="AU93" s="73" t="str">
        <v>Detroit</v>
      </c>
      <c r="AV93" s="75" t="str">
        <v>Washington</v>
      </c>
      <c r="AW93" s="72">
        <v>90</v>
      </c>
      <c r="AX93" s="73" t="str">
        <v>Minnesota</v>
      </c>
      <c r="AY93" s="73" t="str">
        <v>Vancouver</v>
      </c>
      <c r="AZ93" s="73" t="str">
        <v>St. Louis</v>
      </c>
      <c r="BA93" s="75" t="str">
        <v>Winnipeg</v>
      </c>
      <c r="CK93" s="72">
        <v>90</v>
      </c>
      <c r="CL93" s="73" t="str">
        <v>Pittsburgh</v>
      </c>
      <c r="CM93" s="75" t="str">
        <v>Tampa Bay</v>
      </c>
      <c r="CN93" s="72">
        <v>90</v>
      </c>
      <c r="CO93" s="73" t="str">
        <v>Vancouver</v>
      </c>
      <c r="CP93" s="75" t="str">
        <v>Winnipeg</v>
      </c>
      <c r="DZ93" s="72">
        <v>90</v>
      </c>
      <c r="EA93" s="73" t="str">
        <v>NY Islanders</v>
      </c>
      <c r="EB93" s="75" t="str">
        <v>Winnipeg</v>
      </c>
      <c r="ET93" s="72">
        <v>82</v>
      </c>
      <c r="EU93" s="73">
        <v>12</v>
      </c>
      <c r="EV93" s="73">
        <v>5</v>
      </c>
      <c r="EW93" s="73">
        <v>5</v>
      </c>
      <c r="EX93" s="73">
        <v>7</v>
      </c>
      <c r="EY93" s="73">
        <v>26</v>
      </c>
      <c r="EZ93" s="73">
        <v>15</v>
      </c>
      <c r="FA93" s="73">
        <v>9</v>
      </c>
      <c r="FB93" s="73">
        <v>6</v>
      </c>
      <c r="FC93" s="73">
        <v>7</v>
      </c>
      <c r="FD93" s="73">
        <v>7</v>
      </c>
      <c r="FE93" s="73">
        <v>14</v>
      </c>
      <c r="FF93" s="73">
        <v>21</v>
      </c>
      <c r="FG93" s="73">
        <v>7</v>
      </c>
      <c r="FH93" s="73">
        <v>7</v>
      </c>
      <c r="FI93" s="73">
        <v>28</v>
      </c>
      <c r="FJ93" s="75">
        <v>14</v>
      </c>
      <c r="FP93" s="73">
        <v>91</v>
      </c>
      <c r="FQ93" s="73" t="str">
        <v>Winnipeg</v>
      </c>
    </row>
    <row r="94" spans="44:173">
      <c r="AR94" s="72">
        <v>91</v>
      </c>
      <c r="AS94" s="73" t="str">
        <v>Boston</v>
      </c>
      <c r="AT94" s="73" t="str">
        <v>Pittsburgh</v>
      </c>
      <c r="AU94" s="73" t="str">
        <v>Tampa Bay</v>
      </c>
      <c r="AV94" s="75" t="str">
        <v>Washington</v>
      </c>
      <c r="AW94" s="72">
        <v>91</v>
      </c>
      <c r="AX94" s="73" t="str">
        <v>Minnesota</v>
      </c>
      <c r="AY94" s="73" t="str">
        <v>Vancouver</v>
      </c>
      <c r="AZ94" s="73" t="str">
        <v>St. Louis</v>
      </c>
      <c r="BA94" s="75" t="str">
        <v>Winnipeg</v>
      </c>
      <c r="CK94" s="72">
        <v>91</v>
      </c>
      <c r="CL94" s="73" t="str">
        <v>Pittsburgh</v>
      </c>
      <c r="CM94" s="75" t="str">
        <v>Tampa Bay</v>
      </c>
      <c r="CN94" s="72">
        <v>91</v>
      </c>
      <c r="CO94" s="73" t="str">
        <v>Vancouver</v>
      </c>
      <c r="CP94" s="75" t="str">
        <v>Winnipeg</v>
      </c>
      <c r="DZ94" s="72">
        <v>91</v>
      </c>
      <c r="EA94" s="73" t="str">
        <v>Tampa Bay</v>
      </c>
      <c r="EB94" s="75" t="str">
        <v>Winnipeg</v>
      </c>
      <c r="ET94" s="72">
        <v>83</v>
      </c>
      <c r="EU94" s="73">
        <v>4</v>
      </c>
      <c r="EV94" s="73">
        <v>6</v>
      </c>
      <c r="EW94" s="73">
        <v>22</v>
      </c>
      <c r="EX94" s="73">
        <v>6</v>
      </c>
      <c r="EY94" s="73">
        <v>16</v>
      </c>
      <c r="EZ94" s="73">
        <v>6</v>
      </c>
      <c r="FA94" s="73">
        <v>10</v>
      </c>
      <c r="FB94" s="73">
        <v>9</v>
      </c>
      <c r="FC94" s="73">
        <v>7</v>
      </c>
      <c r="FD94" s="73">
        <v>7</v>
      </c>
      <c r="FE94" s="73">
        <v>14</v>
      </c>
      <c r="FF94" s="73">
        <v>21</v>
      </c>
      <c r="FG94" s="73">
        <v>7</v>
      </c>
      <c r="FH94" s="73">
        <v>7</v>
      </c>
      <c r="FI94" s="73">
        <v>28</v>
      </c>
      <c r="FJ94" s="75">
        <v>14</v>
      </c>
      <c r="FP94" s="73">
        <v>92</v>
      </c>
      <c r="FQ94" s="73" t="str">
        <v>Winnipeg</v>
      </c>
    </row>
    <row r="95" spans="44:173">
      <c r="AR95" s="72">
        <v>92</v>
      </c>
      <c r="AS95" s="73" t="str">
        <v>Boston</v>
      </c>
      <c r="AT95" s="73" t="str">
        <v>Pittsburgh</v>
      </c>
      <c r="AU95" s="73" t="str">
        <v>Tampa Bay</v>
      </c>
      <c r="AV95" s="75" t="str">
        <v>Washington</v>
      </c>
      <c r="AW95" s="72">
        <v>92</v>
      </c>
      <c r="AX95" s="73" t="str">
        <v>Minnesota</v>
      </c>
      <c r="AY95" s="73" t="str">
        <v>Vancouver</v>
      </c>
      <c r="AZ95" s="73" t="str">
        <v>St. Louis</v>
      </c>
      <c r="BA95" s="75" t="str">
        <v>Winnipeg</v>
      </c>
      <c r="CK95" s="72">
        <v>92</v>
      </c>
      <c r="CL95" s="73" t="str">
        <v>NY Islanders</v>
      </c>
      <c r="CM95" s="75" t="str">
        <v>Tampa Bay</v>
      </c>
      <c r="CN95" s="72">
        <v>92</v>
      </c>
      <c r="CO95" s="73" t="str">
        <v>Vancouver</v>
      </c>
      <c r="CP95" s="75" t="str">
        <v>Winnipeg</v>
      </c>
      <c r="DZ95" s="72">
        <v>92</v>
      </c>
      <c r="EA95" s="73" t="str">
        <v>Pittsburgh</v>
      </c>
      <c r="EB95" s="75" t="str">
        <v>Winnipeg</v>
      </c>
      <c r="ET95" s="72">
        <v>84</v>
      </c>
      <c r="EU95" s="73">
        <v>7</v>
      </c>
      <c r="EV95" s="73">
        <v>7</v>
      </c>
      <c r="EW95" s="73">
        <v>7</v>
      </c>
      <c r="EX95" s="73">
        <v>18</v>
      </c>
      <c r="EY95" s="73">
        <v>6</v>
      </c>
      <c r="EZ95" s="73">
        <v>23</v>
      </c>
      <c r="FA95" s="73">
        <v>11</v>
      </c>
      <c r="FB95" s="73">
        <v>14</v>
      </c>
      <c r="FC95" s="73">
        <v>7</v>
      </c>
      <c r="FD95" s="73">
        <v>7</v>
      </c>
      <c r="FE95" s="73">
        <v>14</v>
      </c>
      <c r="FF95" s="73">
        <v>21</v>
      </c>
      <c r="FG95" s="73">
        <v>7</v>
      </c>
      <c r="FH95" s="73">
        <v>7</v>
      </c>
      <c r="FI95" s="73">
        <v>28</v>
      </c>
      <c r="FJ95" s="75">
        <v>14</v>
      </c>
      <c r="FP95" s="73">
        <v>93</v>
      </c>
      <c r="FQ95" s="73" t="str">
        <v>Winnipeg</v>
      </c>
    </row>
    <row r="96" spans="44:173">
      <c r="AR96" s="72">
        <v>93</v>
      </c>
      <c r="AS96" s="73" t="str">
        <v>Montreal</v>
      </c>
      <c r="AT96" s="73" t="str">
        <v>NY Islanders</v>
      </c>
      <c r="AU96" s="73" t="str">
        <v>Detroit</v>
      </c>
      <c r="AV96" s="75" t="str">
        <v>Washington</v>
      </c>
      <c r="AW96" s="72">
        <v>93</v>
      </c>
      <c r="AX96" s="73" t="str">
        <v>Minnesota</v>
      </c>
      <c r="AY96" s="73" t="str">
        <v>Vancouver</v>
      </c>
      <c r="AZ96" s="73" t="str">
        <v>St. Louis</v>
      </c>
      <c r="BA96" s="75" t="str">
        <v>Winnipeg</v>
      </c>
      <c r="CK96" s="72">
        <v>93</v>
      </c>
      <c r="CL96" s="73" t="str">
        <v>Boston</v>
      </c>
      <c r="CM96" s="75" t="str">
        <v>Tampa Bay</v>
      </c>
      <c r="CN96" s="72">
        <v>93</v>
      </c>
      <c r="CO96" s="73" t="str">
        <v>Vancouver</v>
      </c>
      <c r="CP96" s="75" t="str">
        <v>Winnipeg</v>
      </c>
      <c r="DZ96" s="72">
        <v>93</v>
      </c>
      <c r="EA96" s="73" t="str">
        <v>NY Rangers</v>
      </c>
      <c r="EB96" s="75" t="str">
        <v>Winnipeg</v>
      </c>
      <c r="ET96" s="72">
        <v>85</v>
      </c>
      <c r="EU96" s="73">
        <v>4</v>
      </c>
      <c r="EV96" s="73">
        <v>10</v>
      </c>
      <c r="EW96" s="73">
        <v>20</v>
      </c>
      <c r="EX96" s="73">
        <v>17</v>
      </c>
      <c r="EY96" s="73">
        <v>7</v>
      </c>
      <c r="EZ96" s="73">
        <v>5</v>
      </c>
      <c r="FA96" s="73">
        <v>6</v>
      </c>
      <c r="FB96" s="73">
        <v>10</v>
      </c>
      <c r="FC96" s="73">
        <v>7</v>
      </c>
      <c r="FD96" s="73">
        <v>7</v>
      </c>
      <c r="FE96" s="73">
        <v>14</v>
      </c>
      <c r="FF96" s="73">
        <v>21</v>
      </c>
      <c r="FG96" s="73">
        <v>7</v>
      </c>
      <c r="FH96" s="73">
        <v>7</v>
      </c>
      <c r="FI96" s="73">
        <v>28</v>
      </c>
      <c r="FJ96" s="75">
        <v>14</v>
      </c>
      <c r="FP96" s="73">
        <v>94</v>
      </c>
      <c r="FQ96" s="73" t="str">
        <v>Winnipeg</v>
      </c>
    </row>
    <row r="97" spans="44:173">
      <c r="AR97" s="72">
        <v>94</v>
      </c>
      <c r="AS97" s="73" t="str">
        <v>Montreal</v>
      </c>
      <c r="AT97" s="73" t="str">
        <v>Pittsburgh</v>
      </c>
      <c r="AU97" s="73" t="str">
        <v>Tampa Bay</v>
      </c>
      <c r="AV97" s="75" t="str">
        <v>Washington</v>
      </c>
      <c r="AW97" s="72">
        <v>94</v>
      </c>
      <c r="AX97" s="73" t="str">
        <v>Minnesota</v>
      </c>
      <c r="AY97" s="73" t="str">
        <v>Vancouver</v>
      </c>
      <c r="AZ97" s="73" t="str">
        <v>St. Louis</v>
      </c>
      <c r="BA97" s="75" t="str">
        <v>Winnipeg</v>
      </c>
      <c r="CK97" s="72">
        <v>94</v>
      </c>
      <c r="CL97" s="73" t="str">
        <v>NY Islanders</v>
      </c>
      <c r="CM97" s="75" t="str">
        <v>Tampa Bay</v>
      </c>
      <c r="CN97" s="72">
        <v>94</v>
      </c>
      <c r="CO97" s="73" t="str">
        <v>Vancouver</v>
      </c>
      <c r="CP97" s="75" t="str">
        <v>Winnipeg</v>
      </c>
      <c r="DZ97" s="72">
        <v>94</v>
      </c>
      <c r="EA97" s="73" t="str">
        <v>Tampa Bay</v>
      </c>
      <c r="EB97" s="75" t="str">
        <v>Winnipeg</v>
      </c>
      <c r="ET97" s="72">
        <v>86</v>
      </c>
      <c r="EU97" s="73">
        <v>4</v>
      </c>
      <c r="EV97" s="73">
        <v>6</v>
      </c>
      <c r="EW97" s="73">
        <v>24</v>
      </c>
      <c r="EX97" s="73">
        <v>7</v>
      </c>
      <c r="EY97" s="73">
        <v>18</v>
      </c>
      <c r="EZ97" s="73">
        <v>5</v>
      </c>
      <c r="FA97" s="73">
        <v>11</v>
      </c>
      <c r="FB97" s="73">
        <v>8</v>
      </c>
      <c r="FC97" s="73">
        <v>7</v>
      </c>
      <c r="FD97" s="73">
        <v>7</v>
      </c>
      <c r="FE97" s="73">
        <v>14</v>
      </c>
      <c r="FF97" s="73">
        <v>21</v>
      </c>
      <c r="FG97" s="73">
        <v>7</v>
      </c>
      <c r="FH97" s="73">
        <v>7</v>
      </c>
      <c r="FI97" s="73">
        <v>28</v>
      </c>
      <c r="FJ97" s="75">
        <v>14</v>
      </c>
      <c r="FP97" s="73">
        <v>95</v>
      </c>
      <c r="FQ97" s="73" t="str">
        <v>Winnipeg</v>
      </c>
    </row>
    <row r="98" spans="44:173">
      <c r="AR98" s="72">
        <v>95</v>
      </c>
      <c r="AS98" s="73" t="str">
        <v>Boston</v>
      </c>
      <c r="AT98" s="73" t="str">
        <v>NY Islanders</v>
      </c>
      <c r="AU98" s="73" t="str">
        <v>Tampa Bay</v>
      </c>
      <c r="AV98" s="75" t="str">
        <v>NY Rangers</v>
      </c>
      <c r="AW98" s="72">
        <v>95</v>
      </c>
      <c r="AX98" s="73" t="str">
        <v>Minnesota</v>
      </c>
      <c r="AY98" s="73" t="str">
        <v>Vancouver</v>
      </c>
      <c r="AZ98" s="73" t="str">
        <v>St. Louis</v>
      </c>
      <c r="BA98" s="75" t="str">
        <v>Winnipeg</v>
      </c>
      <c r="CK98" s="72">
        <v>95</v>
      </c>
      <c r="CL98" s="73" t="str">
        <v>Boston</v>
      </c>
      <c r="CM98" s="75" t="str">
        <v>Tampa Bay</v>
      </c>
      <c r="CN98" s="72">
        <v>95</v>
      </c>
      <c r="CO98" s="73" t="str">
        <v>Vancouver</v>
      </c>
      <c r="CP98" s="75" t="str">
        <v>Winnipeg</v>
      </c>
      <c r="DZ98" s="72">
        <v>95</v>
      </c>
      <c r="EA98" s="73" t="str">
        <v>Detroit</v>
      </c>
      <c r="EB98" s="75" t="str">
        <v>Winnipeg</v>
      </c>
      <c r="ET98" s="72">
        <v>87</v>
      </c>
      <c r="EU98" s="73">
        <v>6</v>
      </c>
      <c r="EV98" s="73">
        <v>26</v>
      </c>
      <c r="EW98" s="73">
        <v>12</v>
      </c>
      <c r="EX98" s="73">
        <v>7</v>
      </c>
      <c r="EY98" s="73">
        <v>16</v>
      </c>
      <c r="EZ98" s="73">
        <v>5</v>
      </c>
      <c r="FA98" s="73">
        <v>7</v>
      </c>
      <c r="FB98" s="73">
        <v>10</v>
      </c>
      <c r="FC98" s="73">
        <v>7</v>
      </c>
      <c r="FD98" s="73">
        <v>7</v>
      </c>
      <c r="FE98" s="73">
        <v>14</v>
      </c>
      <c r="FF98" s="73">
        <v>21</v>
      </c>
      <c r="FG98" s="73">
        <v>7</v>
      </c>
      <c r="FH98" s="73">
        <v>7</v>
      </c>
      <c r="FI98" s="73">
        <v>28</v>
      </c>
      <c r="FJ98" s="75">
        <v>14</v>
      </c>
      <c r="FP98" s="73">
        <v>96</v>
      </c>
      <c r="FQ98" s="73" t="str">
        <v>Winnipeg</v>
      </c>
    </row>
    <row r="99" spans="44:173">
      <c r="AR99" s="72">
        <v>96</v>
      </c>
      <c r="AS99" s="73" t="str">
        <v>Boston</v>
      </c>
      <c r="AT99" s="73" t="str">
        <v>NY Islanders</v>
      </c>
      <c r="AU99" s="73" t="str">
        <v>Detroit</v>
      </c>
      <c r="AV99" s="75" t="str">
        <v>Washington</v>
      </c>
      <c r="AW99" s="72">
        <v>96</v>
      </c>
      <c r="AX99" s="73" t="str">
        <v>Minnesota</v>
      </c>
      <c r="AY99" s="73" t="str">
        <v>Vancouver</v>
      </c>
      <c r="AZ99" s="73" t="str">
        <v>St. Louis</v>
      </c>
      <c r="BA99" s="75" t="str">
        <v>Winnipeg</v>
      </c>
      <c r="CK99" s="72">
        <v>96</v>
      </c>
      <c r="CL99" s="73" t="str">
        <v>NY Islanders</v>
      </c>
      <c r="CM99" s="75" t="str">
        <v>Tampa Bay</v>
      </c>
      <c r="CN99" s="72">
        <v>96</v>
      </c>
      <c r="CO99" s="73" t="str">
        <v>Vancouver</v>
      </c>
      <c r="CP99" s="75" t="str">
        <v>Winnipeg</v>
      </c>
      <c r="DZ99" s="72">
        <v>96</v>
      </c>
      <c r="EA99" s="73" t="str">
        <v>Tampa Bay</v>
      </c>
      <c r="EB99" s="75" t="str">
        <v>Winnipeg</v>
      </c>
      <c r="ET99" s="72">
        <v>88</v>
      </c>
      <c r="EU99" s="73">
        <v>12</v>
      </c>
      <c r="EV99" s="73">
        <v>5</v>
      </c>
      <c r="EW99" s="73">
        <v>14</v>
      </c>
      <c r="EX99" s="73">
        <v>7</v>
      </c>
      <c r="EY99" s="73">
        <v>26</v>
      </c>
      <c r="EZ99" s="73">
        <v>4</v>
      </c>
      <c r="FA99" s="73">
        <v>9</v>
      </c>
      <c r="FB99" s="73">
        <v>6</v>
      </c>
      <c r="FC99" s="73">
        <v>7</v>
      </c>
      <c r="FD99" s="73">
        <v>7</v>
      </c>
      <c r="FE99" s="73">
        <v>14</v>
      </c>
      <c r="FF99" s="73">
        <v>21</v>
      </c>
      <c r="FG99" s="73">
        <v>7</v>
      </c>
      <c r="FH99" s="73">
        <v>7</v>
      </c>
      <c r="FI99" s="73">
        <v>28</v>
      </c>
      <c r="FJ99" s="75">
        <v>14</v>
      </c>
      <c r="FP99" s="73">
        <v>97</v>
      </c>
      <c r="FQ99" s="73" t="str">
        <v>Winnipeg</v>
      </c>
    </row>
    <row r="100" spans="44:173">
      <c r="AR100" s="72">
        <v>97</v>
      </c>
      <c r="AS100" s="73" t="str">
        <v>Boston</v>
      </c>
      <c r="AT100" s="73" t="str">
        <v>NY Islanders</v>
      </c>
      <c r="AU100" s="73" t="str">
        <v>Tampa Bay</v>
      </c>
      <c r="AV100" s="75" t="str">
        <v>NY Rangers</v>
      </c>
      <c r="AW100" s="72">
        <v>97</v>
      </c>
      <c r="AX100" s="73" t="str">
        <v>Minnesota</v>
      </c>
      <c r="AY100" s="73" t="str">
        <v>Vancouver</v>
      </c>
      <c r="AZ100" s="73" t="str">
        <v>St. Louis</v>
      </c>
      <c r="BA100" s="75" t="str">
        <v>Winnipeg</v>
      </c>
      <c r="CK100" s="72">
        <v>97</v>
      </c>
      <c r="CL100" s="73" t="str">
        <v>Pittsburgh</v>
      </c>
      <c r="CM100" s="75" t="str">
        <v>Tampa Bay</v>
      </c>
      <c r="CN100" s="72">
        <v>97</v>
      </c>
      <c r="CO100" s="73" t="str">
        <v>Vancouver</v>
      </c>
      <c r="CP100" s="75" t="str">
        <v>Winnipeg</v>
      </c>
      <c r="DZ100" s="72">
        <v>97</v>
      </c>
      <c r="EA100" s="73" t="str">
        <v>Tampa Bay</v>
      </c>
      <c r="EB100" s="75" t="str">
        <v>Winnipeg</v>
      </c>
      <c r="ET100" s="72">
        <v>89</v>
      </c>
      <c r="EU100" s="73">
        <v>5</v>
      </c>
      <c r="EV100" s="73">
        <v>7</v>
      </c>
      <c r="EW100" s="73">
        <v>24</v>
      </c>
      <c r="EX100" s="73">
        <v>16</v>
      </c>
      <c r="EY100" s="73">
        <v>4</v>
      </c>
      <c r="EZ100" s="73">
        <v>5</v>
      </c>
      <c r="FA100" s="73">
        <v>12</v>
      </c>
      <c r="FB100" s="73">
        <v>10</v>
      </c>
      <c r="FC100" s="73">
        <v>7</v>
      </c>
      <c r="FD100" s="73">
        <v>7</v>
      </c>
      <c r="FE100" s="73">
        <v>14</v>
      </c>
      <c r="FF100" s="73">
        <v>21</v>
      </c>
      <c r="FG100" s="73">
        <v>7</v>
      </c>
      <c r="FH100" s="73">
        <v>7</v>
      </c>
      <c r="FI100" s="73">
        <v>28</v>
      </c>
      <c r="FJ100" s="75">
        <v>14</v>
      </c>
      <c r="FP100" s="73">
        <v>98</v>
      </c>
      <c r="FQ100" s="73" t="str">
        <v>Winnipeg</v>
      </c>
    </row>
    <row r="101" spans="44:173">
      <c r="AR101" s="72">
        <v>98</v>
      </c>
      <c r="AS101" s="73" t="str">
        <v>Boston</v>
      </c>
      <c r="AT101" s="73" t="str">
        <v>Pittsburgh</v>
      </c>
      <c r="AU101" s="73" t="str">
        <v>Tampa Bay</v>
      </c>
      <c r="AV101" s="75" t="str">
        <v>NY Rangers</v>
      </c>
      <c r="AW101" s="72">
        <v>98</v>
      </c>
      <c r="AX101" s="73" t="str">
        <v>Minnesota</v>
      </c>
      <c r="AY101" s="73" t="str">
        <v>Vancouver</v>
      </c>
      <c r="AZ101" s="73" t="str">
        <v>St. Louis</v>
      </c>
      <c r="BA101" s="75" t="str">
        <v>Winnipeg</v>
      </c>
      <c r="CK101" s="72">
        <v>98</v>
      </c>
      <c r="CL101" s="73" t="str">
        <v>Pittsburgh</v>
      </c>
      <c r="CM101" s="75" t="str">
        <v>Detroit</v>
      </c>
      <c r="CN101" s="72">
        <v>98</v>
      </c>
      <c r="CO101" s="73" t="str">
        <v>Vancouver</v>
      </c>
      <c r="CP101" s="75" t="str">
        <v>Winnipeg</v>
      </c>
      <c r="DZ101" s="72">
        <v>98</v>
      </c>
      <c r="EA101" s="73" t="str">
        <v>Detroit</v>
      </c>
      <c r="EB101" s="75" t="str">
        <v>Winnipeg</v>
      </c>
      <c r="ET101" s="72">
        <v>90</v>
      </c>
      <c r="EU101" s="73">
        <v>5</v>
      </c>
      <c r="EV101" s="73">
        <v>10</v>
      </c>
      <c r="EW101" s="73">
        <v>23</v>
      </c>
      <c r="EX101" s="73">
        <v>7</v>
      </c>
      <c r="EY101" s="73">
        <v>14</v>
      </c>
      <c r="EZ101" s="73">
        <v>4</v>
      </c>
      <c r="FA101" s="73">
        <v>5</v>
      </c>
      <c r="FB101" s="73">
        <v>19</v>
      </c>
      <c r="FC101" s="73">
        <v>7</v>
      </c>
      <c r="FD101" s="73">
        <v>7</v>
      </c>
      <c r="FE101" s="73">
        <v>14</v>
      </c>
      <c r="FF101" s="73">
        <v>21</v>
      </c>
      <c r="FG101" s="73">
        <v>7</v>
      </c>
      <c r="FH101" s="73">
        <v>7</v>
      </c>
      <c r="FI101" s="73">
        <v>28</v>
      </c>
      <c r="FJ101" s="75">
        <v>14</v>
      </c>
      <c r="FP101" s="73">
        <v>99</v>
      </c>
      <c r="FQ101" s="73" t="str">
        <v>Winnipeg</v>
      </c>
    </row>
    <row r="102" spans="44:173">
      <c r="AR102" s="72">
        <v>99</v>
      </c>
      <c r="AS102" s="73" t="str">
        <v>Boston</v>
      </c>
      <c r="AT102" s="73" t="str">
        <v>NY Islanders</v>
      </c>
      <c r="AU102" s="73" t="str">
        <v>Tampa Bay</v>
      </c>
      <c r="AV102" s="75" t="str">
        <v>NY Rangers</v>
      </c>
      <c r="AW102" s="72">
        <v>99</v>
      </c>
      <c r="AX102" s="73" t="str">
        <v>Minnesota</v>
      </c>
      <c r="AY102" s="73" t="str">
        <v>Vancouver</v>
      </c>
      <c r="AZ102" s="73" t="str">
        <v>St. Louis</v>
      </c>
      <c r="BA102" s="75" t="str">
        <v>Winnipeg</v>
      </c>
      <c r="CK102" s="72">
        <v>99</v>
      </c>
      <c r="CL102" s="73" t="str">
        <v>NY Islanders</v>
      </c>
      <c r="CM102" s="75" t="str">
        <v>Detroit</v>
      </c>
      <c r="CN102" s="72">
        <v>99</v>
      </c>
      <c r="CO102" s="73" t="str">
        <v>Vancouver</v>
      </c>
      <c r="CP102" s="75" t="str">
        <v>Winnipeg</v>
      </c>
      <c r="DZ102" s="72">
        <v>99</v>
      </c>
      <c r="EA102" s="73" t="str">
        <v>Detroit</v>
      </c>
      <c r="EB102" s="75" t="str">
        <v>Winnipeg</v>
      </c>
      <c r="ET102" s="72">
        <v>91</v>
      </c>
      <c r="EU102" s="73">
        <v>6</v>
      </c>
      <c r="EV102" s="73">
        <v>6</v>
      </c>
      <c r="EW102" s="73">
        <v>22</v>
      </c>
      <c r="EX102" s="73">
        <v>4</v>
      </c>
      <c r="EY102" s="73">
        <v>17</v>
      </c>
      <c r="EZ102" s="73">
        <v>4</v>
      </c>
      <c r="FA102" s="73">
        <v>10</v>
      </c>
      <c r="FB102" s="73">
        <v>12</v>
      </c>
      <c r="FC102" s="73">
        <v>7</v>
      </c>
      <c r="FD102" s="73">
        <v>7</v>
      </c>
      <c r="FE102" s="73">
        <v>14</v>
      </c>
      <c r="FF102" s="73">
        <v>21</v>
      </c>
      <c r="FG102" s="73">
        <v>7</v>
      </c>
      <c r="FH102" s="73">
        <v>7</v>
      </c>
      <c r="FI102" s="73">
        <v>28</v>
      </c>
      <c r="FJ102" s="75">
        <v>14</v>
      </c>
      <c r="FP102" s="73">
        <v>100</v>
      </c>
      <c r="FQ102" s="73" t="str">
        <v>Winnipeg</v>
      </c>
    </row>
    <row r="103" spans="44:173" ht="15.75" thickBot="1">
      <c r="AR103" s="71">
        <v>100</v>
      </c>
      <c r="AS103" s="76" t="str">
        <v>Boston</v>
      </c>
      <c r="AT103" s="76" t="str">
        <v>Pittsburgh</v>
      </c>
      <c r="AU103" s="76" t="str">
        <v>Tampa Bay</v>
      </c>
      <c r="AV103" s="77" t="str">
        <v>Washington</v>
      </c>
      <c r="AW103" s="71">
        <v>100</v>
      </c>
      <c r="AX103" s="76" t="str">
        <v>Minnesota</v>
      </c>
      <c r="AY103" s="76" t="str">
        <v>Vancouver</v>
      </c>
      <c r="AZ103" s="76" t="str">
        <v>St. Louis</v>
      </c>
      <c r="BA103" s="77" t="str">
        <v>Winnipeg</v>
      </c>
      <c r="CK103" s="71">
        <v>100</v>
      </c>
      <c r="CL103" s="76" t="str">
        <v>Pittsburgh</v>
      </c>
      <c r="CM103" s="77" t="str">
        <v>Detroit</v>
      </c>
      <c r="CN103" s="71">
        <v>100</v>
      </c>
      <c r="CO103" s="76" t="str">
        <v>Vancouver</v>
      </c>
      <c r="CP103" s="77" t="str">
        <v>Winnipeg</v>
      </c>
      <c r="DZ103" s="72">
        <v>100</v>
      </c>
      <c r="EA103" s="73" t="str">
        <v>Montreal</v>
      </c>
      <c r="EB103" s="75" t="str">
        <v>Winnipeg</v>
      </c>
      <c r="ET103" s="72">
        <v>92</v>
      </c>
      <c r="EU103" s="73">
        <v>7</v>
      </c>
      <c r="EV103" s="73">
        <v>11</v>
      </c>
      <c r="EW103" s="73">
        <v>22</v>
      </c>
      <c r="EX103" s="73">
        <v>11</v>
      </c>
      <c r="EY103" s="73">
        <v>5</v>
      </c>
      <c r="EZ103" s="73">
        <v>7</v>
      </c>
      <c r="FA103" s="73">
        <v>7</v>
      </c>
      <c r="FB103" s="73">
        <v>17</v>
      </c>
      <c r="FC103" s="73">
        <v>7</v>
      </c>
      <c r="FD103" s="73">
        <v>7</v>
      </c>
      <c r="FE103" s="73">
        <v>14</v>
      </c>
      <c r="FF103" s="73">
        <v>21</v>
      </c>
      <c r="FG103" s="73">
        <v>7</v>
      </c>
      <c r="FH103" s="73">
        <v>7</v>
      </c>
      <c r="FI103" s="73">
        <v>28</v>
      </c>
      <c r="FJ103" s="75">
        <v>14</v>
      </c>
      <c r="FP103" s="73">
        <v>101</v>
      </c>
      <c r="FQ103" s="73" t="str">
        <v>Winnipeg</v>
      </c>
    </row>
    <row r="104" spans="44:173">
      <c r="DZ104" s="72">
        <v>101</v>
      </c>
      <c r="EA104" s="73" t="str">
        <v>Boston</v>
      </c>
      <c r="EB104" s="75" t="str">
        <v>Winnipeg</v>
      </c>
      <c r="ET104" s="72">
        <v>93</v>
      </c>
      <c r="EU104" s="73">
        <v>5</v>
      </c>
      <c r="EV104" s="73">
        <v>4</v>
      </c>
      <c r="EW104" s="73">
        <v>16</v>
      </c>
      <c r="EX104" s="73">
        <v>6</v>
      </c>
      <c r="EY104" s="73">
        <v>26</v>
      </c>
      <c r="EZ104" s="73">
        <v>4</v>
      </c>
      <c r="FA104" s="73">
        <v>10</v>
      </c>
      <c r="FB104" s="73">
        <v>12</v>
      </c>
      <c r="FC104" s="73">
        <v>7</v>
      </c>
      <c r="FD104" s="73">
        <v>7</v>
      </c>
      <c r="FE104" s="73">
        <v>14</v>
      </c>
      <c r="FF104" s="73">
        <v>21</v>
      </c>
      <c r="FG104" s="73">
        <v>7</v>
      </c>
      <c r="FH104" s="73">
        <v>7</v>
      </c>
      <c r="FI104" s="73">
        <v>28</v>
      </c>
      <c r="FJ104" s="75">
        <v>14</v>
      </c>
      <c r="FP104" s="73">
        <v>102</v>
      </c>
      <c r="FQ104" s="73" t="str">
        <v>Winnipeg</v>
      </c>
    </row>
    <row r="105" spans="44:173">
      <c r="DZ105" s="72">
        <v>102</v>
      </c>
      <c r="EA105" s="73" t="str">
        <v>Detroit</v>
      </c>
      <c r="EB105" s="75" t="str">
        <v>Winnipeg</v>
      </c>
      <c r="ET105" s="72">
        <v>94</v>
      </c>
      <c r="EU105" s="73">
        <v>5</v>
      </c>
      <c r="EV105" s="73">
        <v>9</v>
      </c>
      <c r="EW105" s="73">
        <v>21</v>
      </c>
      <c r="EX105" s="73">
        <v>7</v>
      </c>
      <c r="EY105" s="73">
        <v>13</v>
      </c>
      <c r="EZ105" s="73">
        <v>5</v>
      </c>
      <c r="FA105" s="73">
        <v>5</v>
      </c>
      <c r="FB105" s="73">
        <v>16</v>
      </c>
      <c r="FC105" s="73">
        <v>7</v>
      </c>
      <c r="FD105" s="73">
        <v>7</v>
      </c>
      <c r="FE105" s="73">
        <v>14</v>
      </c>
      <c r="FF105" s="73">
        <v>21</v>
      </c>
      <c r="FG105" s="73">
        <v>7</v>
      </c>
      <c r="FH105" s="73">
        <v>7</v>
      </c>
      <c r="FI105" s="73">
        <v>28</v>
      </c>
      <c r="FJ105" s="75">
        <v>14</v>
      </c>
      <c r="FP105" s="73">
        <v>103</v>
      </c>
      <c r="FQ105" s="73" t="str">
        <v>Winnipeg</v>
      </c>
    </row>
    <row r="106" spans="44:173">
      <c r="DZ106" s="72">
        <v>103</v>
      </c>
      <c r="EA106" s="73" t="str">
        <v>Tampa Bay</v>
      </c>
      <c r="EB106" s="75" t="str">
        <v>Winnipeg</v>
      </c>
      <c r="ET106" s="72">
        <v>95</v>
      </c>
      <c r="EU106" s="73">
        <v>4</v>
      </c>
      <c r="EV106" s="73">
        <v>5</v>
      </c>
      <c r="EW106" s="73">
        <v>7</v>
      </c>
      <c r="EX106" s="73">
        <v>24</v>
      </c>
      <c r="EY106" s="73">
        <v>6</v>
      </c>
      <c r="EZ106" s="73">
        <v>15</v>
      </c>
      <c r="FA106" s="73">
        <v>9</v>
      </c>
      <c r="FB106" s="73">
        <v>11</v>
      </c>
      <c r="FC106" s="73">
        <v>7</v>
      </c>
      <c r="FD106" s="73">
        <v>7</v>
      </c>
      <c r="FE106" s="73">
        <v>14</v>
      </c>
      <c r="FF106" s="73">
        <v>21</v>
      </c>
      <c r="FG106" s="73">
        <v>7</v>
      </c>
      <c r="FH106" s="73">
        <v>7</v>
      </c>
      <c r="FI106" s="73">
        <v>28</v>
      </c>
      <c r="FJ106" s="75">
        <v>14</v>
      </c>
      <c r="FP106" s="73">
        <v>104</v>
      </c>
      <c r="FQ106" s="73" t="str">
        <v>Winnipeg</v>
      </c>
    </row>
    <row r="107" spans="44:173">
      <c r="DZ107" s="72">
        <v>104</v>
      </c>
      <c r="EA107" s="73" t="str">
        <v>Tampa Bay</v>
      </c>
      <c r="EB107" s="75" t="str">
        <v>Winnipeg</v>
      </c>
      <c r="ET107" s="72">
        <v>96</v>
      </c>
      <c r="EU107" s="73">
        <v>5</v>
      </c>
      <c r="EV107" s="73">
        <v>12</v>
      </c>
      <c r="EW107" s="73">
        <v>7</v>
      </c>
      <c r="EX107" s="73">
        <v>19</v>
      </c>
      <c r="EY107" s="73">
        <v>6</v>
      </c>
      <c r="EZ107" s="73">
        <v>27</v>
      </c>
      <c r="FA107" s="73">
        <v>6</v>
      </c>
      <c r="FB107" s="73">
        <v>11</v>
      </c>
      <c r="FC107" s="73">
        <v>7</v>
      </c>
      <c r="FD107" s="73">
        <v>7</v>
      </c>
      <c r="FE107" s="73">
        <v>14</v>
      </c>
      <c r="FF107" s="73">
        <v>21</v>
      </c>
      <c r="FG107" s="73">
        <v>7</v>
      </c>
      <c r="FH107" s="73">
        <v>7</v>
      </c>
      <c r="FI107" s="73">
        <v>28</v>
      </c>
      <c r="FJ107" s="75">
        <v>14</v>
      </c>
      <c r="FP107" s="73">
        <v>105</v>
      </c>
      <c r="FQ107" s="73" t="str">
        <v>Winnipeg</v>
      </c>
    </row>
    <row r="108" spans="44:173">
      <c r="DZ108" s="72">
        <v>105</v>
      </c>
      <c r="EA108" s="73" t="str">
        <v>Tampa Bay</v>
      </c>
      <c r="EB108" s="75" t="str">
        <v>Winnipeg</v>
      </c>
      <c r="ET108" s="72">
        <v>97</v>
      </c>
      <c r="EU108" s="73">
        <v>5</v>
      </c>
      <c r="EV108" s="73">
        <v>4</v>
      </c>
      <c r="EW108" s="73">
        <v>7</v>
      </c>
      <c r="EX108" s="73">
        <v>17</v>
      </c>
      <c r="EY108" s="73">
        <v>5</v>
      </c>
      <c r="EZ108" s="73">
        <v>26</v>
      </c>
      <c r="FA108" s="73">
        <v>9</v>
      </c>
      <c r="FB108" s="73">
        <v>10</v>
      </c>
      <c r="FC108" s="73">
        <v>7</v>
      </c>
      <c r="FD108" s="73">
        <v>7</v>
      </c>
      <c r="FE108" s="73">
        <v>14</v>
      </c>
      <c r="FF108" s="73">
        <v>21</v>
      </c>
      <c r="FG108" s="73">
        <v>7</v>
      </c>
      <c r="FH108" s="73">
        <v>7</v>
      </c>
      <c r="FI108" s="73">
        <v>28</v>
      </c>
      <c r="FJ108" s="75">
        <v>14</v>
      </c>
      <c r="FP108" s="73">
        <v>106</v>
      </c>
      <c r="FQ108" s="73" t="str">
        <v>Winnipeg</v>
      </c>
    </row>
    <row r="109" spans="44:173">
      <c r="DZ109" s="72">
        <v>106</v>
      </c>
      <c r="EA109" s="73" t="str">
        <v>NY Islanders</v>
      </c>
      <c r="EB109" s="75" t="str">
        <v>Winnipeg</v>
      </c>
      <c r="ET109" s="72">
        <v>98</v>
      </c>
      <c r="EU109" s="73">
        <v>18</v>
      </c>
      <c r="EV109" s="73">
        <v>7</v>
      </c>
      <c r="EW109" s="73">
        <v>24</v>
      </c>
      <c r="EX109" s="73">
        <v>7</v>
      </c>
      <c r="EY109" s="73">
        <v>13</v>
      </c>
      <c r="EZ109" s="73">
        <v>7</v>
      </c>
      <c r="FA109" s="73">
        <v>12</v>
      </c>
      <c r="FB109" s="73">
        <v>7</v>
      </c>
      <c r="FC109" s="73">
        <v>7</v>
      </c>
      <c r="FD109" s="73">
        <v>7</v>
      </c>
      <c r="FE109" s="73">
        <v>14</v>
      </c>
      <c r="FF109" s="73">
        <v>21</v>
      </c>
      <c r="FG109" s="73">
        <v>7</v>
      </c>
      <c r="FH109" s="73">
        <v>7</v>
      </c>
      <c r="FI109" s="73">
        <v>28</v>
      </c>
      <c r="FJ109" s="75">
        <v>14</v>
      </c>
      <c r="FP109" s="73">
        <v>107</v>
      </c>
      <c r="FQ109" s="73" t="str">
        <v>Winnipeg</v>
      </c>
    </row>
    <row r="110" spans="44:173">
      <c r="DZ110" s="72">
        <v>107</v>
      </c>
      <c r="EA110" s="73" t="str">
        <v>NY Islanders</v>
      </c>
      <c r="EB110" s="75" t="str">
        <v>Winnipeg</v>
      </c>
      <c r="ET110" s="72">
        <v>99</v>
      </c>
      <c r="EU110" s="73">
        <v>5</v>
      </c>
      <c r="EV110" s="73">
        <v>12</v>
      </c>
      <c r="EW110" s="73">
        <v>7</v>
      </c>
      <c r="EX110" s="73">
        <v>7</v>
      </c>
      <c r="EY110" s="73">
        <v>24</v>
      </c>
      <c r="EZ110" s="73">
        <v>17</v>
      </c>
      <c r="FA110" s="73">
        <v>7</v>
      </c>
      <c r="FB110" s="73">
        <v>10</v>
      </c>
      <c r="FC110" s="73">
        <v>7</v>
      </c>
      <c r="FD110" s="73">
        <v>7</v>
      </c>
      <c r="FE110" s="73">
        <v>14</v>
      </c>
      <c r="FF110" s="73">
        <v>21</v>
      </c>
      <c r="FG110" s="73">
        <v>7</v>
      </c>
      <c r="FH110" s="73">
        <v>7</v>
      </c>
      <c r="FI110" s="73">
        <v>28</v>
      </c>
      <c r="FJ110" s="75">
        <v>14</v>
      </c>
      <c r="FP110" s="73">
        <v>108</v>
      </c>
      <c r="FQ110" s="73" t="str">
        <v>Winnipeg</v>
      </c>
    </row>
    <row r="111" spans="44:173">
      <c r="DZ111" s="72">
        <v>108</v>
      </c>
      <c r="EA111" s="73" t="str">
        <v>Tampa Bay</v>
      </c>
      <c r="EB111" s="75" t="str">
        <v>Winnipeg</v>
      </c>
      <c r="ET111" s="72">
        <v>100</v>
      </c>
      <c r="EU111" s="73">
        <v>14</v>
      </c>
      <c r="EV111" s="73">
        <v>9</v>
      </c>
      <c r="EW111" s="73">
        <v>23</v>
      </c>
      <c r="EX111" s="73">
        <v>4</v>
      </c>
      <c r="EY111" s="73">
        <v>16</v>
      </c>
      <c r="EZ111" s="73">
        <v>6</v>
      </c>
      <c r="FA111" s="73">
        <v>4</v>
      </c>
      <c r="FB111" s="73">
        <v>7</v>
      </c>
      <c r="FC111" s="73">
        <v>7</v>
      </c>
      <c r="FD111" s="73">
        <v>7</v>
      </c>
      <c r="FE111" s="73">
        <v>14</v>
      </c>
      <c r="FF111" s="73">
        <v>21</v>
      </c>
      <c r="FG111" s="73">
        <v>7</v>
      </c>
      <c r="FH111" s="73">
        <v>7</v>
      </c>
      <c r="FI111" s="73">
        <v>28</v>
      </c>
      <c r="FJ111" s="75">
        <v>14</v>
      </c>
      <c r="FP111" s="73">
        <v>109</v>
      </c>
      <c r="FQ111" s="73" t="str">
        <v>Winnipeg</v>
      </c>
    </row>
    <row r="112" spans="44:173" ht="15.75" thickBot="1">
      <c r="DZ112" s="72">
        <v>109</v>
      </c>
      <c r="EA112" s="73" t="str">
        <v>Tampa Bay</v>
      </c>
      <c r="EB112" s="75" t="str">
        <v>Winnipeg</v>
      </c>
      <c r="ET112" s="71" t="s">
        <v>193</v>
      </c>
      <c r="EU112" s="76">
        <f ca="1">AVERAGE(EU12:EU111)</f>
        <v>7.88</v>
      </c>
      <c r="EV112" s="76">
        <f t="shared" ref="EV112:FJ112" ca="1" si="145">AVERAGE(EV12:EV111)</f>
        <v>8.98</v>
      </c>
      <c r="EW112" s="76">
        <f t="shared" ca="1" si="145"/>
        <v>16.52</v>
      </c>
      <c r="EX112" s="76">
        <f t="shared" ca="1" si="145"/>
        <v>10.81</v>
      </c>
      <c r="EY112" s="76">
        <f t="shared" ca="1" si="145"/>
        <v>13.14</v>
      </c>
      <c r="EZ112" s="76">
        <f t="shared" ca="1" si="145"/>
        <v>9.92</v>
      </c>
      <c r="FA112" s="76">
        <f t="shared" ca="1" si="145"/>
        <v>8.84</v>
      </c>
      <c r="FB112" s="76">
        <f t="shared" ca="1" si="145"/>
        <v>11.05</v>
      </c>
      <c r="FC112" s="76">
        <f t="shared" ca="1" si="145"/>
        <v>7</v>
      </c>
      <c r="FD112" s="76">
        <f t="shared" ca="1" si="145"/>
        <v>7</v>
      </c>
      <c r="FE112" s="76">
        <f t="shared" ca="1" si="145"/>
        <v>14</v>
      </c>
      <c r="FF112" s="76">
        <f t="shared" ca="1" si="145"/>
        <v>21</v>
      </c>
      <c r="FG112" s="76">
        <f t="shared" ca="1" si="145"/>
        <v>7</v>
      </c>
      <c r="FH112" s="76">
        <f t="shared" ca="1" si="145"/>
        <v>7</v>
      </c>
      <c r="FI112" s="76">
        <f t="shared" ca="1" si="145"/>
        <v>28</v>
      </c>
      <c r="FJ112" s="77">
        <f t="shared" ca="1" si="145"/>
        <v>14</v>
      </c>
      <c r="FP112" s="73">
        <v>110</v>
      </c>
      <c r="FQ112" s="73" t="str">
        <v>Winnipeg</v>
      </c>
    </row>
    <row r="113" spans="130:173">
      <c r="DZ113" s="72">
        <v>110</v>
      </c>
      <c r="EA113" s="73" t="str">
        <v>Tampa Bay</v>
      </c>
      <c r="EB113" s="75" t="str">
        <v>Winnipeg</v>
      </c>
      <c r="FP113" s="73">
        <v>111</v>
      </c>
      <c r="FQ113" s="73" t="str">
        <v>Winnipeg</v>
      </c>
    </row>
    <row r="114" spans="130:173">
      <c r="DZ114" s="72">
        <v>111</v>
      </c>
      <c r="EA114" s="73" t="str">
        <v>Tampa Bay</v>
      </c>
      <c r="EB114" s="75" t="str">
        <v>Winnipeg</v>
      </c>
      <c r="FP114" s="73">
        <v>112</v>
      </c>
      <c r="FQ114" s="73" t="str">
        <v>Winnipeg</v>
      </c>
    </row>
    <row r="115" spans="130:173">
      <c r="DZ115" s="72">
        <v>112</v>
      </c>
      <c r="EA115" s="73" t="str">
        <v>Tampa Bay</v>
      </c>
      <c r="EB115" s="75" t="str">
        <v>Winnipeg</v>
      </c>
      <c r="FP115" s="73">
        <v>113</v>
      </c>
      <c r="FQ115" s="73" t="str">
        <v>Winnipeg</v>
      </c>
    </row>
    <row r="116" spans="130:173">
      <c r="DZ116" s="72">
        <v>113</v>
      </c>
      <c r="EA116" s="73" t="str">
        <v>Tampa Bay</v>
      </c>
      <c r="EB116" s="75" t="str">
        <v>Winnipeg</v>
      </c>
      <c r="FP116" s="73">
        <v>114</v>
      </c>
      <c r="FQ116" s="73" t="str">
        <v>Winnipeg</v>
      </c>
    </row>
    <row r="117" spans="130:173">
      <c r="DZ117" s="72">
        <v>114</v>
      </c>
      <c r="EA117" s="73" t="str">
        <v>Tampa Bay</v>
      </c>
      <c r="EB117" s="75" t="str">
        <v>Winnipeg</v>
      </c>
      <c r="FP117" s="73">
        <v>115</v>
      </c>
      <c r="FQ117" s="73" t="str">
        <v>Winnipeg</v>
      </c>
    </row>
    <row r="118" spans="130:173">
      <c r="DZ118" s="72">
        <v>115</v>
      </c>
      <c r="EA118" s="73" t="str">
        <v>Detroit</v>
      </c>
      <c r="EB118" s="75" t="str">
        <v>Winnipeg</v>
      </c>
      <c r="FP118" s="73">
        <v>116</v>
      </c>
      <c r="FQ118" s="73" t="str">
        <v>Winnipeg</v>
      </c>
    </row>
    <row r="119" spans="130:173">
      <c r="DZ119" s="72">
        <v>116</v>
      </c>
      <c r="EA119" s="73" t="str">
        <v>Tampa Bay</v>
      </c>
      <c r="EB119" s="75" t="str">
        <v>Winnipeg</v>
      </c>
      <c r="FP119" s="73">
        <v>117</v>
      </c>
      <c r="FQ119" s="73" t="str">
        <v>Winnipeg</v>
      </c>
    </row>
    <row r="120" spans="130:173">
      <c r="DZ120" s="72">
        <v>117</v>
      </c>
      <c r="EA120" s="73" t="str">
        <v>Tampa Bay</v>
      </c>
      <c r="EB120" s="75" t="str">
        <v>Winnipeg</v>
      </c>
      <c r="FP120" s="73">
        <v>118</v>
      </c>
      <c r="FQ120" s="73" t="str">
        <v>Winnipeg</v>
      </c>
    </row>
    <row r="121" spans="130:173">
      <c r="DZ121" s="72">
        <v>118</v>
      </c>
      <c r="EA121" s="73" t="str">
        <v>NY Islanders</v>
      </c>
      <c r="EB121" s="75" t="str">
        <v>Winnipeg</v>
      </c>
      <c r="FP121" s="73">
        <v>119</v>
      </c>
      <c r="FQ121" s="73" t="str">
        <v>Winnipeg</v>
      </c>
    </row>
    <row r="122" spans="130:173">
      <c r="DZ122" s="72">
        <v>119</v>
      </c>
      <c r="EA122" s="73" t="str">
        <v>Detroit</v>
      </c>
      <c r="EB122" s="75" t="str">
        <v>Winnipeg</v>
      </c>
      <c r="FP122" s="73">
        <v>120</v>
      </c>
      <c r="FQ122" s="73" t="str">
        <v>Winnipeg</v>
      </c>
    </row>
    <row r="123" spans="130:173">
      <c r="DZ123" s="72">
        <v>120</v>
      </c>
      <c r="EA123" s="73" t="str">
        <v>Tampa Bay</v>
      </c>
      <c r="EB123" s="75" t="str">
        <v>Winnipeg</v>
      </c>
      <c r="FP123" s="73">
        <v>121</v>
      </c>
      <c r="FQ123" s="73" t="str">
        <v>Winnipeg</v>
      </c>
    </row>
    <row r="124" spans="130:173">
      <c r="DZ124" s="72">
        <v>121</v>
      </c>
      <c r="EA124" s="73" t="str">
        <v>Pittsburgh</v>
      </c>
      <c r="EB124" s="75" t="str">
        <v>Winnipeg</v>
      </c>
      <c r="FP124" s="73">
        <v>122</v>
      </c>
      <c r="FQ124" s="73" t="str">
        <v>Winnipeg</v>
      </c>
    </row>
    <row r="125" spans="130:173">
      <c r="DZ125" s="72">
        <v>122</v>
      </c>
      <c r="EA125" s="73" t="str">
        <v>Detroit</v>
      </c>
      <c r="EB125" s="75" t="str">
        <v>Winnipeg</v>
      </c>
      <c r="FP125" s="73">
        <v>123</v>
      </c>
      <c r="FQ125" s="73" t="str">
        <v>Winnipeg</v>
      </c>
    </row>
    <row r="126" spans="130:173">
      <c r="DZ126" s="72">
        <v>123</v>
      </c>
      <c r="EA126" s="73" t="str">
        <v>Detroit</v>
      </c>
      <c r="EB126" s="75" t="str">
        <v>Winnipeg</v>
      </c>
      <c r="FP126" s="73">
        <v>124</v>
      </c>
      <c r="FQ126" s="73" t="str">
        <v>Winnipeg</v>
      </c>
    </row>
    <row r="127" spans="130:173">
      <c r="DZ127" s="72">
        <v>124</v>
      </c>
      <c r="EA127" s="73" t="str">
        <v>Detroit</v>
      </c>
      <c r="EB127" s="75" t="str">
        <v>Winnipeg</v>
      </c>
      <c r="FP127" s="73">
        <v>125</v>
      </c>
      <c r="FQ127" s="73" t="str">
        <v>Winnipeg</v>
      </c>
    </row>
    <row r="128" spans="130:173">
      <c r="DZ128" s="72">
        <v>125</v>
      </c>
      <c r="EA128" s="73" t="str">
        <v>Tampa Bay</v>
      </c>
      <c r="EB128" s="75" t="str">
        <v>Winnipeg</v>
      </c>
      <c r="FP128" s="73">
        <v>126</v>
      </c>
      <c r="FQ128" s="73" t="str">
        <v>Winnipeg</v>
      </c>
    </row>
    <row r="129" spans="130:173">
      <c r="DZ129" s="72">
        <v>126</v>
      </c>
      <c r="EA129" s="73" t="str">
        <v>NY Islanders</v>
      </c>
      <c r="EB129" s="75" t="str">
        <v>Winnipeg</v>
      </c>
      <c r="FP129" s="73">
        <v>127</v>
      </c>
      <c r="FQ129" s="73" t="str">
        <v>Winnipeg</v>
      </c>
    </row>
    <row r="130" spans="130:173">
      <c r="DZ130" s="72">
        <v>127</v>
      </c>
      <c r="EA130" s="73" t="str">
        <v>Pittsburgh</v>
      </c>
      <c r="EB130" s="75" t="str">
        <v>Winnipeg</v>
      </c>
      <c r="FP130" s="73">
        <v>128</v>
      </c>
      <c r="FQ130" s="73" t="str">
        <v>Winnipeg</v>
      </c>
    </row>
    <row r="131" spans="130:173">
      <c r="DZ131" s="72">
        <v>128</v>
      </c>
      <c r="EA131" s="73" t="str">
        <v>Detroit</v>
      </c>
      <c r="EB131" s="75" t="str">
        <v>Winnipeg</v>
      </c>
      <c r="FP131" s="73">
        <v>129</v>
      </c>
      <c r="FQ131" s="73" t="str">
        <v>Winnipeg</v>
      </c>
    </row>
    <row r="132" spans="130:173">
      <c r="DZ132" s="72">
        <v>129</v>
      </c>
      <c r="EA132" s="73" t="str">
        <v>Tampa Bay</v>
      </c>
      <c r="EB132" s="75" t="str">
        <v>Winnipeg</v>
      </c>
      <c r="FP132" s="73">
        <v>130</v>
      </c>
      <c r="FQ132" s="73" t="str">
        <v>Winnipeg</v>
      </c>
    </row>
    <row r="133" spans="130:173">
      <c r="DZ133" s="72">
        <v>130</v>
      </c>
      <c r="EA133" s="73" t="str">
        <v>NY Islanders</v>
      </c>
      <c r="EB133" s="75" t="str">
        <v>Winnipeg</v>
      </c>
      <c r="FP133" s="73">
        <v>131</v>
      </c>
      <c r="FQ133" s="73" t="str">
        <v>Winnipeg</v>
      </c>
    </row>
    <row r="134" spans="130:173">
      <c r="DZ134" s="72">
        <v>131</v>
      </c>
      <c r="EA134" s="73" t="str">
        <v>NY Islanders</v>
      </c>
      <c r="EB134" s="75" t="str">
        <v>Winnipeg</v>
      </c>
      <c r="FP134" s="73">
        <v>132</v>
      </c>
      <c r="FQ134" s="73" t="str">
        <v>Winnipeg</v>
      </c>
    </row>
    <row r="135" spans="130:173">
      <c r="DZ135" s="72">
        <v>132</v>
      </c>
      <c r="EA135" s="73" t="str">
        <v>Tampa Bay</v>
      </c>
      <c r="EB135" s="75" t="str">
        <v>Winnipeg</v>
      </c>
      <c r="FP135" s="73">
        <v>133</v>
      </c>
      <c r="FQ135" s="73" t="str">
        <v>Winnipeg</v>
      </c>
    </row>
    <row r="136" spans="130:173">
      <c r="DZ136" s="72">
        <v>133</v>
      </c>
      <c r="EA136" s="73" t="str">
        <v>Tampa Bay</v>
      </c>
      <c r="EB136" s="75" t="str">
        <v>Winnipeg</v>
      </c>
      <c r="FP136" s="73">
        <v>134</v>
      </c>
      <c r="FQ136" s="73" t="str">
        <v>Winnipeg</v>
      </c>
    </row>
    <row r="137" spans="130:173">
      <c r="DZ137" s="72">
        <v>134</v>
      </c>
      <c r="EA137" s="73" t="str">
        <v>Detroit</v>
      </c>
      <c r="EB137" s="75" t="str">
        <v>Winnipeg</v>
      </c>
      <c r="FP137" s="73">
        <v>135</v>
      </c>
      <c r="FQ137" s="73" t="str">
        <v>Winnipeg</v>
      </c>
    </row>
    <row r="138" spans="130:173">
      <c r="DZ138" s="72">
        <v>135</v>
      </c>
      <c r="EA138" s="73" t="str">
        <v>Pittsburgh</v>
      </c>
      <c r="EB138" s="75" t="str">
        <v>Winnipeg</v>
      </c>
      <c r="FP138" s="73">
        <v>136</v>
      </c>
      <c r="FQ138" s="73" t="str">
        <v>Winnipeg</v>
      </c>
    </row>
    <row r="139" spans="130:173">
      <c r="DZ139" s="72">
        <v>136</v>
      </c>
      <c r="EA139" s="73" t="str">
        <v>NY Islanders</v>
      </c>
      <c r="EB139" s="75" t="str">
        <v>Winnipeg</v>
      </c>
      <c r="FP139" s="73">
        <v>137</v>
      </c>
      <c r="FQ139" s="73" t="str">
        <v>Winnipeg</v>
      </c>
    </row>
    <row r="140" spans="130:173">
      <c r="DZ140" s="72">
        <v>137</v>
      </c>
      <c r="EA140" s="73" t="str">
        <v>NY Islanders</v>
      </c>
      <c r="EB140" s="75" t="str">
        <v>Winnipeg</v>
      </c>
      <c r="FP140" s="73">
        <v>138</v>
      </c>
      <c r="FQ140" s="73" t="str">
        <v>Winnipeg</v>
      </c>
    </row>
    <row r="141" spans="130:173">
      <c r="DZ141" s="72">
        <v>138</v>
      </c>
      <c r="EA141" s="73" t="str">
        <v>Tampa Bay</v>
      </c>
      <c r="EB141" s="75" t="str">
        <v>Winnipeg</v>
      </c>
      <c r="FP141" s="73">
        <v>139</v>
      </c>
      <c r="FQ141" s="73" t="str">
        <v>Winnipeg</v>
      </c>
    </row>
    <row r="142" spans="130:173">
      <c r="DZ142" s="72">
        <v>139</v>
      </c>
      <c r="EA142" s="73" t="str">
        <v>NY Islanders</v>
      </c>
      <c r="EB142" s="75" t="str">
        <v>Winnipeg</v>
      </c>
      <c r="FP142" s="73">
        <v>140</v>
      </c>
      <c r="FQ142" s="73" t="str">
        <v>Winnipeg</v>
      </c>
    </row>
    <row r="143" spans="130:173">
      <c r="DZ143" s="72">
        <v>140</v>
      </c>
      <c r="EA143" s="73" t="str">
        <v>Tampa Bay</v>
      </c>
      <c r="EB143" s="75" t="str">
        <v>Winnipeg</v>
      </c>
      <c r="FP143" s="73">
        <v>141</v>
      </c>
      <c r="FQ143" s="73" t="str">
        <v>Winnipeg</v>
      </c>
    </row>
    <row r="144" spans="130:173">
      <c r="DZ144" s="72">
        <v>141</v>
      </c>
      <c r="EA144" s="73" t="str">
        <v>Montreal</v>
      </c>
      <c r="EB144" s="75" t="str">
        <v>Winnipeg</v>
      </c>
      <c r="FP144" s="73">
        <v>142</v>
      </c>
      <c r="FQ144" s="73" t="str">
        <v>Winnipeg</v>
      </c>
    </row>
    <row r="145" spans="130:173">
      <c r="DZ145" s="72">
        <v>142</v>
      </c>
      <c r="EA145" s="73" t="str">
        <v>Tampa Bay</v>
      </c>
      <c r="EB145" s="75" t="str">
        <v>Winnipeg</v>
      </c>
      <c r="FP145" s="73">
        <v>143</v>
      </c>
      <c r="FQ145" s="73" t="str">
        <v>Winnipeg</v>
      </c>
    </row>
    <row r="146" spans="130:173">
      <c r="DZ146" s="72">
        <v>143</v>
      </c>
      <c r="EA146" s="73" t="str">
        <v>Montreal</v>
      </c>
      <c r="EB146" s="75" t="str">
        <v>Winnipeg</v>
      </c>
      <c r="FP146" s="73">
        <v>144</v>
      </c>
      <c r="FQ146" s="73" t="str">
        <v>Winnipeg</v>
      </c>
    </row>
    <row r="147" spans="130:173">
      <c r="DZ147" s="72">
        <v>144</v>
      </c>
      <c r="EA147" s="73" t="str">
        <v>Tampa Bay</v>
      </c>
      <c r="EB147" s="75" t="str">
        <v>Winnipeg</v>
      </c>
      <c r="FP147" s="73">
        <v>145</v>
      </c>
      <c r="FQ147" s="73" t="str">
        <v>Winnipeg</v>
      </c>
    </row>
    <row r="148" spans="130:173">
      <c r="DZ148" s="72">
        <v>145</v>
      </c>
      <c r="EA148" s="73" t="str">
        <v>Tampa Bay</v>
      </c>
      <c r="EB148" s="75" t="str">
        <v>Winnipeg</v>
      </c>
      <c r="FP148" s="73">
        <v>146</v>
      </c>
      <c r="FQ148" s="73" t="str">
        <v>Winnipeg</v>
      </c>
    </row>
    <row r="149" spans="130:173">
      <c r="DZ149" s="72">
        <v>146</v>
      </c>
      <c r="EA149" s="73" t="str">
        <v>NY Islanders</v>
      </c>
      <c r="EB149" s="75" t="str">
        <v>Winnipeg</v>
      </c>
      <c r="FP149" s="73">
        <v>147</v>
      </c>
      <c r="FQ149" s="73" t="str">
        <v>Winnipeg</v>
      </c>
    </row>
    <row r="150" spans="130:173">
      <c r="DZ150" s="72">
        <v>147</v>
      </c>
      <c r="EA150" s="73" t="str">
        <v>Tampa Bay</v>
      </c>
      <c r="EB150" s="75" t="str">
        <v>Winnipeg</v>
      </c>
      <c r="FP150" s="73">
        <v>148</v>
      </c>
      <c r="FQ150" s="73" t="str">
        <v>Winnipeg</v>
      </c>
    </row>
    <row r="151" spans="130:173">
      <c r="DZ151" s="72">
        <v>148</v>
      </c>
      <c r="EA151" s="73" t="str">
        <v>Tampa Bay</v>
      </c>
      <c r="EB151" s="75" t="str">
        <v>Winnipeg</v>
      </c>
      <c r="FP151" s="73">
        <v>149</v>
      </c>
      <c r="FQ151" s="73" t="str">
        <v>Winnipeg</v>
      </c>
    </row>
    <row r="152" spans="130:173">
      <c r="DZ152" s="72">
        <v>149</v>
      </c>
      <c r="EA152" s="73" t="str">
        <v>NY Islanders</v>
      </c>
      <c r="EB152" s="75" t="str">
        <v>Winnipeg</v>
      </c>
      <c r="FP152" s="73">
        <v>150</v>
      </c>
      <c r="FQ152" s="73" t="str">
        <v>Winnipeg</v>
      </c>
    </row>
    <row r="153" spans="130:173">
      <c r="DZ153" s="72">
        <v>150</v>
      </c>
      <c r="EA153" s="73" t="str">
        <v>Tampa Bay</v>
      </c>
      <c r="EB153" s="75" t="str">
        <v>Winnipeg</v>
      </c>
      <c r="FP153" s="73">
        <v>151</v>
      </c>
      <c r="FQ153" s="73" t="str">
        <v>Winnipeg</v>
      </c>
    </row>
    <row r="154" spans="130:173">
      <c r="DZ154" s="72">
        <v>151</v>
      </c>
      <c r="EA154" s="73" t="str">
        <v>Tampa Bay</v>
      </c>
      <c r="EB154" s="75" t="str">
        <v>Winnipeg</v>
      </c>
      <c r="FP154" s="73">
        <v>152</v>
      </c>
      <c r="FQ154" s="73" t="str">
        <v>Winnipeg</v>
      </c>
    </row>
    <row r="155" spans="130:173">
      <c r="DZ155" s="72">
        <v>152</v>
      </c>
      <c r="EA155" s="73" t="str">
        <v>Tampa Bay</v>
      </c>
      <c r="EB155" s="75" t="str">
        <v>Winnipeg</v>
      </c>
      <c r="FP155" s="73">
        <v>153</v>
      </c>
      <c r="FQ155" s="73" t="str">
        <v>Winnipeg</v>
      </c>
    </row>
    <row r="156" spans="130:173">
      <c r="DZ156" s="72">
        <v>153</v>
      </c>
      <c r="EA156" s="73" t="str">
        <v>Detroit</v>
      </c>
      <c r="EB156" s="75" t="str">
        <v>Winnipeg</v>
      </c>
      <c r="FP156" s="73">
        <v>154</v>
      </c>
      <c r="FQ156" s="73" t="str">
        <v>Winnipeg</v>
      </c>
    </row>
    <row r="157" spans="130:173">
      <c r="DZ157" s="72">
        <v>154</v>
      </c>
      <c r="EA157" s="73" t="str">
        <v>Tampa Bay</v>
      </c>
      <c r="EB157" s="75" t="str">
        <v>Winnipeg</v>
      </c>
      <c r="FP157" s="73">
        <v>155</v>
      </c>
      <c r="FQ157" s="73" t="str">
        <v>Winnipeg</v>
      </c>
    </row>
    <row r="158" spans="130:173">
      <c r="DZ158" s="72">
        <v>155</v>
      </c>
      <c r="EA158" s="73" t="str">
        <v>Detroit</v>
      </c>
      <c r="EB158" s="75" t="str">
        <v>Winnipeg</v>
      </c>
      <c r="FP158" s="73">
        <v>156</v>
      </c>
      <c r="FQ158" s="73" t="str">
        <v>Winnipeg</v>
      </c>
    </row>
    <row r="159" spans="130:173">
      <c r="DZ159" s="72">
        <v>156</v>
      </c>
      <c r="EA159" s="73" t="str">
        <v>Tampa Bay</v>
      </c>
      <c r="EB159" s="75" t="str">
        <v>Winnipeg</v>
      </c>
      <c r="FP159" s="73">
        <v>157</v>
      </c>
      <c r="FQ159" s="73" t="str">
        <v>Winnipeg</v>
      </c>
    </row>
    <row r="160" spans="130:173">
      <c r="DZ160" s="72">
        <v>157</v>
      </c>
      <c r="EA160" s="73" t="str">
        <v>Tampa Bay</v>
      </c>
      <c r="EB160" s="75" t="str">
        <v>Winnipeg</v>
      </c>
      <c r="FP160" s="73">
        <v>158</v>
      </c>
      <c r="FQ160" s="73" t="str">
        <v>Winnipeg</v>
      </c>
    </row>
    <row r="161" spans="130:173">
      <c r="DZ161" s="72">
        <v>158</v>
      </c>
      <c r="EA161" s="73" t="str">
        <v>Montreal</v>
      </c>
      <c r="EB161" s="75" t="str">
        <v>Winnipeg</v>
      </c>
      <c r="FP161" s="73">
        <v>159</v>
      </c>
      <c r="FQ161" s="73" t="str">
        <v>Winnipeg</v>
      </c>
    </row>
    <row r="162" spans="130:173">
      <c r="DZ162" s="72">
        <v>159</v>
      </c>
      <c r="EA162" s="73" t="str">
        <v>Boston</v>
      </c>
      <c r="EB162" s="75" t="str">
        <v>Winnipeg</v>
      </c>
      <c r="FP162" s="73">
        <v>160</v>
      </c>
      <c r="FQ162" s="73" t="str">
        <v>Winnipeg</v>
      </c>
    </row>
    <row r="163" spans="130:173">
      <c r="DZ163" s="72">
        <v>160</v>
      </c>
      <c r="EA163" s="73" t="str">
        <v>Tampa Bay</v>
      </c>
      <c r="EB163" s="75" t="str">
        <v>Winnipeg</v>
      </c>
      <c r="FP163" s="73">
        <v>161</v>
      </c>
      <c r="FQ163" s="73" t="str">
        <v>Winnipeg</v>
      </c>
    </row>
    <row r="164" spans="130:173">
      <c r="DZ164" s="72">
        <v>161</v>
      </c>
      <c r="EA164" s="73" t="str">
        <v>Pittsburgh</v>
      </c>
      <c r="EB164" s="75" t="str">
        <v>Winnipeg</v>
      </c>
      <c r="FP164" s="73">
        <v>162</v>
      </c>
      <c r="FQ164" s="73" t="str">
        <v>Winnipeg</v>
      </c>
    </row>
    <row r="165" spans="130:173">
      <c r="DZ165" s="72">
        <v>162</v>
      </c>
      <c r="EA165" s="73" t="str">
        <v>Tampa Bay</v>
      </c>
      <c r="EB165" s="75" t="str">
        <v>Winnipeg</v>
      </c>
      <c r="FP165" s="73">
        <v>163</v>
      </c>
      <c r="FQ165" s="73" t="str">
        <v>Winnipeg</v>
      </c>
    </row>
    <row r="166" spans="130:173">
      <c r="DZ166" s="72">
        <v>163</v>
      </c>
      <c r="EA166" s="73" t="str">
        <v>Tampa Bay</v>
      </c>
      <c r="EB166" s="75" t="str">
        <v>Winnipeg</v>
      </c>
      <c r="FP166" s="73">
        <v>164</v>
      </c>
      <c r="FQ166" s="73" t="str">
        <v>Winnipeg</v>
      </c>
    </row>
    <row r="167" spans="130:173">
      <c r="DZ167" s="72">
        <v>164</v>
      </c>
      <c r="EA167" s="73" t="str">
        <v>NY Islanders</v>
      </c>
      <c r="EB167" s="75" t="str">
        <v>Winnipeg</v>
      </c>
      <c r="FP167" s="73">
        <v>165</v>
      </c>
      <c r="FQ167" s="73" t="str">
        <v>Winnipeg</v>
      </c>
    </row>
    <row r="168" spans="130:173">
      <c r="DZ168" s="72">
        <v>165</v>
      </c>
      <c r="EA168" s="73" t="str">
        <v>NY Islanders</v>
      </c>
      <c r="EB168" s="75" t="str">
        <v>Winnipeg</v>
      </c>
      <c r="FP168" s="73">
        <v>166</v>
      </c>
      <c r="FQ168" s="73" t="str">
        <v>Winnipeg</v>
      </c>
    </row>
    <row r="169" spans="130:173">
      <c r="DZ169" s="72">
        <v>166</v>
      </c>
      <c r="EA169" s="73" t="str">
        <v>Pittsburgh</v>
      </c>
      <c r="EB169" s="75" t="str">
        <v>Winnipeg</v>
      </c>
      <c r="FP169" s="73">
        <v>167</v>
      </c>
      <c r="FQ169" s="73" t="str">
        <v>Winnipeg</v>
      </c>
    </row>
    <row r="170" spans="130:173">
      <c r="DZ170" s="72">
        <v>167</v>
      </c>
      <c r="EA170" s="73" t="str">
        <v>Tampa Bay</v>
      </c>
      <c r="EB170" s="75" t="str">
        <v>Winnipeg</v>
      </c>
      <c r="FP170" s="73">
        <v>168</v>
      </c>
      <c r="FQ170" s="73" t="str">
        <v>Winnipeg</v>
      </c>
    </row>
    <row r="171" spans="130:173">
      <c r="DZ171" s="72">
        <v>168</v>
      </c>
      <c r="EA171" s="73" t="str">
        <v>Detroit</v>
      </c>
      <c r="EB171" s="75" t="str">
        <v>Winnipeg</v>
      </c>
      <c r="FP171" s="73">
        <v>169</v>
      </c>
      <c r="FQ171" s="73" t="str">
        <v>Winnipeg</v>
      </c>
    </row>
    <row r="172" spans="130:173">
      <c r="DZ172" s="72">
        <v>169</v>
      </c>
      <c r="EA172" s="73" t="str">
        <v>Tampa Bay</v>
      </c>
      <c r="EB172" s="75" t="str">
        <v>Winnipeg</v>
      </c>
      <c r="FP172" s="73">
        <v>170</v>
      </c>
      <c r="FQ172" s="73" t="str">
        <v>Winnipeg</v>
      </c>
    </row>
    <row r="173" spans="130:173">
      <c r="DZ173" s="72">
        <v>170</v>
      </c>
      <c r="EA173" s="73" t="str">
        <v>Tampa Bay</v>
      </c>
      <c r="EB173" s="75" t="str">
        <v>Winnipeg</v>
      </c>
      <c r="FP173" s="73">
        <v>171</v>
      </c>
      <c r="FQ173" s="73" t="str">
        <v>Winnipeg</v>
      </c>
    </row>
    <row r="174" spans="130:173">
      <c r="DZ174" s="72">
        <v>171</v>
      </c>
      <c r="EA174" s="73" t="str">
        <v>Tampa Bay</v>
      </c>
      <c r="EB174" s="75" t="str">
        <v>Winnipeg</v>
      </c>
      <c r="FP174" s="73">
        <v>172</v>
      </c>
      <c r="FQ174" s="73" t="str">
        <v>Winnipeg</v>
      </c>
    </row>
    <row r="175" spans="130:173">
      <c r="DZ175" s="72">
        <v>172</v>
      </c>
      <c r="EA175" s="73" t="str">
        <v>Tampa Bay</v>
      </c>
      <c r="EB175" s="75" t="str">
        <v>Winnipeg</v>
      </c>
      <c r="FP175" s="73">
        <v>173</v>
      </c>
      <c r="FQ175" s="73" t="str">
        <v>Winnipeg</v>
      </c>
    </row>
    <row r="176" spans="130:173">
      <c r="DZ176" s="72">
        <v>173</v>
      </c>
      <c r="EA176" s="73" t="str">
        <v>Tampa Bay</v>
      </c>
      <c r="EB176" s="75" t="str">
        <v>Winnipeg</v>
      </c>
      <c r="FP176" s="73">
        <v>174</v>
      </c>
      <c r="FQ176" s="73" t="str">
        <v>Winnipeg</v>
      </c>
    </row>
    <row r="177" spans="130:173">
      <c r="DZ177" s="72">
        <v>174</v>
      </c>
      <c r="EA177" s="73" t="str">
        <v>Tampa Bay</v>
      </c>
      <c r="EB177" s="75" t="str">
        <v>Winnipeg</v>
      </c>
      <c r="FP177" s="73">
        <v>175</v>
      </c>
      <c r="FQ177" s="73" t="str">
        <v>Winnipeg</v>
      </c>
    </row>
    <row r="178" spans="130:173">
      <c r="DZ178" s="72">
        <v>175</v>
      </c>
      <c r="EA178" s="73" t="str">
        <v>NY Islanders</v>
      </c>
      <c r="EB178" s="75" t="str">
        <v>Winnipeg</v>
      </c>
      <c r="FP178" s="73">
        <v>176</v>
      </c>
      <c r="FQ178" s="73" t="str">
        <v>Winnipeg</v>
      </c>
    </row>
    <row r="179" spans="130:173">
      <c r="DZ179" s="72">
        <v>176</v>
      </c>
      <c r="EA179" s="73" t="str">
        <v>Tampa Bay</v>
      </c>
      <c r="EB179" s="75" t="str">
        <v>Winnipeg</v>
      </c>
      <c r="FP179" s="73">
        <v>177</v>
      </c>
      <c r="FQ179" s="73" t="str">
        <v>Winnipeg</v>
      </c>
    </row>
    <row r="180" spans="130:173">
      <c r="DZ180" s="72">
        <v>177</v>
      </c>
      <c r="EA180" s="73" t="str">
        <v>Tampa Bay</v>
      </c>
      <c r="EB180" s="75" t="str">
        <v>Winnipeg</v>
      </c>
      <c r="FP180" s="73">
        <v>178</v>
      </c>
      <c r="FQ180" s="73" t="str">
        <v>Winnipeg</v>
      </c>
    </row>
    <row r="181" spans="130:173">
      <c r="DZ181" s="72">
        <v>178</v>
      </c>
      <c r="EA181" s="73" t="str">
        <v>Tampa Bay</v>
      </c>
      <c r="EB181" s="75" t="str">
        <v>Winnipeg</v>
      </c>
      <c r="FP181" s="73">
        <v>179</v>
      </c>
      <c r="FQ181" s="73" t="str">
        <v>Winnipeg</v>
      </c>
    </row>
    <row r="182" spans="130:173">
      <c r="DZ182" s="72">
        <v>179</v>
      </c>
      <c r="EA182" s="73" t="str">
        <v>Detroit</v>
      </c>
      <c r="EB182" s="75" t="str">
        <v>Winnipeg</v>
      </c>
      <c r="FP182" s="73">
        <v>180</v>
      </c>
      <c r="FQ182" s="73" t="str">
        <v>Winnipeg</v>
      </c>
    </row>
    <row r="183" spans="130:173">
      <c r="DZ183" s="72">
        <v>180</v>
      </c>
      <c r="EA183" s="73" t="str">
        <v>Tampa Bay</v>
      </c>
      <c r="EB183" s="75" t="str">
        <v>Winnipeg</v>
      </c>
      <c r="FP183" s="73">
        <v>181</v>
      </c>
      <c r="FQ183" s="73" t="str">
        <v>Winnipeg</v>
      </c>
    </row>
    <row r="184" spans="130:173">
      <c r="DZ184" s="72">
        <v>181</v>
      </c>
      <c r="EA184" s="73" t="str">
        <v>Tampa Bay</v>
      </c>
      <c r="EB184" s="75" t="str">
        <v>Winnipeg</v>
      </c>
      <c r="FP184" s="73">
        <v>182</v>
      </c>
      <c r="FQ184" s="73" t="str">
        <v>Winnipeg</v>
      </c>
    </row>
    <row r="185" spans="130:173">
      <c r="DZ185" s="72">
        <v>182</v>
      </c>
      <c r="EA185" s="73" t="str">
        <v>Tampa Bay</v>
      </c>
      <c r="EB185" s="75" t="str">
        <v>Winnipeg</v>
      </c>
      <c r="FP185" s="73">
        <v>183</v>
      </c>
      <c r="FQ185" s="73" t="str">
        <v>Winnipeg</v>
      </c>
    </row>
    <row r="186" spans="130:173">
      <c r="DZ186" s="72">
        <v>183</v>
      </c>
      <c r="EA186" s="73" t="str">
        <v>Boston</v>
      </c>
      <c r="EB186" s="75" t="str">
        <v>Winnipeg</v>
      </c>
      <c r="FP186" s="73">
        <v>184</v>
      </c>
      <c r="FQ186" s="73" t="str">
        <v>Winnipeg</v>
      </c>
    </row>
    <row r="187" spans="130:173">
      <c r="DZ187" s="72">
        <v>184</v>
      </c>
      <c r="EA187" s="73" t="str">
        <v>NY Islanders</v>
      </c>
      <c r="EB187" s="75" t="str">
        <v>Winnipeg</v>
      </c>
      <c r="FP187" s="73">
        <v>185</v>
      </c>
      <c r="FQ187" s="73" t="str">
        <v>Winnipeg</v>
      </c>
    </row>
    <row r="188" spans="130:173">
      <c r="DZ188" s="72">
        <v>185</v>
      </c>
      <c r="EA188" s="73" t="str">
        <v>Tampa Bay</v>
      </c>
      <c r="EB188" s="75" t="str">
        <v>Winnipeg</v>
      </c>
      <c r="FP188" s="73">
        <v>186</v>
      </c>
      <c r="FQ188" s="73" t="str">
        <v>Winnipeg</v>
      </c>
    </row>
    <row r="189" spans="130:173">
      <c r="DZ189" s="72">
        <v>186</v>
      </c>
      <c r="EA189" s="73" t="str">
        <v>Pittsburgh</v>
      </c>
      <c r="EB189" s="75" t="str">
        <v>Winnipeg</v>
      </c>
      <c r="FP189" s="73">
        <v>187</v>
      </c>
      <c r="FQ189" s="73" t="str">
        <v>Winnipeg</v>
      </c>
    </row>
    <row r="190" spans="130:173">
      <c r="DZ190" s="72">
        <v>187</v>
      </c>
      <c r="EA190" s="73" t="str">
        <v>Tampa Bay</v>
      </c>
      <c r="EB190" s="75" t="str">
        <v>Winnipeg</v>
      </c>
      <c r="FP190" s="73">
        <v>188</v>
      </c>
      <c r="FQ190" s="73" t="str">
        <v>Winnipeg</v>
      </c>
    </row>
    <row r="191" spans="130:173">
      <c r="DZ191" s="72">
        <v>188</v>
      </c>
      <c r="EA191" s="73" t="str">
        <v>Tampa Bay</v>
      </c>
      <c r="EB191" s="75" t="str">
        <v>Winnipeg</v>
      </c>
      <c r="FP191" s="73">
        <v>189</v>
      </c>
      <c r="FQ191" s="73" t="str">
        <v>Winnipeg</v>
      </c>
    </row>
    <row r="192" spans="130:173">
      <c r="DZ192" s="72">
        <v>189</v>
      </c>
      <c r="EA192" s="73" t="str">
        <v>Detroit</v>
      </c>
      <c r="EB192" s="75" t="str">
        <v>Winnipeg</v>
      </c>
      <c r="FP192" s="73">
        <v>190</v>
      </c>
      <c r="FQ192" s="73" t="str">
        <v>Winnipeg</v>
      </c>
    </row>
    <row r="193" spans="130:173">
      <c r="DZ193" s="72">
        <v>190</v>
      </c>
      <c r="EA193" s="73" t="str">
        <v>Tampa Bay</v>
      </c>
      <c r="EB193" s="75" t="str">
        <v>Winnipeg</v>
      </c>
      <c r="FP193" s="73">
        <v>191</v>
      </c>
      <c r="FQ193" s="73" t="str">
        <v>Winnipeg</v>
      </c>
    </row>
    <row r="194" spans="130:173">
      <c r="DZ194" s="72">
        <v>191</v>
      </c>
      <c r="EA194" s="73" t="str">
        <v>Detroit</v>
      </c>
      <c r="EB194" s="75" t="str">
        <v>Winnipeg</v>
      </c>
      <c r="FP194" s="73">
        <v>192</v>
      </c>
      <c r="FQ194" s="73" t="str">
        <v>Winnipeg</v>
      </c>
    </row>
    <row r="195" spans="130:173">
      <c r="DZ195" s="72">
        <v>192</v>
      </c>
      <c r="EA195" s="73" t="str">
        <v>Tampa Bay</v>
      </c>
      <c r="EB195" s="75" t="str">
        <v>Winnipeg</v>
      </c>
      <c r="FP195" s="73">
        <v>193</v>
      </c>
      <c r="FQ195" s="73" t="str">
        <v>Winnipeg</v>
      </c>
    </row>
    <row r="196" spans="130:173">
      <c r="DZ196" s="72">
        <v>193</v>
      </c>
      <c r="EA196" s="73" t="str">
        <v>NY Islanders</v>
      </c>
      <c r="EB196" s="75" t="str">
        <v>Winnipeg</v>
      </c>
      <c r="FP196" s="73">
        <v>194</v>
      </c>
      <c r="FQ196" s="73" t="str">
        <v>Winnipeg</v>
      </c>
    </row>
    <row r="197" spans="130:173">
      <c r="DZ197" s="72">
        <v>194</v>
      </c>
      <c r="EA197" s="73" t="str">
        <v>Tampa Bay</v>
      </c>
      <c r="EB197" s="75" t="str">
        <v>Winnipeg</v>
      </c>
      <c r="FP197" s="73">
        <v>195</v>
      </c>
      <c r="FQ197" s="73" t="str">
        <v>Winnipeg</v>
      </c>
    </row>
    <row r="198" spans="130:173">
      <c r="DZ198" s="72">
        <v>195</v>
      </c>
      <c r="EA198" s="73" t="str">
        <v>Tampa Bay</v>
      </c>
      <c r="EB198" s="75" t="str">
        <v>Winnipeg</v>
      </c>
      <c r="FP198" s="73">
        <v>196</v>
      </c>
      <c r="FQ198" s="73" t="str">
        <v>Winnipeg</v>
      </c>
    </row>
    <row r="199" spans="130:173">
      <c r="DZ199" s="72">
        <v>196</v>
      </c>
      <c r="EA199" s="73" t="str">
        <v>Detroit</v>
      </c>
      <c r="EB199" s="75" t="str">
        <v>Winnipeg</v>
      </c>
      <c r="FP199" s="73">
        <v>197</v>
      </c>
      <c r="FQ199" s="73" t="str">
        <v>Winnipeg</v>
      </c>
    </row>
    <row r="200" spans="130:173">
      <c r="DZ200" s="72">
        <v>197</v>
      </c>
      <c r="EA200" s="73" t="str">
        <v>NY Islanders</v>
      </c>
      <c r="EB200" s="75" t="str">
        <v>Winnipeg</v>
      </c>
      <c r="FP200" s="73">
        <v>198</v>
      </c>
      <c r="FQ200" s="73" t="str">
        <v>Winnipeg</v>
      </c>
    </row>
    <row r="201" spans="130:173">
      <c r="DZ201" s="72">
        <v>198</v>
      </c>
      <c r="EA201" s="73" t="str">
        <v>Detroit</v>
      </c>
      <c r="EB201" s="75" t="str">
        <v>Winnipeg</v>
      </c>
      <c r="FP201" s="73">
        <v>199</v>
      </c>
      <c r="FQ201" s="73" t="str">
        <v>Winnipeg</v>
      </c>
    </row>
    <row r="202" spans="130:173">
      <c r="DZ202" s="72">
        <v>199</v>
      </c>
      <c r="EA202" s="73" t="str">
        <v>Tampa Bay</v>
      </c>
      <c r="EB202" s="75" t="str">
        <v>Winnipeg</v>
      </c>
      <c r="FP202" s="73">
        <v>200</v>
      </c>
      <c r="FQ202" s="73" t="str">
        <v>Winnipeg</v>
      </c>
    </row>
    <row r="203" spans="130:173">
      <c r="DZ203" s="72">
        <v>200</v>
      </c>
      <c r="EA203" s="73" t="str">
        <v>Tampa Bay</v>
      </c>
      <c r="EB203" s="75" t="str">
        <v>Winnipeg</v>
      </c>
      <c r="FP203" s="73">
        <v>201</v>
      </c>
      <c r="FQ203" s="73" t="str">
        <v>Winnipeg</v>
      </c>
    </row>
    <row r="204" spans="130:173">
      <c r="DZ204" s="72">
        <v>201</v>
      </c>
      <c r="EA204" s="73" t="str">
        <v>Pittsburgh</v>
      </c>
      <c r="EB204" s="75" t="str">
        <v>Winnipeg</v>
      </c>
      <c r="FP204" s="73">
        <v>202</v>
      </c>
      <c r="FQ204" s="73" t="str">
        <v>Winnipeg</v>
      </c>
    </row>
    <row r="205" spans="130:173">
      <c r="DZ205" s="72">
        <v>202</v>
      </c>
      <c r="EA205" s="73" t="str">
        <v>Tampa Bay</v>
      </c>
      <c r="EB205" s="75" t="str">
        <v>Winnipeg</v>
      </c>
      <c r="FP205" s="73">
        <v>203</v>
      </c>
      <c r="FQ205" s="73" t="str">
        <v>Winnipeg</v>
      </c>
    </row>
    <row r="206" spans="130:173">
      <c r="DZ206" s="72">
        <v>203</v>
      </c>
      <c r="EA206" s="73" t="str">
        <v>Tampa Bay</v>
      </c>
      <c r="EB206" s="75" t="str">
        <v>Winnipeg</v>
      </c>
      <c r="FP206" s="73">
        <v>204</v>
      </c>
      <c r="FQ206" s="73" t="str">
        <v>Winnipeg</v>
      </c>
    </row>
    <row r="207" spans="130:173">
      <c r="DZ207" s="72">
        <v>204</v>
      </c>
      <c r="EA207" s="73" t="str">
        <v>NY Islanders</v>
      </c>
      <c r="EB207" s="75" t="str">
        <v>Winnipeg</v>
      </c>
      <c r="FP207" s="73">
        <v>205</v>
      </c>
      <c r="FQ207" s="73" t="str">
        <v>Winnipeg</v>
      </c>
    </row>
    <row r="208" spans="130:173">
      <c r="DZ208" s="72">
        <v>205</v>
      </c>
      <c r="EA208" s="73" t="str">
        <v>Tampa Bay</v>
      </c>
      <c r="EB208" s="75" t="str">
        <v>Winnipeg</v>
      </c>
      <c r="FP208" s="73">
        <v>206</v>
      </c>
      <c r="FQ208" s="73" t="str">
        <v>Winnipeg</v>
      </c>
    </row>
    <row r="209" spans="130:173">
      <c r="DZ209" s="72">
        <v>206</v>
      </c>
      <c r="EA209" s="73" t="str">
        <v>Tampa Bay</v>
      </c>
      <c r="EB209" s="75" t="str">
        <v>Winnipeg</v>
      </c>
      <c r="FP209" s="73">
        <v>207</v>
      </c>
      <c r="FQ209" s="73" t="str">
        <v>Winnipeg</v>
      </c>
    </row>
    <row r="210" spans="130:173">
      <c r="DZ210" s="72">
        <v>207</v>
      </c>
      <c r="EA210" s="73" t="str">
        <v>NY Islanders</v>
      </c>
      <c r="EB210" s="75" t="str">
        <v>Winnipeg</v>
      </c>
      <c r="FP210" s="73">
        <v>208</v>
      </c>
      <c r="FQ210" s="73" t="str">
        <v>Winnipeg</v>
      </c>
    </row>
    <row r="211" spans="130:173">
      <c r="DZ211" s="72">
        <v>208</v>
      </c>
      <c r="EA211" s="73" t="str">
        <v>Tampa Bay</v>
      </c>
      <c r="EB211" s="75" t="str">
        <v>Winnipeg</v>
      </c>
      <c r="FP211" s="73">
        <v>209</v>
      </c>
      <c r="FQ211" s="73" t="str">
        <v>Winnipeg</v>
      </c>
    </row>
    <row r="212" spans="130:173">
      <c r="DZ212" s="72">
        <v>209</v>
      </c>
      <c r="EA212" s="73" t="str">
        <v>Detroit</v>
      </c>
      <c r="EB212" s="75" t="str">
        <v>Winnipeg</v>
      </c>
      <c r="FP212" s="73">
        <v>210</v>
      </c>
      <c r="FQ212" s="73" t="str">
        <v>Winnipeg</v>
      </c>
    </row>
    <row r="213" spans="130:173">
      <c r="DZ213" s="72">
        <v>210</v>
      </c>
      <c r="EA213" s="73" t="str">
        <v>Tampa Bay</v>
      </c>
      <c r="EB213" s="75" t="str">
        <v>Winnipeg</v>
      </c>
      <c r="FP213" s="73">
        <v>211</v>
      </c>
      <c r="FQ213" s="73" t="str">
        <v>Winnipeg</v>
      </c>
    </row>
    <row r="214" spans="130:173">
      <c r="DZ214" s="72">
        <v>211</v>
      </c>
      <c r="EA214" s="73" t="str">
        <v>Tampa Bay</v>
      </c>
      <c r="EB214" s="75" t="str">
        <v>Winnipeg</v>
      </c>
      <c r="FP214" s="73">
        <v>212</v>
      </c>
      <c r="FQ214" s="73" t="str">
        <v>Winnipeg</v>
      </c>
    </row>
    <row r="215" spans="130:173">
      <c r="DZ215" s="72">
        <v>212</v>
      </c>
      <c r="EA215" s="73" t="str">
        <v>Tampa Bay</v>
      </c>
      <c r="EB215" s="75" t="str">
        <v>Winnipeg</v>
      </c>
      <c r="FP215" s="73">
        <v>213</v>
      </c>
      <c r="FQ215" s="73" t="str">
        <v>Winnipeg</v>
      </c>
    </row>
    <row r="216" spans="130:173">
      <c r="DZ216" s="72">
        <v>213</v>
      </c>
      <c r="EA216" s="73" t="str">
        <v>Tampa Bay</v>
      </c>
      <c r="EB216" s="75" t="str">
        <v>Winnipeg</v>
      </c>
      <c r="FP216" s="73">
        <v>214</v>
      </c>
      <c r="FQ216" s="73" t="str">
        <v>Winnipeg</v>
      </c>
    </row>
    <row r="217" spans="130:173">
      <c r="DZ217" s="72">
        <v>214</v>
      </c>
      <c r="EA217" s="73" t="str">
        <v>Tampa Bay</v>
      </c>
      <c r="EB217" s="75" t="str">
        <v>Winnipeg</v>
      </c>
      <c r="FP217" s="73">
        <v>215</v>
      </c>
      <c r="FQ217" s="73" t="str">
        <v>Winnipeg</v>
      </c>
    </row>
    <row r="218" spans="130:173">
      <c r="DZ218" s="72">
        <v>215</v>
      </c>
      <c r="EA218" s="73" t="str">
        <v>Tampa Bay</v>
      </c>
      <c r="EB218" s="75" t="str">
        <v>Winnipeg</v>
      </c>
      <c r="FP218" s="73">
        <v>216</v>
      </c>
      <c r="FQ218" s="73" t="str">
        <v>Winnipeg</v>
      </c>
    </row>
    <row r="219" spans="130:173">
      <c r="DZ219" s="72">
        <v>216</v>
      </c>
      <c r="EA219" s="73" t="str">
        <v>Tampa Bay</v>
      </c>
      <c r="EB219" s="75" t="str">
        <v>Winnipeg</v>
      </c>
      <c r="FP219" s="73">
        <v>217</v>
      </c>
      <c r="FQ219" s="73" t="str">
        <v>Winnipeg</v>
      </c>
    </row>
    <row r="220" spans="130:173">
      <c r="DZ220" s="72">
        <v>217</v>
      </c>
      <c r="EA220" s="73" t="str">
        <v>Tampa Bay</v>
      </c>
      <c r="EB220" s="75" t="str">
        <v>Winnipeg</v>
      </c>
      <c r="FP220" s="73">
        <v>218</v>
      </c>
      <c r="FQ220" s="73" t="str">
        <v>Winnipeg</v>
      </c>
    </row>
    <row r="221" spans="130:173">
      <c r="DZ221" s="72">
        <v>218</v>
      </c>
      <c r="EA221" s="73" t="str">
        <v>Tampa Bay</v>
      </c>
      <c r="EB221" s="75" t="str">
        <v>Winnipeg</v>
      </c>
      <c r="FP221" s="73">
        <v>219</v>
      </c>
      <c r="FQ221" s="73" t="str">
        <v>Winnipeg</v>
      </c>
    </row>
    <row r="222" spans="130:173">
      <c r="DZ222" s="72">
        <v>219</v>
      </c>
      <c r="EA222" s="73" t="str">
        <v>Tampa Bay</v>
      </c>
      <c r="EB222" s="75" t="str">
        <v>Winnipeg</v>
      </c>
      <c r="FP222" s="73">
        <v>220</v>
      </c>
      <c r="FQ222" s="73" t="str">
        <v>Winnipeg</v>
      </c>
    </row>
    <row r="223" spans="130:173">
      <c r="DZ223" s="72">
        <v>220</v>
      </c>
      <c r="EA223" s="73" t="str">
        <v>Tampa Bay</v>
      </c>
      <c r="EB223" s="75" t="str">
        <v>Winnipeg</v>
      </c>
      <c r="FP223" s="73">
        <v>221</v>
      </c>
      <c r="FQ223" s="73" t="str">
        <v>Winnipeg</v>
      </c>
    </row>
    <row r="224" spans="130:173">
      <c r="DZ224" s="72">
        <v>221</v>
      </c>
      <c r="EA224" s="73" t="str">
        <v>Pittsburgh</v>
      </c>
      <c r="EB224" s="75" t="str">
        <v>Winnipeg</v>
      </c>
      <c r="FP224" s="73">
        <v>222</v>
      </c>
      <c r="FQ224" s="73" t="str">
        <v>Winnipeg</v>
      </c>
    </row>
    <row r="225" spans="130:173">
      <c r="DZ225" s="72">
        <v>222</v>
      </c>
      <c r="EA225" s="73" t="str">
        <v>Tampa Bay</v>
      </c>
      <c r="EB225" s="75" t="str">
        <v>Winnipeg</v>
      </c>
      <c r="FP225" s="73">
        <v>223</v>
      </c>
      <c r="FQ225" s="73" t="str">
        <v>Winnipeg</v>
      </c>
    </row>
    <row r="226" spans="130:173">
      <c r="DZ226" s="72">
        <v>223</v>
      </c>
      <c r="EA226" s="73" t="str">
        <v>Tampa Bay</v>
      </c>
      <c r="EB226" s="75" t="str">
        <v>Winnipeg</v>
      </c>
      <c r="FP226" s="73">
        <v>224</v>
      </c>
      <c r="FQ226" s="73" t="str">
        <v>Winnipeg</v>
      </c>
    </row>
    <row r="227" spans="130:173">
      <c r="DZ227" s="72">
        <v>224</v>
      </c>
      <c r="EA227" s="73" t="str">
        <v>Detroit</v>
      </c>
      <c r="EB227" s="75" t="str">
        <v>Winnipeg</v>
      </c>
      <c r="FP227" s="73">
        <v>225</v>
      </c>
      <c r="FQ227" s="73" t="str">
        <v>Winnipeg</v>
      </c>
    </row>
    <row r="228" spans="130:173">
      <c r="DZ228" s="72">
        <v>225</v>
      </c>
      <c r="EA228" s="73" t="str">
        <v>Tampa Bay</v>
      </c>
      <c r="EB228" s="75" t="str">
        <v>Winnipeg</v>
      </c>
      <c r="FP228" s="73">
        <v>226</v>
      </c>
      <c r="FQ228" s="73" t="str">
        <v>Winnipeg</v>
      </c>
    </row>
    <row r="229" spans="130:173">
      <c r="DZ229" s="72">
        <v>226</v>
      </c>
      <c r="EA229" s="73" t="str">
        <v>Tampa Bay</v>
      </c>
      <c r="EB229" s="75" t="str">
        <v>Winnipeg</v>
      </c>
      <c r="FP229" s="73">
        <v>227</v>
      </c>
      <c r="FQ229" s="73" t="str">
        <v>Winnipeg</v>
      </c>
    </row>
    <row r="230" spans="130:173">
      <c r="DZ230" s="72">
        <v>227</v>
      </c>
      <c r="EA230" s="73" t="str">
        <v>Tampa Bay</v>
      </c>
      <c r="EB230" s="75" t="str">
        <v>Winnipeg</v>
      </c>
      <c r="FP230" s="73">
        <v>228</v>
      </c>
      <c r="FQ230" s="73" t="str">
        <v>Winnipeg</v>
      </c>
    </row>
    <row r="231" spans="130:173">
      <c r="DZ231" s="72">
        <v>228</v>
      </c>
      <c r="EA231" s="73" t="str">
        <v>NY Islanders</v>
      </c>
      <c r="EB231" s="75" t="str">
        <v>Winnipeg</v>
      </c>
      <c r="FP231" s="73">
        <v>229</v>
      </c>
      <c r="FQ231" s="73" t="str">
        <v>Winnipeg</v>
      </c>
    </row>
    <row r="232" spans="130:173">
      <c r="DZ232" s="72">
        <v>229</v>
      </c>
      <c r="EA232" s="73" t="str">
        <v>Tampa Bay</v>
      </c>
      <c r="EB232" s="75" t="str">
        <v>Winnipeg</v>
      </c>
      <c r="FP232" s="73">
        <v>230</v>
      </c>
      <c r="FQ232" s="73" t="str">
        <v>Winnipeg</v>
      </c>
    </row>
    <row r="233" spans="130:173">
      <c r="DZ233" s="72">
        <v>230</v>
      </c>
      <c r="EA233" s="73" t="str">
        <v>Detroit</v>
      </c>
      <c r="EB233" s="75" t="str">
        <v>Winnipeg</v>
      </c>
      <c r="FP233" s="73">
        <v>231</v>
      </c>
      <c r="FQ233" s="73" t="str">
        <v>Winnipeg</v>
      </c>
    </row>
    <row r="234" spans="130:173">
      <c r="DZ234" s="72">
        <v>231</v>
      </c>
      <c r="EA234" s="73" t="str">
        <v>Tampa Bay</v>
      </c>
      <c r="EB234" s="75" t="str">
        <v>Winnipeg</v>
      </c>
      <c r="FP234" s="73">
        <v>232</v>
      </c>
      <c r="FQ234" s="73" t="str">
        <v>Winnipeg</v>
      </c>
    </row>
    <row r="235" spans="130:173">
      <c r="DZ235" s="72">
        <v>232</v>
      </c>
      <c r="EA235" s="73" t="str">
        <v>Tampa Bay</v>
      </c>
      <c r="EB235" s="75" t="str">
        <v>Winnipeg</v>
      </c>
      <c r="FP235" s="73">
        <v>233</v>
      </c>
      <c r="FQ235" s="73" t="str">
        <v>Winnipeg</v>
      </c>
    </row>
    <row r="236" spans="130:173">
      <c r="DZ236" s="72">
        <v>233</v>
      </c>
      <c r="EA236" s="73" t="str">
        <v>Tampa Bay</v>
      </c>
      <c r="EB236" s="75" t="str">
        <v>Winnipeg</v>
      </c>
      <c r="FP236" s="73">
        <v>234</v>
      </c>
      <c r="FQ236" s="73" t="str">
        <v>Winnipeg</v>
      </c>
    </row>
    <row r="237" spans="130:173">
      <c r="DZ237" s="72">
        <v>234</v>
      </c>
      <c r="EA237" s="73" t="str">
        <v>Detroit</v>
      </c>
      <c r="EB237" s="75" t="str">
        <v>Winnipeg</v>
      </c>
      <c r="FP237" s="73">
        <v>235</v>
      </c>
      <c r="FQ237" s="73" t="str">
        <v>Winnipeg</v>
      </c>
    </row>
    <row r="238" spans="130:173">
      <c r="DZ238" s="72">
        <v>235</v>
      </c>
      <c r="EA238" s="73" t="str">
        <v>NY Islanders</v>
      </c>
      <c r="EB238" s="75" t="str">
        <v>Winnipeg</v>
      </c>
      <c r="FP238" s="73">
        <v>236</v>
      </c>
      <c r="FQ238" s="73" t="str">
        <v>Winnipeg</v>
      </c>
    </row>
    <row r="239" spans="130:173">
      <c r="DZ239" s="72">
        <v>236</v>
      </c>
      <c r="EA239" s="73" t="str">
        <v>Tampa Bay</v>
      </c>
      <c r="EB239" s="75" t="str">
        <v>Winnipeg</v>
      </c>
      <c r="FP239" s="73">
        <v>237</v>
      </c>
      <c r="FQ239" s="73" t="str">
        <v>Winnipeg</v>
      </c>
    </row>
    <row r="240" spans="130:173">
      <c r="DZ240" s="72">
        <v>237</v>
      </c>
      <c r="EA240" s="73" t="str">
        <v>Tampa Bay</v>
      </c>
      <c r="EB240" s="75" t="str">
        <v>Winnipeg</v>
      </c>
      <c r="FP240" s="73">
        <v>238</v>
      </c>
      <c r="FQ240" s="73" t="str">
        <v>Winnipeg</v>
      </c>
    </row>
    <row r="241" spans="130:173">
      <c r="DZ241" s="72">
        <v>238</v>
      </c>
      <c r="EA241" s="73" t="str">
        <v>Detroit</v>
      </c>
      <c r="EB241" s="75" t="str">
        <v>Winnipeg</v>
      </c>
      <c r="FP241" s="73">
        <v>239</v>
      </c>
      <c r="FQ241" s="73" t="str">
        <v>Winnipeg</v>
      </c>
    </row>
    <row r="242" spans="130:173">
      <c r="DZ242" s="72">
        <v>239</v>
      </c>
      <c r="EA242" s="73" t="str">
        <v>Tampa Bay</v>
      </c>
      <c r="EB242" s="75" t="str">
        <v>Winnipeg</v>
      </c>
      <c r="FP242" s="73">
        <v>240</v>
      </c>
      <c r="FQ242" s="73" t="str">
        <v>Winnipeg</v>
      </c>
    </row>
    <row r="243" spans="130:173">
      <c r="DZ243" s="72">
        <v>240</v>
      </c>
      <c r="EA243" s="73" t="str">
        <v>Tampa Bay</v>
      </c>
      <c r="EB243" s="75" t="str">
        <v>Winnipeg</v>
      </c>
      <c r="FP243" s="73">
        <v>241</v>
      </c>
      <c r="FQ243" s="73" t="str">
        <v>Winnipeg</v>
      </c>
    </row>
    <row r="244" spans="130:173">
      <c r="DZ244" s="72">
        <v>241</v>
      </c>
      <c r="EA244" s="73" t="str">
        <v>Tampa Bay</v>
      </c>
      <c r="EB244" s="75" t="str">
        <v>Winnipeg</v>
      </c>
      <c r="FP244" s="73">
        <v>242</v>
      </c>
      <c r="FQ244" s="73" t="str">
        <v>Winnipeg</v>
      </c>
    </row>
    <row r="245" spans="130:173">
      <c r="DZ245" s="72">
        <v>242</v>
      </c>
      <c r="EA245" s="73" t="str">
        <v>Tampa Bay</v>
      </c>
      <c r="EB245" s="75" t="str">
        <v>Winnipeg</v>
      </c>
      <c r="FP245" s="73">
        <v>243</v>
      </c>
      <c r="FQ245" s="73" t="str">
        <v>Winnipeg</v>
      </c>
    </row>
    <row r="246" spans="130:173">
      <c r="DZ246" s="72">
        <v>243</v>
      </c>
      <c r="EA246" s="73" t="str">
        <v>Tampa Bay</v>
      </c>
      <c r="EB246" s="75" t="str">
        <v>Winnipeg</v>
      </c>
      <c r="FP246" s="73">
        <v>244</v>
      </c>
      <c r="FQ246" s="73" t="str">
        <v>Winnipeg</v>
      </c>
    </row>
    <row r="247" spans="130:173">
      <c r="DZ247" s="72">
        <v>244</v>
      </c>
      <c r="EA247" s="73" t="str">
        <v>Tampa Bay</v>
      </c>
      <c r="EB247" s="75" t="str">
        <v>Winnipeg</v>
      </c>
      <c r="FP247" s="73">
        <v>245</v>
      </c>
      <c r="FQ247" s="73" t="str">
        <v>Winnipeg</v>
      </c>
    </row>
    <row r="248" spans="130:173">
      <c r="DZ248" s="72">
        <v>245</v>
      </c>
      <c r="EA248" s="73" t="str">
        <v>Tampa Bay</v>
      </c>
      <c r="EB248" s="75" t="str">
        <v>Winnipeg</v>
      </c>
      <c r="FP248" s="73">
        <v>246</v>
      </c>
      <c r="FQ248" s="73" t="str">
        <v>Winnipeg</v>
      </c>
    </row>
    <row r="249" spans="130:173">
      <c r="DZ249" s="72">
        <v>246</v>
      </c>
      <c r="EA249" s="73" t="str">
        <v>NY Islanders</v>
      </c>
      <c r="EB249" s="75" t="str">
        <v>Winnipeg</v>
      </c>
      <c r="FP249" s="73">
        <v>247</v>
      </c>
      <c r="FQ249" s="73" t="str">
        <v>Winnipeg</v>
      </c>
    </row>
    <row r="250" spans="130:173">
      <c r="DZ250" s="72">
        <v>247</v>
      </c>
      <c r="EA250" s="73" t="str">
        <v>Detroit</v>
      </c>
      <c r="EB250" s="75" t="str">
        <v>Winnipeg</v>
      </c>
      <c r="FP250" s="73">
        <v>248</v>
      </c>
      <c r="FQ250" s="73" t="str">
        <v>Winnipeg</v>
      </c>
    </row>
    <row r="251" spans="130:173">
      <c r="DZ251" s="72">
        <v>248</v>
      </c>
      <c r="EA251" s="73" t="str">
        <v>Pittsburgh</v>
      </c>
      <c r="EB251" s="75" t="str">
        <v>Winnipeg</v>
      </c>
      <c r="FP251" s="73">
        <v>249</v>
      </c>
      <c r="FQ251" s="73" t="str">
        <v>Winnipeg</v>
      </c>
    </row>
    <row r="252" spans="130:173">
      <c r="DZ252" s="72">
        <v>249</v>
      </c>
      <c r="EA252" s="73" t="str">
        <v>Tampa Bay</v>
      </c>
      <c r="EB252" s="75" t="str">
        <v>Winnipeg</v>
      </c>
      <c r="FP252" s="73">
        <v>250</v>
      </c>
      <c r="FQ252" s="73" t="str">
        <v>Winnipeg</v>
      </c>
    </row>
    <row r="253" spans="130:173">
      <c r="DZ253" s="72">
        <v>250</v>
      </c>
      <c r="EA253" s="73" t="str">
        <v>Detroit</v>
      </c>
      <c r="EB253" s="75" t="str">
        <v>Winnipeg</v>
      </c>
      <c r="FP253" s="73">
        <v>251</v>
      </c>
      <c r="FQ253" s="73" t="str">
        <v>Winnipeg</v>
      </c>
    </row>
    <row r="254" spans="130:173">
      <c r="DZ254" s="72">
        <v>251</v>
      </c>
      <c r="EA254" s="73" t="str">
        <v>Tampa Bay</v>
      </c>
      <c r="EB254" s="75" t="str">
        <v>Winnipeg</v>
      </c>
      <c r="FP254" s="73">
        <v>252</v>
      </c>
      <c r="FQ254" s="73" t="str">
        <v>Winnipeg</v>
      </c>
    </row>
    <row r="255" spans="130:173">
      <c r="DZ255" s="72">
        <v>252</v>
      </c>
      <c r="EA255" s="73" t="str">
        <v>Tampa Bay</v>
      </c>
      <c r="EB255" s="75" t="str">
        <v>Winnipeg</v>
      </c>
      <c r="FP255" s="73">
        <v>253</v>
      </c>
      <c r="FQ255" s="73" t="str">
        <v>Winnipeg</v>
      </c>
    </row>
    <row r="256" spans="130:173">
      <c r="DZ256" s="72">
        <v>253</v>
      </c>
      <c r="EA256" s="73" t="str">
        <v>Boston</v>
      </c>
      <c r="EB256" s="75" t="str">
        <v>Winnipeg</v>
      </c>
      <c r="FP256" s="73">
        <v>254</v>
      </c>
      <c r="FQ256" s="73" t="str">
        <v>Winnipeg</v>
      </c>
    </row>
    <row r="257" spans="130:173">
      <c r="DZ257" s="72">
        <v>254</v>
      </c>
      <c r="EA257" s="73" t="str">
        <v>Tampa Bay</v>
      </c>
      <c r="EB257" s="75" t="str">
        <v>Winnipeg</v>
      </c>
      <c r="FP257" s="73">
        <v>255</v>
      </c>
      <c r="FQ257" s="73" t="str">
        <v>Winnipeg</v>
      </c>
    </row>
    <row r="258" spans="130:173">
      <c r="DZ258" s="72">
        <v>255</v>
      </c>
      <c r="EA258" s="73" t="str">
        <v>NY Islanders</v>
      </c>
      <c r="EB258" s="75" t="str">
        <v>Winnipeg</v>
      </c>
      <c r="FP258" s="73">
        <v>256</v>
      </c>
      <c r="FQ258" s="73" t="str">
        <v>Winnipeg</v>
      </c>
    </row>
    <row r="259" spans="130:173">
      <c r="DZ259" s="72">
        <v>256</v>
      </c>
      <c r="EA259" s="73" t="str">
        <v>Detroit</v>
      </c>
      <c r="EB259" s="75" t="str">
        <v>Winnipeg</v>
      </c>
      <c r="FP259" s="73">
        <v>257</v>
      </c>
      <c r="FQ259" s="73" t="str">
        <v>Winnipeg</v>
      </c>
    </row>
    <row r="260" spans="130:173">
      <c r="DZ260" s="72">
        <v>257</v>
      </c>
      <c r="EA260" s="73" t="str">
        <v>Detroit</v>
      </c>
      <c r="EB260" s="75" t="str">
        <v>Winnipeg</v>
      </c>
      <c r="FP260" s="73">
        <v>258</v>
      </c>
      <c r="FQ260" s="73" t="str">
        <v>Winnipeg</v>
      </c>
    </row>
    <row r="261" spans="130:173">
      <c r="DZ261" s="72">
        <v>258</v>
      </c>
      <c r="EA261" s="73" t="str">
        <v>Tampa Bay</v>
      </c>
      <c r="EB261" s="75" t="str">
        <v>Winnipeg</v>
      </c>
      <c r="FP261" s="73">
        <v>259</v>
      </c>
      <c r="FQ261" s="73" t="str">
        <v>Winnipeg</v>
      </c>
    </row>
    <row r="262" spans="130:173">
      <c r="DZ262" s="72">
        <v>259</v>
      </c>
      <c r="EA262" s="73" t="str">
        <v>NY Islanders</v>
      </c>
      <c r="EB262" s="75" t="str">
        <v>Winnipeg</v>
      </c>
      <c r="FP262" s="73">
        <v>260</v>
      </c>
      <c r="FQ262" s="73" t="str">
        <v>Winnipeg</v>
      </c>
    </row>
    <row r="263" spans="130:173">
      <c r="DZ263" s="72">
        <v>260</v>
      </c>
      <c r="EA263" s="73" t="str">
        <v>Tampa Bay</v>
      </c>
      <c r="EB263" s="75" t="str">
        <v>Winnipeg</v>
      </c>
      <c r="FP263" s="73">
        <v>261</v>
      </c>
      <c r="FQ263" s="73" t="str">
        <v>Winnipeg</v>
      </c>
    </row>
    <row r="264" spans="130:173">
      <c r="DZ264" s="72">
        <v>261</v>
      </c>
      <c r="EA264" s="73" t="str">
        <v>Tampa Bay</v>
      </c>
      <c r="EB264" s="75" t="str">
        <v>Winnipeg</v>
      </c>
      <c r="FP264" s="73">
        <v>262</v>
      </c>
      <c r="FQ264" s="73" t="str">
        <v>Winnipeg</v>
      </c>
    </row>
    <row r="265" spans="130:173">
      <c r="DZ265" s="72">
        <v>262</v>
      </c>
      <c r="EA265" s="73" t="str">
        <v>Tampa Bay</v>
      </c>
      <c r="EB265" s="75" t="str">
        <v>Winnipeg</v>
      </c>
      <c r="FP265" s="73">
        <v>263</v>
      </c>
      <c r="FQ265" s="73" t="str">
        <v>Winnipeg</v>
      </c>
    </row>
    <row r="266" spans="130:173">
      <c r="DZ266" s="72">
        <v>263</v>
      </c>
      <c r="EA266" s="73" t="str">
        <v>Detroit</v>
      </c>
      <c r="EB266" s="75" t="str">
        <v>Winnipeg</v>
      </c>
      <c r="FP266" s="73">
        <v>264</v>
      </c>
      <c r="FQ266" s="73" t="str">
        <v>Winnipeg</v>
      </c>
    </row>
    <row r="267" spans="130:173">
      <c r="DZ267" s="72">
        <v>264</v>
      </c>
      <c r="EA267" s="73" t="str">
        <v>Pittsburgh</v>
      </c>
      <c r="EB267" s="75" t="str">
        <v>Winnipeg</v>
      </c>
      <c r="FP267" s="73">
        <v>265</v>
      </c>
      <c r="FQ267" s="73" t="str">
        <v>Winnipeg</v>
      </c>
    </row>
    <row r="268" spans="130:173">
      <c r="DZ268" s="72">
        <v>265</v>
      </c>
      <c r="EA268" s="73" t="str">
        <v>Pittsburgh</v>
      </c>
      <c r="EB268" s="75" t="str">
        <v>Winnipeg</v>
      </c>
      <c r="FP268" s="73">
        <v>266</v>
      </c>
      <c r="FQ268" s="73" t="str">
        <v>Winnipeg</v>
      </c>
    </row>
    <row r="269" spans="130:173">
      <c r="DZ269" s="72">
        <v>266</v>
      </c>
      <c r="EA269" s="73" t="str">
        <v>Detroit</v>
      </c>
      <c r="EB269" s="75" t="str">
        <v>Winnipeg</v>
      </c>
      <c r="FP269" s="73">
        <v>267</v>
      </c>
      <c r="FQ269" s="73" t="str">
        <v>Winnipeg</v>
      </c>
    </row>
    <row r="270" spans="130:173">
      <c r="DZ270" s="72">
        <v>267</v>
      </c>
      <c r="EA270" s="73" t="str">
        <v>Detroit</v>
      </c>
      <c r="EB270" s="75" t="str">
        <v>Winnipeg</v>
      </c>
      <c r="FP270" s="73">
        <v>268</v>
      </c>
      <c r="FQ270" s="73" t="str">
        <v>Winnipeg</v>
      </c>
    </row>
    <row r="271" spans="130:173">
      <c r="DZ271" s="72">
        <v>268</v>
      </c>
      <c r="EA271" s="73" t="str">
        <v>Tampa Bay</v>
      </c>
      <c r="EB271" s="75" t="str">
        <v>Winnipeg</v>
      </c>
      <c r="FP271" s="73">
        <v>269</v>
      </c>
      <c r="FQ271" s="73" t="str">
        <v>Winnipeg</v>
      </c>
    </row>
    <row r="272" spans="130:173">
      <c r="DZ272" s="72">
        <v>269</v>
      </c>
      <c r="EA272" s="73" t="str">
        <v>NY Islanders</v>
      </c>
      <c r="EB272" s="75" t="str">
        <v>Winnipeg</v>
      </c>
      <c r="FP272" s="73">
        <v>270</v>
      </c>
      <c r="FQ272" s="73" t="str">
        <v>Winnipeg</v>
      </c>
    </row>
    <row r="273" spans="130:173">
      <c r="DZ273" s="72">
        <v>270</v>
      </c>
      <c r="EA273" s="73" t="str">
        <v>Tampa Bay</v>
      </c>
      <c r="EB273" s="75" t="str">
        <v>Winnipeg</v>
      </c>
      <c r="FP273" s="73">
        <v>271</v>
      </c>
      <c r="FQ273" s="73" t="str">
        <v>Winnipeg</v>
      </c>
    </row>
    <row r="274" spans="130:173">
      <c r="DZ274" s="72">
        <v>271</v>
      </c>
      <c r="EA274" s="73" t="str">
        <v>Tampa Bay</v>
      </c>
      <c r="EB274" s="75" t="str">
        <v>Winnipeg</v>
      </c>
      <c r="FP274" s="73">
        <v>272</v>
      </c>
      <c r="FQ274" s="73" t="str">
        <v>Winnipeg</v>
      </c>
    </row>
    <row r="275" spans="130:173">
      <c r="DZ275" s="72">
        <v>272</v>
      </c>
      <c r="EA275" s="73" t="str">
        <v>Tampa Bay</v>
      </c>
      <c r="EB275" s="75" t="str">
        <v>Winnipeg</v>
      </c>
      <c r="FP275" s="73">
        <v>273</v>
      </c>
      <c r="FQ275" s="73" t="str">
        <v>Winnipeg</v>
      </c>
    </row>
    <row r="276" spans="130:173">
      <c r="DZ276" s="72">
        <v>273</v>
      </c>
      <c r="EA276" s="73" t="str">
        <v>NY Rangers</v>
      </c>
      <c r="EB276" s="75" t="str">
        <v>Winnipeg</v>
      </c>
      <c r="FP276" s="73">
        <v>274</v>
      </c>
      <c r="FQ276" s="73" t="str">
        <v>Winnipeg</v>
      </c>
    </row>
    <row r="277" spans="130:173">
      <c r="DZ277" s="72">
        <v>274</v>
      </c>
      <c r="EA277" s="73" t="str">
        <v>NY Islanders</v>
      </c>
      <c r="EB277" s="75" t="str">
        <v>Winnipeg</v>
      </c>
      <c r="FP277" s="73">
        <v>275</v>
      </c>
      <c r="FQ277" s="73" t="str">
        <v>Winnipeg</v>
      </c>
    </row>
    <row r="278" spans="130:173">
      <c r="DZ278" s="72">
        <v>275</v>
      </c>
      <c r="EA278" s="73" t="str">
        <v>Tampa Bay</v>
      </c>
      <c r="EB278" s="75" t="str">
        <v>Winnipeg</v>
      </c>
      <c r="FP278" s="73">
        <v>276</v>
      </c>
      <c r="FQ278" s="73" t="str">
        <v>Winnipeg</v>
      </c>
    </row>
    <row r="279" spans="130:173">
      <c r="DZ279" s="72">
        <v>276</v>
      </c>
      <c r="EA279" s="73" t="str">
        <v>Tampa Bay</v>
      </c>
      <c r="EB279" s="75" t="str">
        <v>Winnipeg</v>
      </c>
      <c r="FP279" s="73">
        <v>277</v>
      </c>
      <c r="FQ279" s="73" t="str">
        <v>Winnipeg</v>
      </c>
    </row>
    <row r="280" spans="130:173">
      <c r="DZ280" s="72">
        <v>277</v>
      </c>
      <c r="EA280" s="73" t="str">
        <v>Detroit</v>
      </c>
      <c r="EB280" s="75" t="str">
        <v>Winnipeg</v>
      </c>
      <c r="FP280" s="73">
        <v>278</v>
      </c>
      <c r="FQ280" s="73" t="str">
        <v>Winnipeg</v>
      </c>
    </row>
    <row r="281" spans="130:173">
      <c r="DZ281" s="72">
        <v>278</v>
      </c>
      <c r="EA281" s="73" t="str">
        <v>Tampa Bay</v>
      </c>
      <c r="EB281" s="75" t="str">
        <v>Winnipeg</v>
      </c>
      <c r="FP281" s="73">
        <v>279</v>
      </c>
      <c r="FQ281" s="73" t="str">
        <v>Winnipeg</v>
      </c>
    </row>
    <row r="282" spans="130:173">
      <c r="DZ282" s="72">
        <v>279</v>
      </c>
      <c r="EA282" s="73" t="str">
        <v>NY Islanders</v>
      </c>
      <c r="EB282" s="75" t="str">
        <v>Winnipeg</v>
      </c>
      <c r="FP282" s="73">
        <v>280</v>
      </c>
      <c r="FQ282" s="73" t="str">
        <v>Winnipeg</v>
      </c>
    </row>
    <row r="283" spans="130:173">
      <c r="DZ283" s="72">
        <v>280</v>
      </c>
      <c r="EA283" s="73" t="str">
        <v>Tampa Bay</v>
      </c>
      <c r="EB283" s="75" t="str">
        <v>Winnipeg</v>
      </c>
      <c r="FP283" s="73">
        <v>281</v>
      </c>
      <c r="FQ283" s="73" t="str">
        <v>Winnipeg</v>
      </c>
    </row>
    <row r="284" spans="130:173">
      <c r="DZ284" s="72">
        <v>281</v>
      </c>
      <c r="EA284" s="73" t="str">
        <v>NY Islanders</v>
      </c>
      <c r="EB284" s="75" t="str">
        <v>Winnipeg</v>
      </c>
      <c r="FP284" s="73">
        <v>282</v>
      </c>
      <c r="FQ284" s="73" t="str">
        <v>Winnipeg</v>
      </c>
    </row>
    <row r="285" spans="130:173">
      <c r="DZ285" s="72">
        <v>282</v>
      </c>
      <c r="EA285" s="73" t="str">
        <v>Tampa Bay</v>
      </c>
      <c r="EB285" s="75" t="str">
        <v>Winnipeg</v>
      </c>
      <c r="FP285" s="73">
        <v>283</v>
      </c>
      <c r="FQ285" s="73" t="str">
        <v>Winnipeg</v>
      </c>
    </row>
    <row r="286" spans="130:173">
      <c r="DZ286" s="72">
        <v>283</v>
      </c>
      <c r="EA286" s="73" t="str">
        <v>Tampa Bay</v>
      </c>
      <c r="EB286" s="75" t="str">
        <v>Winnipeg</v>
      </c>
      <c r="FP286" s="73">
        <v>284</v>
      </c>
      <c r="FQ286" s="73" t="str">
        <v>Winnipeg</v>
      </c>
    </row>
    <row r="287" spans="130:173">
      <c r="DZ287" s="72">
        <v>284</v>
      </c>
      <c r="EA287" s="73" t="str">
        <v>Tampa Bay</v>
      </c>
      <c r="EB287" s="75" t="str">
        <v>Winnipeg</v>
      </c>
      <c r="FP287" s="73">
        <v>285</v>
      </c>
      <c r="FQ287" s="73" t="str">
        <v>Winnipeg</v>
      </c>
    </row>
    <row r="288" spans="130:173">
      <c r="DZ288" s="72">
        <v>285</v>
      </c>
      <c r="EA288" s="73" t="str">
        <v>Washington</v>
      </c>
      <c r="EB288" s="75" t="str">
        <v>Winnipeg</v>
      </c>
      <c r="FP288" s="73">
        <v>286</v>
      </c>
      <c r="FQ288" s="73" t="str">
        <v>Winnipeg</v>
      </c>
    </row>
    <row r="289" spans="130:173">
      <c r="DZ289" s="72">
        <v>286</v>
      </c>
      <c r="EA289" s="73" t="str">
        <v>Detroit</v>
      </c>
      <c r="EB289" s="75" t="str">
        <v>Winnipeg</v>
      </c>
      <c r="FP289" s="73">
        <v>287</v>
      </c>
      <c r="FQ289" s="73" t="str">
        <v>Winnipeg</v>
      </c>
    </row>
    <row r="290" spans="130:173">
      <c r="DZ290" s="72">
        <v>287</v>
      </c>
      <c r="EA290" s="73" t="str">
        <v>Washington</v>
      </c>
      <c r="EB290" s="75" t="str">
        <v>Winnipeg</v>
      </c>
      <c r="FP290" s="73">
        <v>288</v>
      </c>
      <c r="FQ290" s="73" t="str">
        <v>Winnipeg</v>
      </c>
    </row>
    <row r="291" spans="130:173">
      <c r="DZ291" s="72">
        <v>288</v>
      </c>
      <c r="EA291" s="73" t="str">
        <v>Detroit</v>
      </c>
      <c r="EB291" s="75" t="str">
        <v>Winnipeg</v>
      </c>
      <c r="FP291" s="73">
        <v>289</v>
      </c>
      <c r="FQ291" s="73" t="str">
        <v>Winnipeg</v>
      </c>
    </row>
    <row r="292" spans="130:173">
      <c r="DZ292" s="72">
        <v>289</v>
      </c>
      <c r="EA292" s="73" t="str">
        <v>Pittsburgh</v>
      </c>
      <c r="EB292" s="75" t="str">
        <v>Winnipeg</v>
      </c>
      <c r="FP292" s="73">
        <v>290</v>
      </c>
      <c r="FQ292" s="73" t="str">
        <v>Winnipeg</v>
      </c>
    </row>
    <row r="293" spans="130:173">
      <c r="DZ293" s="72">
        <v>290</v>
      </c>
      <c r="EA293" s="73" t="str">
        <v>Detroit</v>
      </c>
      <c r="EB293" s="75" t="str">
        <v>Winnipeg</v>
      </c>
      <c r="FP293" s="73">
        <v>291</v>
      </c>
      <c r="FQ293" s="73" t="str">
        <v>Winnipeg</v>
      </c>
    </row>
    <row r="294" spans="130:173">
      <c r="DZ294" s="72">
        <v>291</v>
      </c>
      <c r="EA294" s="73" t="str">
        <v>Tampa Bay</v>
      </c>
      <c r="EB294" s="75" t="str">
        <v>Winnipeg</v>
      </c>
      <c r="FP294" s="73">
        <v>292</v>
      </c>
      <c r="FQ294" s="73" t="str">
        <v>Winnipeg</v>
      </c>
    </row>
    <row r="295" spans="130:173">
      <c r="DZ295" s="72">
        <v>292</v>
      </c>
      <c r="EA295" s="73" t="str">
        <v>Tampa Bay</v>
      </c>
      <c r="EB295" s="75" t="str">
        <v>Winnipeg</v>
      </c>
      <c r="FP295" s="73">
        <v>293</v>
      </c>
      <c r="FQ295" s="73" t="str">
        <v>Winnipeg</v>
      </c>
    </row>
    <row r="296" spans="130:173">
      <c r="DZ296" s="72">
        <v>293</v>
      </c>
      <c r="EA296" s="73" t="str">
        <v>Tampa Bay</v>
      </c>
      <c r="EB296" s="75" t="str">
        <v>Winnipeg</v>
      </c>
      <c r="FP296" s="73">
        <v>294</v>
      </c>
      <c r="FQ296" s="73" t="str">
        <v>Winnipeg</v>
      </c>
    </row>
    <row r="297" spans="130:173">
      <c r="DZ297" s="72">
        <v>294</v>
      </c>
      <c r="EA297" s="73" t="str">
        <v>NY Islanders</v>
      </c>
      <c r="EB297" s="75" t="str">
        <v>Winnipeg</v>
      </c>
      <c r="FP297" s="73">
        <v>295</v>
      </c>
      <c r="FQ297" s="73" t="str">
        <v>Winnipeg</v>
      </c>
    </row>
    <row r="298" spans="130:173">
      <c r="DZ298" s="72">
        <v>295</v>
      </c>
      <c r="EA298" s="73" t="str">
        <v>Tampa Bay</v>
      </c>
      <c r="EB298" s="75" t="str">
        <v>Winnipeg</v>
      </c>
      <c r="FP298" s="73">
        <v>296</v>
      </c>
      <c r="FQ298" s="73" t="str">
        <v>Winnipeg</v>
      </c>
    </row>
    <row r="299" spans="130:173">
      <c r="DZ299" s="72">
        <v>296</v>
      </c>
      <c r="EA299" s="73" t="str">
        <v>Tampa Bay</v>
      </c>
      <c r="EB299" s="75" t="str">
        <v>Winnipeg</v>
      </c>
      <c r="FP299" s="73">
        <v>297</v>
      </c>
      <c r="FQ299" s="73" t="str">
        <v>Winnipeg</v>
      </c>
    </row>
    <row r="300" spans="130:173">
      <c r="DZ300" s="72">
        <v>297</v>
      </c>
      <c r="EA300" s="73" t="str">
        <v>Detroit</v>
      </c>
      <c r="EB300" s="75" t="str">
        <v>Winnipeg</v>
      </c>
      <c r="FP300" s="73">
        <v>298</v>
      </c>
      <c r="FQ300" s="73" t="str">
        <v>Winnipeg</v>
      </c>
    </row>
    <row r="301" spans="130:173">
      <c r="DZ301" s="72">
        <v>298</v>
      </c>
      <c r="EA301" s="73" t="str">
        <v>Detroit</v>
      </c>
      <c r="EB301" s="75" t="str">
        <v>Winnipeg</v>
      </c>
      <c r="FP301" s="73">
        <v>299</v>
      </c>
      <c r="FQ301" s="73" t="str">
        <v>Winnipeg</v>
      </c>
    </row>
    <row r="302" spans="130:173">
      <c r="DZ302" s="72">
        <v>299</v>
      </c>
      <c r="EA302" s="73" t="str">
        <v>Detroit</v>
      </c>
      <c r="EB302" s="75" t="str">
        <v>Winnipeg</v>
      </c>
      <c r="FP302" s="73">
        <v>300</v>
      </c>
      <c r="FQ302" s="73" t="str">
        <v>Winnipeg</v>
      </c>
    </row>
    <row r="303" spans="130:173">
      <c r="DZ303" s="72">
        <v>300</v>
      </c>
      <c r="EA303" s="73" t="str">
        <v>NY Islanders</v>
      </c>
      <c r="EB303" s="75" t="str">
        <v>Winnipeg</v>
      </c>
      <c r="FP303" s="73">
        <v>301</v>
      </c>
      <c r="FQ303" s="73" t="str">
        <v>Winnipeg</v>
      </c>
    </row>
    <row r="304" spans="130:173">
      <c r="DZ304" s="72">
        <v>301</v>
      </c>
      <c r="EA304" s="73" t="str">
        <v>NY Islanders</v>
      </c>
      <c r="EB304" s="75" t="str">
        <v>Winnipeg</v>
      </c>
      <c r="FP304" s="73">
        <v>302</v>
      </c>
      <c r="FQ304" s="73" t="str">
        <v>Winnipeg</v>
      </c>
    </row>
    <row r="305" spans="130:173">
      <c r="DZ305" s="72">
        <v>302</v>
      </c>
      <c r="EA305" s="73" t="str">
        <v>Tampa Bay</v>
      </c>
      <c r="EB305" s="75" t="str">
        <v>Winnipeg</v>
      </c>
      <c r="FP305" s="73">
        <v>303</v>
      </c>
      <c r="FQ305" s="73" t="str">
        <v>Winnipeg</v>
      </c>
    </row>
    <row r="306" spans="130:173">
      <c r="DZ306" s="72">
        <v>303</v>
      </c>
      <c r="EA306" s="73" t="str">
        <v>NY Islanders</v>
      </c>
      <c r="EB306" s="75" t="str">
        <v>Winnipeg</v>
      </c>
      <c r="FP306" s="73">
        <v>304</v>
      </c>
      <c r="FQ306" s="73" t="str">
        <v>Winnipeg</v>
      </c>
    </row>
    <row r="307" spans="130:173">
      <c r="DZ307" s="72">
        <v>304</v>
      </c>
      <c r="EA307" s="73" t="str">
        <v>Tampa Bay</v>
      </c>
      <c r="EB307" s="75" t="str">
        <v>Winnipeg</v>
      </c>
      <c r="FP307" s="73">
        <v>305</v>
      </c>
      <c r="FQ307" s="73" t="str">
        <v>Winnipeg</v>
      </c>
    </row>
    <row r="308" spans="130:173">
      <c r="DZ308" s="72">
        <v>305</v>
      </c>
      <c r="EA308" s="73" t="str">
        <v>Tampa Bay</v>
      </c>
      <c r="EB308" s="75" t="str">
        <v>Winnipeg</v>
      </c>
      <c r="FP308" s="73">
        <v>306</v>
      </c>
      <c r="FQ308" s="73" t="str">
        <v>Winnipeg</v>
      </c>
    </row>
    <row r="309" spans="130:173">
      <c r="DZ309" s="72">
        <v>306</v>
      </c>
      <c r="EA309" s="73" t="str">
        <v>Tampa Bay</v>
      </c>
      <c r="EB309" s="75" t="str">
        <v>Winnipeg</v>
      </c>
      <c r="FP309" s="73">
        <v>307</v>
      </c>
      <c r="FQ309" s="73" t="str">
        <v>Winnipeg</v>
      </c>
    </row>
    <row r="310" spans="130:173">
      <c r="DZ310" s="72">
        <v>307</v>
      </c>
      <c r="EA310" s="73" t="str">
        <v>Tampa Bay</v>
      </c>
      <c r="EB310" s="75" t="str">
        <v>Winnipeg</v>
      </c>
      <c r="FP310" s="73">
        <v>308</v>
      </c>
      <c r="FQ310" s="73" t="str">
        <v>Winnipeg</v>
      </c>
    </row>
    <row r="311" spans="130:173">
      <c r="DZ311" s="72">
        <v>308</v>
      </c>
      <c r="EA311" s="73" t="str">
        <v>Detroit</v>
      </c>
      <c r="EB311" s="75" t="str">
        <v>Winnipeg</v>
      </c>
      <c r="FP311" s="73">
        <v>309</v>
      </c>
      <c r="FQ311" s="73" t="str">
        <v>Winnipeg</v>
      </c>
    </row>
    <row r="312" spans="130:173">
      <c r="DZ312" s="72">
        <v>309</v>
      </c>
      <c r="EA312" s="73" t="str">
        <v>Tampa Bay</v>
      </c>
      <c r="EB312" s="75" t="str">
        <v>Winnipeg</v>
      </c>
      <c r="FP312" s="73">
        <v>310</v>
      </c>
      <c r="FQ312" s="73" t="str">
        <v>Winnipeg</v>
      </c>
    </row>
    <row r="313" spans="130:173">
      <c r="DZ313" s="72">
        <v>310</v>
      </c>
      <c r="EA313" s="73" t="str">
        <v>NY Islanders</v>
      </c>
      <c r="EB313" s="75" t="str">
        <v>Winnipeg</v>
      </c>
      <c r="FP313" s="73">
        <v>311</v>
      </c>
      <c r="FQ313" s="73" t="str">
        <v>Winnipeg</v>
      </c>
    </row>
    <row r="314" spans="130:173">
      <c r="DZ314" s="72">
        <v>311</v>
      </c>
      <c r="EA314" s="73" t="str">
        <v>Tampa Bay</v>
      </c>
      <c r="EB314" s="75" t="str">
        <v>Winnipeg</v>
      </c>
      <c r="FP314" s="73">
        <v>312</v>
      </c>
      <c r="FQ314" s="73" t="str">
        <v>Winnipeg</v>
      </c>
    </row>
    <row r="315" spans="130:173">
      <c r="DZ315" s="72">
        <v>312</v>
      </c>
      <c r="EA315" s="73" t="str">
        <v>Tampa Bay</v>
      </c>
      <c r="EB315" s="75" t="str">
        <v>Winnipeg</v>
      </c>
      <c r="FP315" s="73">
        <v>313</v>
      </c>
      <c r="FQ315" s="73" t="str">
        <v>Winnipeg</v>
      </c>
    </row>
    <row r="316" spans="130:173">
      <c r="DZ316" s="72">
        <v>313</v>
      </c>
      <c r="EA316" s="73" t="str">
        <v>Detroit</v>
      </c>
      <c r="EB316" s="75" t="str">
        <v>Winnipeg</v>
      </c>
      <c r="FP316" s="73">
        <v>314</v>
      </c>
      <c r="FQ316" s="73" t="str">
        <v>Winnipeg</v>
      </c>
    </row>
    <row r="317" spans="130:173">
      <c r="DZ317" s="72">
        <v>314</v>
      </c>
      <c r="EA317" s="73" t="str">
        <v>Montreal</v>
      </c>
      <c r="EB317" s="75" t="str">
        <v>Winnipeg</v>
      </c>
      <c r="FP317" s="73">
        <v>315</v>
      </c>
      <c r="FQ317" s="73" t="str">
        <v>Winnipeg</v>
      </c>
    </row>
    <row r="318" spans="130:173">
      <c r="DZ318" s="72">
        <v>315</v>
      </c>
      <c r="EA318" s="73" t="str">
        <v>Tampa Bay</v>
      </c>
      <c r="EB318" s="75" t="str">
        <v>Winnipeg</v>
      </c>
      <c r="FP318" s="73">
        <v>316</v>
      </c>
      <c r="FQ318" s="73" t="str">
        <v>Winnipeg</v>
      </c>
    </row>
    <row r="319" spans="130:173">
      <c r="DZ319" s="72">
        <v>316</v>
      </c>
      <c r="EA319" s="73" t="str">
        <v>Detroit</v>
      </c>
      <c r="EB319" s="75" t="str">
        <v>Winnipeg</v>
      </c>
      <c r="FP319" s="73">
        <v>317</v>
      </c>
      <c r="FQ319" s="73" t="str">
        <v>Winnipeg</v>
      </c>
    </row>
    <row r="320" spans="130:173">
      <c r="DZ320" s="72">
        <v>317</v>
      </c>
      <c r="EA320" s="73" t="str">
        <v>Tampa Bay</v>
      </c>
      <c r="EB320" s="75" t="str">
        <v>Winnipeg</v>
      </c>
      <c r="FP320" s="73">
        <v>318</v>
      </c>
      <c r="FQ320" s="73" t="str">
        <v>Winnipeg</v>
      </c>
    </row>
    <row r="321" spans="130:173">
      <c r="DZ321" s="72">
        <v>318</v>
      </c>
      <c r="EA321" s="73" t="str">
        <v>Detroit</v>
      </c>
      <c r="EB321" s="75" t="str">
        <v>Winnipeg</v>
      </c>
      <c r="FP321" s="73">
        <v>319</v>
      </c>
      <c r="FQ321" s="73" t="str">
        <v>Winnipeg</v>
      </c>
    </row>
    <row r="322" spans="130:173">
      <c r="DZ322" s="72">
        <v>319</v>
      </c>
      <c r="EA322" s="73" t="str">
        <v>Tampa Bay</v>
      </c>
      <c r="EB322" s="75" t="str">
        <v>Winnipeg</v>
      </c>
      <c r="FP322" s="73">
        <v>320</v>
      </c>
      <c r="FQ322" s="73" t="str">
        <v>Winnipeg</v>
      </c>
    </row>
    <row r="323" spans="130:173">
      <c r="DZ323" s="72">
        <v>320</v>
      </c>
      <c r="EA323" s="73" t="str">
        <v>Detroit</v>
      </c>
      <c r="EB323" s="75" t="str">
        <v>Winnipeg</v>
      </c>
      <c r="FP323" s="73">
        <v>321</v>
      </c>
      <c r="FQ323" s="73" t="str">
        <v>Winnipeg</v>
      </c>
    </row>
    <row r="324" spans="130:173">
      <c r="DZ324" s="72">
        <v>321</v>
      </c>
      <c r="EA324" s="73" t="str">
        <v>Tampa Bay</v>
      </c>
      <c r="EB324" s="75" t="str">
        <v>Winnipeg</v>
      </c>
      <c r="FP324" s="73">
        <v>322</v>
      </c>
      <c r="FQ324" s="73" t="str">
        <v>Winnipeg</v>
      </c>
    </row>
    <row r="325" spans="130:173">
      <c r="DZ325" s="72">
        <v>322</v>
      </c>
      <c r="EA325" s="73" t="str">
        <v>Tampa Bay</v>
      </c>
      <c r="EB325" s="75" t="str">
        <v>Winnipeg</v>
      </c>
      <c r="FP325" s="73">
        <v>323</v>
      </c>
      <c r="FQ325" s="73" t="str">
        <v>Winnipeg</v>
      </c>
    </row>
    <row r="326" spans="130:173">
      <c r="DZ326" s="72">
        <v>323</v>
      </c>
      <c r="EA326" s="73" t="str">
        <v>Tampa Bay</v>
      </c>
      <c r="EB326" s="75" t="str">
        <v>Winnipeg</v>
      </c>
      <c r="FP326" s="73">
        <v>324</v>
      </c>
      <c r="FQ326" s="73" t="str">
        <v>Winnipeg</v>
      </c>
    </row>
    <row r="327" spans="130:173">
      <c r="DZ327" s="72">
        <v>324</v>
      </c>
      <c r="EA327" s="73" t="str">
        <v>NY Islanders</v>
      </c>
      <c r="EB327" s="75" t="str">
        <v>Winnipeg</v>
      </c>
      <c r="FP327" s="73">
        <v>325</v>
      </c>
      <c r="FQ327" s="73" t="str">
        <v>Winnipeg</v>
      </c>
    </row>
    <row r="328" spans="130:173">
      <c r="DZ328" s="72">
        <v>325</v>
      </c>
      <c r="EA328" s="73" t="str">
        <v>Tampa Bay</v>
      </c>
      <c r="EB328" s="75" t="str">
        <v>Winnipeg</v>
      </c>
      <c r="FP328" s="73">
        <v>326</v>
      </c>
      <c r="FQ328" s="73" t="str">
        <v>Winnipeg</v>
      </c>
    </row>
    <row r="329" spans="130:173">
      <c r="DZ329" s="72">
        <v>326</v>
      </c>
      <c r="EA329" s="73" t="str">
        <v>Pittsburgh</v>
      </c>
      <c r="EB329" s="75" t="str">
        <v>Winnipeg</v>
      </c>
      <c r="FP329" s="73">
        <v>327</v>
      </c>
      <c r="FQ329" s="73" t="str">
        <v>Winnipeg</v>
      </c>
    </row>
    <row r="330" spans="130:173">
      <c r="DZ330" s="72">
        <v>327</v>
      </c>
      <c r="EA330" s="73" t="str">
        <v>Tampa Bay</v>
      </c>
      <c r="EB330" s="75" t="str">
        <v>Winnipeg</v>
      </c>
      <c r="FP330" s="73">
        <v>328</v>
      </c>
      <c r="FQ330" s="73" t="str">
        <v>Winnipeg</v>
      </c>
    </row>
    <row r="331" spans="130:173">
      <c r="DZ331" s="72">
        <v>328</v>
      </c>
      <c r="EA331" s="73" t="str">
        <v>Detroit</v>
      </c>
      <c r="EB331" s="75" t="str">
        <v>Winnipeg</v>
      </c>
      <c r="FP331" s="73">
        <v>329</v>
      </c>
      <c r="FQ331" s="73" t="str">
        <v>Winnipeg</v>
      </c>
    </row>
    <row r="332" spans="130:173">
      <c r="DZ332" s="72">
        <v>329</v>
      </c>
      <c r="EA332" s="73" t="str">
        <v>Tampa Bay</v>
      </c>
      <c r="EB332" s="75" t="str">
        <v>Winnipeg</v>
      </c>
      <c r="FP332" s="73">
        <v>330</v>
      </c>
      <c r="FQ332" s="73" t="str">
        <v>Winnipeg</v>
      </c>
    </row>
    <row r="333" spans="130:173">
      <c r="DZ333" s="72">
        <v>330</v>
      </c>
      <c r="EA333" s="73" t="str">
        <v>Tampa Bay</v>
      </c>
      <c r="EB333" s="75" t="str">
        <v>Winnipeg</v>
      </c>
      <c r="FP333" s="73">
        <v>331</v>
      </c>
      <c r="FQ333" s="73" t="str">
        <v>Winnipeg</v>
      </c>
    </row>
    <row r="334" spans="130:173">
      <c r="DZ334" s="72">
        <v>331</v>
      </c>
      <c r="EA334" s="73" t="str">
        <v>Tampa Bay</v>
      </c>
      <c r="EB334" s="75" t="str">
        <v>Winnipeg</v>
      </c>
      <c r="FP334" s="73">
        <v>332</v>
      </c>
      <c r="FQ334" s="73" t="str">
        <v>Winnipeg</v>
      </c>
    </row>
    <row r="335" spans="130:173">
      <c r="DZ335" s="72">
        <v>332</v>
      </c>
      <c r="EA335" s="73" t="str">
        <v>Tampa Bay</v>
      </c>
      <c r="EB335" s="75" t="str">
        <v>Winnipeg</v>
      </c>
      <c r="FP335" s="73">
        <v>333</v>
      </c>
      <c r="FQ335" s="73" t="str">
        <v>Winnipeg</v>
      </c>
    </row>
    <row r="336" spans="130:173">
      <c r="DZ336" s="72">
        <v>333</v>
      </c>
      <c r="EA336" s="73" t="str">
        <v>Boston</v>
      </c>
      <c r="EB336" s="75" t="str">
        <v>Winnipeg</v>
      </c>
      <c r="FP336" s="73">
        <v>334</v>
      </c>
      <c r="FQ336" s="73" t="str">
        <v>Winnipeg</v>
      </c>
    </row>
    <row r="337" spans="130:173">
      <c r="DZ337" s="72">
        <v>334</v>
      </c>
      <c r="EA337" s="73" t="str">
        <v>Tampa Bay</v>
      </c>
      <c r="EB337" s="75" t="str">
        <v>Winnipeg</v>
      </c>
      <c r="FP337" s="73">
        <v>335</v>
      </c>
      <c r="FQ337" s="73" t="str">
        <v>Winnipeg</v>
      </c>
    </row>
    <row r="338" spans="130:173">
      <c r="DZ338" s="72">
        <v>335</v>
      </c>
      <c r="EA338" s="73" t="str">
        <v>NY Islanders</v>
      </c>
      <c r="EB338" s="75" t="str">
        <v>Winnipeg</v>
      </c>
      <c r="FP338" s="73">
        <v>336</v>
      </c>
      <c r="FQ338" s="73" t="str">
        <v>Winnipeg</v>
      </c>
    </row>
    <row r="339" spans="130:173">
      <c r="DZ339" s="72">
        <v>336</v>
      </c>
      <c r="EA339" s="73" t="str">
        <v>Tampa Bay</v>
      </c>
      <c r="EB339" s="75" t="str">
        <v>Winnipeg</v>
      </c>
      <c r="FP339" s="73">
        <v>337</v>
      </c>
      <c r="FQ339" s="73" t="str">
        <v>Winnipeg</v>
      </c>
    </row>
    <row r="340" spans="130:173">
      <c r="DZ340" s="72">
        <v>337</v>
      </c>
      <c r="EA340" s="73" t="str">
        <v>Detroit</v>
      </c>
      <c r="EB340" s="75" t="str">
        <v>Winnipeg</v>
      </c>
      <c r="FP340" s="73">
        <v>338</v>
      </c>
      <c r="FQ340" s="73" t="str">
        <v>Winnipeg</v>
      </c>
    </row>
    <row r="341" spans="130:173">
      <c r="DZ341" s="72">
        <v>338</v>
      </c>
      <c r="EA341" s="73" t="str">
        <v>Pittsburgh</v>
      </c>
      <c r="EB341" s="75" t="str">
        <v>Winnipeg</v>
      </c>
      <c r="FP341" s="73">
        <v>339</v>
      </c>
      <c r="FQ341" s="73" t="str">
        <v>Winnipeg</v>
      </c>
    </row>
    <row r="342" spans="130:173">
      <c r="DZ342" s="72">
        <v>339</v>
      </c>
      <c r="EA342" s="73" t="str">
        <v>Tampa Bay</v>
      </c>
      <c r="EB342" s="75" t="str">
        <v>Winnipeg</v>
      </c>
      <c r="FP342" s="73">
        <v>340</v>
      </c>
      <c r="FQ342" s="73" t="str">
        <v>Winnipeg</v>
      </c>
    </row>
    <row r="343" spans="130:173">
      <c r="DZ343" s="72">
        <v>340</v>
      </c>
      <c r="EA343" s="73" t="str">
        <v>Tampa Bay</v>
      </c>
      <c r="EB343" s="75" t="str">
        <v>Winnipeg</v>
      </c>
      <c r="FP343" s="73">
        <v>341</v>
      </c>
      <c r="FQ343" s="73" t="str">
        <v>Winnipeg</v>
      </c>
    </row>
    <row r="344" spans="130:173">
      <c r="DZ344" s="72">
        <v>341</v>
      </c>
      <c r="EA344" s="73" t="str">
        <v>Tampa Bay</v>
      </c>
      <c r="EB344" s="75" t="str">
        <v>Winnipeg</v>
      </c>
      <c r="FP344" s="73">
        <v>342</v>
      </c>
      <c r="FQ344" s="73" t="str">
        <v>Winnipeg</v>
      </c>
    </row>
    <row r="345" spans="130:173">
      <c r="DZ345" s="72">
        <v>342</v>
      </c>
      <c r="EA345" s="73" t="str">
        <v>Tampa Bay</v>
      </c>
      <c r="EB345" s="75" t="str">
        <v>Winnipeg</v>
      </c>
      <c r="FP345" s="73">
        <v>343</v>
      </c>
      <c r="FQ345" s="73" t="str">
        <v>Winnipeg</v>
      </c>
    </row>
    <row r="346" spans="130:173">
      <c r="DZ346" s="72">
        <v>343</v>
      </c>
      <c r="EA346" s="73" t="str">
        <v>Tampa Bay</v>
      </c>
      <c r="EB346" s="75" t="str">
        <v>Winnipeg</v>
      </c>
      <c r="FP346" s="73">
        <v>344</v>
      </c>
      <c r="FQ346" s="73" t="str">
        <v>Winnipeg</v>
      </c>
    </row>
    <row r="347" spans="130:173">
      <c r="DZ347" s="72">
        <v>344</v>
      </c>
      <c r="EA347" s="73" t="str">
        <v>Tampa Bay</v>
      </c>
      <c r="EB347" s="75" t="str">
        <v>Winnipeg</v>
      </c>
      <c r="FP347" s="73">
        <v>345</v>
      </c>
      <c r="FQ347" s="73" t="str">
        <v>Winnipeg</v>
      </c>
    </row>
    <row r="348" spans="130:173">
      <c r="DZ348" s="72">
        <v>345</v>
      </c>
      <c r="EA348" s="73" t="str">
        <v>NY Islanders</v>
      </c>
      <c r="EB348" s="75" t="str">
        <v>Winnipeg</v>
      </c>
      <c r="FP348" s="73">
        <v>346</v>
      </c>
      <c r="FQ348" s="73" t="str">
        <v>Winnipeg</v>
      </c>
    </row>
    <row r="349" spans="130:173">
      <c r="DZ349" s="72">
        <v>346</v>
      </c>
      <c r="EA349" s="73" t="str">
        <v>Pittsburgh</v>
      </c>
      <c r="EB349" s="75" t="str">
        <v>Winnipeg</v>
      </c>
      <c r="FP349" s="73">
        <v>347</v>
      </c>
      <c r="FQ349" s="73" t="str">
        <v>Winnipeg</v>
      </c>
    </row>
    <row r="350" spans="130:173">
      <c r="DZ350" s="72">
        <v>347</v>
      </c>
      <c r="EA350" s="73" t="str">
        <v>Tampa Bay</v>
      </c>
      <c r="EB350" s="75" t="str">
        <v>Winnipeg</v>
      </c>
      <c r="FP350" s="73">
        <v>348</v>
      </c>
      <c r="FQ350" s="73" t="str">
        <v>Winnipeg</v>
      </c>
    </row>
    <row r="351" spans="130:173">
      <c r="DZ351" s="72">
        <v>348</v>
      </c>
      <c r="EA351" s="73" t="str">
        <v>Tampa Bay</v>
      </c>
      <c r="EB351" s="75" t="str">
        <v>Winnipeg</v>
      </c>
      <c r="FP351" s="73">
        <v>349</v>
      </c>
      <c r="FQ351" s="73" t="str">
        <v>Winnipeg</v>
      </c>
    </row>
    <row r="352" spans="130:173">
      <c r="DZ352" s="72">
        <v>349</v>
      </c>
      <c r="EA352" s="73" t="str">
        <v>Tampa Bay</v>
      </c>
      <c r="EB352" s="75" t="str">
        <v>Winnipeg</v>
      </c>
      <c r="FP352" s="73">
        <v>350</v>
      </c>
      <c r="FQ352" s="73" t="str">
        <v>Winnipeg</v>
      </c>
    </row>
    <row r="353" spans="130:173">
      <c r="DZ353" s="72">
        <v>350</v>
      </c>
      <c r="EA353" s="73" t="str">
        <v>NY Islanders</v>
      </c>
      <c r="EB353" s="75" t="str">
        <v>Winnipeg</v>
      </c>
      <c r="FP353" s="73">
        <v>351</v>
      </c>
      <c r="FQ353" s="73" t="str">
        <v>Winnipeg</v>
      </c>
    </row>
    <row r="354" spans="130:173">
      <c r="DZ354" s="72">
        <v>351</v>
      </c>
      <c r="EA354" s="73" t="str">
        <v>Tampa Bay</v>
      </c>
      <c r="EB354" s="75" t="str">
        <v>Winnipeg</v>
      </c>
      <c r="FP354" s="73">
        <v>352</v>
      </c>
      <c r="FQ354" s="73" t="str">
        <v>Winnipeg</v>
      </c>
    </row>
    <row r="355" spans="130:173">
      <c r="DZ355" s="72">
        <v>352</v>
      </c>
      <c r="EA355" s="73" t="str">
        <v>Boston</v>
      </c>
      <c r="EB355" s="75" t="str">
        <v>Winnipeg</v>
      </c>
      <c r="FP355" s="73">
        <v>353</v>
      </c>
      <c r="FQ355" s="73" t="str">
        <v>Winnipeg</v>
      </c>
    </row>
    <row r="356" spans="130:173">
      <c r="DZ356" s="72">
        <v>353</v>
      </c>
      <c r="EA356" s="73" t="str">
        <v>Tampa Bay</v>
      </c>
      <c r="EB356" s="75" t="str">
        <v>Winnipeg</v>
      </c>
      <c r="FP356" s="73">
        <v>354</v>
      </c>
      <c r="FQ356" s="73" t="str">
        <v>Winnipeg</v>
      </c>
    </row>
    <row r="357" spans="130:173">
      <c r="DZ357" s="72">
        <v>354</v>
      </c>
      <c r="EA357" s="73" t="str">
        <v>Tampa Bay</v>
      </c>
      <c r="EB357" s="75" t="str">
        <v>Winnipeg</v>
      </c>
      <c r="FP357" s="73">
        <v>355</v>
      </c>
      <c r="FQ357" s="73" t="str">
        <v>Winnipeg</v>
      </c>
    </row>
    <row r="358" spans="130:173">
      <c r="DZ358" s="72">
        <v>355</v>
      </c>
      <c r="EA358" s="73" t="str">
        <v>Tampa Bay</v>
      </c>
      <c r="EB358" s="75" t="str">
        <v>Winnipeg</v>
      </c>
      <c r="FP358" s="73">
        <v>356</v>
      </c>
      <c r="FQ358" s="73" t="str">
        <v>Winnipeg</v>
      </c>
    </row>
    <row r="359" spans="130:173">
      <c r="DZ359" s="72">
        <v>356</v>
      </c>
      <c r="EA359" s="73" t="str">
        <v>Tampa Bay</v>
      </c>
      <c r="EB359" s="75" t="str">
        <v>Winnipeg</v>
      </c>
      <c r="FP359" s="73">
        <v>357</v>
      </c>
      <c r="FQ359" s="73" t="str">
        <v>Winnipeg</v>
      </c>
    </row>
    <row r="360" spans="130:173">
      <c r="DZ360" s="72">
        <v>357</v>
      </c>
      <c r="EA360" s="73" t="str">
        <v>Tampa Bay</v>
      </c>
      <c r="EB360" s="75" t="str">
        <v>Winnipeg</v>
      </c>
      <c r="FP360" s="73">
        <v>358</v>
      </c>
      <c r="FQ360" s="73" t="str">
        <v>Winnipeg</v>
      </c>
    </row>
    <row r="361" spans="130:173">
      <c r="DZ361" s="72">
        <v>358</v>
      </c>
      <c r="EA361" s="73" t="str">
        <v>Tampa Bay</v>
      </c>
      <c r="EB361" s="75" t="str">
        <v>Winnipeg</v>
      </c>
      <c r="FP361" s="73">
        <v>359</v>
      </c>
      <c r="FQ361" s="73" t="str">
        <v>Winnipeg</v>
      </c>
    </row>
    <row r="362" spans="130:173">
      <c r="DZ362" s="72">
        <v>359</v>
      </c>
      <c r="EA362" s="73" t="str">
        <v>Tampa Bay</v>
      </c>
      <c r="EB362" s="75" t="str">
        <v>Winnipeg</v>
      </c>
      <c r="FP362" s="73">
        <v>360</v>
      </c>
      <c r="FQ362" s="73" t="str">
        <v>Winnipeg</v>
      </c>
    </row>
    <row r="363" spans="130:173">
      <c r="DZ363" s="72">
        <v>360</v>
      </c>
      <c r="EA363" s="73" t="str">
        <v>NY Rangers</v>
      </c>
      <c r="EB363" s="75" t="str">
        <v>Winnipeg</v>
      </c>
      <c r="FP363" s="73">
        <v>361</v>
      </c>
      <c r="FQ363" s="73" t="str">
        <v>Winnipeg</v>
      </c>
    </row>
    <row r="364" spans="130:173">
      <c r="DZ364" s="72">
        <v>361</v>
      </c>
      <c r="EA364" s="73" t="str">
        <v>NY Islanders</v>
      </c>
      <c r="EB364" s="75" t="str">
        <v>Winnipeg</v>
      </c>
      <c r="FP364" s="73">
        <v>362</v>
      </c>
      <c r="FQ364" s="73" t="str">
        <v>Winnipeg</v>
      </c>
    </row>
    <row r="365" spans="130:173">
      <c r="DZ365" s="72">
        <v>362</v>
      </c>
      <c r="EA365" s="73" t="str">
        <v>Tampa Bay</v>
      </c>
      <c r="EB365" s="75" t="str">
        <v>Winnipeg</v>
      </c>
      <c r="FP365" s="73">
        <v>363</v>
      </c>
      <c r="FQ365" s="73" t="str">
        <v>Winnipeg</v>
      </c>
    </row>
    <row r="366" spans="130:173">
      <c r="DZ366" s="72">
        <v>363</v>
      </c>
      <c r="EA366" s="73" t="str">
        <v>Tampa Bay</v>
      </c>
      <c r="EB366" s="75" t="str">
        <v>Winnipeg</v>
      </c>
      <c r="FP366" s="73">
        <v>364</v>
      </c>
      <c r="FQ366" s="73" t="str">
        <v>Winnipeg</v>
      </c>
    </row>
    <row r="367" spans="130:173">
      <c r="DZ367" s="72">
        <v>364</v>
      </c>
      <c r="EA367" s="73" t="str">
        <v>Tampa Bay</v>
      </c>
      <c r="EB367" s="75" t="str">
        <v>Winnipeg</v>
      </c>
      <c r="FP367" s="73">
        <v>365</v>
      </c>
      <c r="FQ367" s="73" t="str">
        <v>Winnipeg</v>
      </c>
    </row>
    <row r="368" spans="130:173">
      <c r="DZ368" s="72">
        <v>365</v>
      </c>
      <c r="EA368" s="73" t="str">
        <v>Tampa Bay</v>
      </c>
      <c r="EB368" s="75" t="str">
        <v>Winnipeg</v>
      </c>
      <c r="FP368" s="73">
        <v>366</v>
      </c>
      <c r="FQ368" s="73" t="str">
        <v>Winnipeg</v>
      </c>
    </row>
    <row r="369" spans="130:173">
      <c r="DZ369" s="72">
        <v>366</v>
      </c>
      <c r="EA369" s="73" t="str">
        <v>Tampa Bay</v>
      </c>
      <c r="EB369" s="75" t="str">
        <v>Winnipeg</v>
      </c>
      <c r="FP369" s="73">
        <v>367</v>
      </c>
      <c r="FQ369" s="73" t="str">
        <v>Winnipeg</v>
      </c>
    </row>
    <row r="370" spans="130:173">
      <c r="DZ370" s="72">
        <v>367</v>
      </c>
      <c r="EA370" s="73" t="str">
        <v>NY Islanders</v>
      </c>
      <c r="EB370" s="75" t="str">
        <v>Winnipeg</v>
      </c>
      <c r="FP370" s="73">
        <v>368</v>
      </c>
      <c r="FQ370" s="73" t="str">
        <v>Winnipeg</v>
      </c>
    </row>
    <row r="371" spans="130:173">
      <c r="DZ371" s="72">
        <v>368</v>
      </c>
      <c r="EA371" s="73" t="str">
        <v>Detroit</v>
      </c>
      <c r="EB371" s="75" t="str">
        <v>Winnipeg</v>
      </c>
      <c r="FP371" s="73">
        <v>369</v>
      </c>
      <c r="FQ371" s="73" t="str">
        <v>Winnipeg</v>
      </c>
    </row>
    <row r="372" spans="130:173">
      <c r="DZ372" s="72">
        <v>369</v>
      </c>
      <c r="EA372" s="73" t="str">
        <v>Detroit</v>
      </c>
      <c r="EB372" s="75" t="str">
        <v>Winnipeg</v>
      </c>
      <c r="FP372" s="73">
        <v>370</v>
      </c>
      <c r="FQ372" s="73" t="str">
        <v>Winnipeg</v>
      </c>
    </row>
    <row r="373" spans="130:173">
      <c r="DZ373" s="72">
        <v>370</v>
      </c>
      <c r="EA373" s="73" t="str">
        <v>Tampa Bay</v>
      </c>
      <c r="EB373" s="75" t="str">
        <v>Winnipeg</v>
      </c>
      <c r="FP373" s="73">
        <v>371</v>
      </c>
      <c r="FQ373" s="73" t="str">
        <v>Winnipeg</v>
      </c>
    </row>
    <row r="374" spans="130:173">
      <c r="DZ374" s="72">
        <v>371</v>
      </c>
      <c r="EA374" s="73" t="str">
        <v>Tampa Bay</v>
      </c>
      <c r="EB374" s="75" t="str">
        <v>Winnipeg</v>
      </c>
      <c r="FP374" s="73">
        <v>372</v>
      </c>
      <c r="FQ374" s="73" t="str">
        <v>Winnipeg</v>
      </c>
    </row>
    <row r="375" spans="130:173">
      <c r="DZ375" s="72">
        <v>372</v>
      </c>
      <c r="EA375" s="73" t="str">
        <v>Tampa Bay</v>
      </c>
      <c r="EB375" s="75" t="str">
        <v>Winnipeg</v>
      </c>
      <c r="FP375" s="73">
        <v>373</v>
      </c>
      <c r="FQ375" s="73" t="str">
        <v>Winnipeg</v>
      </c>
    </row>
    <row r="376" spans="130:173">
      <c r="DZ376" s="72">
        <v>373</v>
      </c>
      <c r="EA376" s="73" t="str">
        <v>Tampa Bay</v>
      </c>
      <c r="EB376" s="75" t="str">
        <v>Winnipeg</v>
      </c>
      <c r="FP376" s="73">
        <v>374</v>
      </c>
      <c r="FQ376" s="73" t="str">
        <v>Winnipeg</v>
      </c>
    </row>
    <row r="377" spans="130:173">
      <c r="DZ377" s="72">
        <v>374</v>
      </c>
      <c r="EA377" s="73" t="str">
        <v>Tampa Bay</v>
      </c>
      <c r="EB377" s="75" t="str">
        <v>Winnipeg</v>
      </c>
      <c r="FP377" s="73">
        <v>375</v>
      </c>
      <c r="FQ377" s="73" t="str">
        <v>Winnipeg</v>
      </c>
    </row>
    <row r="378" spans="130:173">
      <c r="DZ378" s="72">
        <v>375</v>
      </c>
      <c r="EA378" s="73" t="str">
        <v>Detroit</v>
      </c>
      <c r="EB378" s="75" t="str">
        <v>Winnipeg</v>
      </c>
      <c r="FP378" s="73">
        <v>376</v>
      </c>
      <c r="FQ378" s="73" t="str">
        <v>Winnipeg</v>
      </c>
    </row>
    <row r="379" spans="130:173">
      <c r="DZ379" s="72">
        <v>376</v>
      </c>
      <c r="EA379" s="73" t="str">
        <v>NY Islanders</v>
      </c>
      <c r="EB379" s="75" t="str">
        <v>Winnipeg</v>
      </c>
      <c r="FP379" s="73">
        <v>377</v>
      </c>
      <c r="FQ379" s="73" t="str">
        <v>Winnipeg</v>
      </c>
    </row>
    <row r="380" spans="130:173">
      <c r="DZ380" s="72">
        <v>377</v>
      </c>
      <c r="EA380" s="73" t="str">
        <v>Tampa Bay</v>
      </c>
      <c r="EB380" s="75" t="str">
        <v>Winnipeg</v>
      </c>
      <c r="FP380" s="73">
        <v>378</v>
      </c>
      <c r="FQ380" s="73" t="str">
        <v>Winnipeg</v>
      </c>
    </row>
    <row r="381" spans="130:173">
      <c r="DZ381" s="72">
        <v>378</v>
      </c>
      <c r="EA381" s="73" t="str">
        <v>NY Rangers</v>
      </c>
      <c r="EB381" s="75" t="str">
        <v>Winnipeg</v>
      </c>
      <c r="FP381" s="73">
        <v>379</v>
      </c>
      <c r="FQ381" s="73" t="str">
        <v>Winnipeg</v>
      </c>
    </row>
    <row r="382" spans="130:173">
      <c r="DZ382" s="72">
        <v>379</v>
      </c>
      <c r="EA382" s="73" t="str">
        <v>Tampa Bay</v>
      </c>
      <c r="EB382" s="75" t="str">
        <v>Winnipeg</v>
      </c>
      <c r="FP382" s="73">
        <v>380</v>
      </c>
      <c r="FQ382" s="73" t="str">
        <v>Winnipeg</v>
      </c>
    </row>
    <row r="383" spans="130:173">
      <c r="DZ383" s="72">
        <v>380</v>
      </c>
      <c r="EA383" s="73" t="str">
        <v>NY Rangers</v>
      </c>
      <c r="EB383" s="75" t="str">
        <v>Winnipeg</v>
      </c>
      <c r="FP383" s="73">
        <v>381</v>
      </c>
      <c r="FQ383" s="73" t="str">
        <v>Winnipeg</v>
      </c>
    </row>
    <row r="384" spans="130:173">
      <c r="DZ384" s="72">
        <v>381</v>
      </c>
      <c r="EA384" s="73" t="str">
        <v>Detroit</v>
      </c>
      <c r="EB384" s="75" t="str">
        <v>Winnipeg</v>
      </c>
      <c r="FP384" s="73">
        <v>382</v>
      </c>
      <c r="FQ384" s="73" t="str">
        <v>Winnipeg</v>
      </c>
    </row>
    <row r="385" spans="130:173">
      <c r="DZ385" s="72">
        <v>382</v>
      </c>
      <c r="EA385" s="73" t="str">
        <v>Pittsburgh</v>
      </c>
      <c r="EB385" s="75" t="str">
        <v>Winnipeg</v>
      </c>
      <c r="FP385" s="73">
        <v>383</v>
      </c>
      <c r="FQ385" s="73" t="str">
        <v>Winnipeg</v>
      </c>
    </row>
    <row r="386" spans="130:173">
      <c r="DZ386" s="72">
        <v>383</v>
      </c>
      <c r="EA386" s="73" t="str">
        <v>Tampa Bay</v>
      </c>
      <c r="EB386" s="75" t="str">
        <v>Winnipeg</v>
      </c>
      <c r="FP386" s="73">
        <v>384</v>
      </c>
      <c r="FQ386" s="73" t="str">
        <v>Winnipeg</v>
      </c>
    </row>
    <row r="387" spans="130:173">
      <c r="DZ387" s="72">
        <v>384</v>
      </c>
      <c r="EA387" s="73" t="str">
        <v>Detroit</v>
      </c>
      <c r="EB387" s="75" t="str">
        <v>Winnipeg</v>
      </c>
      <c r="FP387" s="73">
        <v>385</v>
      </c>
      <c r="FQ387" s="73" t="str">
        <v>Winnipeg</v>
      </c>
    </row>
    <row r="388" spans="130:173">
      <c r="DZ388" s="72">
        <v>385</v>
      </c>
      <c r="EA388" s="73" t="str">
        <v>NY Islanders</v>
      </c>
      <c r="EB388" s="75" t="str">
        <v>Winnipeg</v>
      </c>
      <c r="FP388" s="73">
        <v>386</v>
      </c>
      <c r="FQ388" s="73" t="str">
        <v>Winnipeg</v>
      </c>
    </row>
    <row r="389" spans="130:173">
      <c r="DZ389" s="72">
        <v>386</v>
      </c>
      <c r="EA389" s="73" t="str">
        <v>Tampa Bay</v>
      </c>
      <c r="EB389" s="75" t="str">
        <v>Winnipeg</v>
      </c>
      <c r="FP389" s="73">
        <v>387</v>
      </c>
      <c r="FQ389" s="73" t="str">
        <v>Winnipeg</v>
      </c>
    </row>
    <row r="390" spans="130:173">
      <c r="DZ390" s="72">
        <v>387</v>
      </c>
      <c r="EA390" s="73" t="str">
        <v>Tampa Bay</v>
      </c>
      <c r="EB390" s="75" t="str">
        <v>Winnipeg</v>
      </c>
      <c r="FP390" s="73">
        <v>388</v>
      </c>
      <c r="FQ390" s="73" t="str">
        <v>Winnipeg</v>
      </c>
    </row>
    <row r="391" spans="130:173">
      <c r="DZ391" s="72">
        <v>388</v>
      </c>
      <c r="EA391" s="73" t="str">
        <v>NY Islanders</v>
      </c>
      <c r="EB391" s="75" t="str">
        <v>Winnipeg</v>
      </c>
      <c r="FP391" s="73">
        <v>389</v>
      </c>
      <c r="FQ391" s="73" t="str">
        <v>Winnipeg</v>
      </c>
    </row>
    <row r="392" spans="130:173">
      <c r="DZ392" s="72">
        <v>389</v>
      </c>
      <c r="EA392" s="73" t="str">
        <v>Tampa Bay</v>
      </c>
      <c r="EB392" s="75" t="str">
        <v>Winnipeg</v>
      </c>
      <c r="FP392" s="73">
        <v>390</v>
      </c>
      <c r="FQ392" s="73" t="str">
        <v>Winnipeg</v>
      </c>
    </row>
    <row r="393" spans="130:173">
      <c r="DZ393" s="72">
        <v>390</v>
      </c>
      <c r="EA393" s="73" t="str">
        <v>Tampa Bay</v>
      </c>
      <c r="EB393" s="75" t="str">
        <v>Winnipeg</v>
      </c>
      <c r="FP393" s="73">
        <v>391</v>
      </c>
      <c r="FQ393" s="73" t="str">
        <v>Winnipeg</v>
      </c>
    </row>
    <row r="394" spans="130:173">
      <c r="DZ394" s="72">
        <v>391</v>
      </c>
      <c r="EA394" s="73" t="str">
        <v>Tampa Bay</v>
      </c>
      <c r="EB394" s="75" t="str">
        <v>Winnipeg</v>
      </c>
      <c r="FP394" s="73">
        <v>392</v>
      </c>
      <c r="FQ394" s="73" t="str">
        <v>Winnipeg</v>
      </c>
    </row>
    <row r="395" spans="130:173">
      <c r="DZ395" s="72">
        <v>392</v>
      </c>
      <c r="EA395" s="73" t="str">
        <v>Tampa Bay</v>
      </c>
      <c r="EB395" s="75" t="str">
        <v>Winnipeg</v>
      </c>
      <c r="FP395" s="73">
        <v>393</v>
      </c>
      <c r="FQ395" s="73" t="str">
        <v>Winnipeg</v>
      </c>
    </row>
    <row r="396" spans="130:173">
      <c r="DZ396" s="72">
        <v>393</v>
      </c>
      <c r="EA396" s="73" t="str">
        <v>Pittsburgh</v>
      </c>
      <c r="EB396" s="75" t="str">
        <v>Winnipeg</v>
      </c>
      <c r="FP396" s="73">
        <v>394</v>
      </c>
      <c r="FQ396" s="73" t="str">
        <v>Winnipeg</v>
      </c>
    </row>
    <row r="397" spans="130:173">
      <c r="DZ397" s="72">
        <v>394</v>
      </c>
      <c r="EA397" s="73" t="str">
        <v>Tampa Bay</v>
      </c>
      <c r="EB397" s="75" t="str">
        <v>Winnipeg</v>
      </c>
      <c r="FP397" s="73">
        <v>395</v>
      </c>
      <c r="FQ397" s="73" t="str">
        <v>Winnipeg</v>
      </c>
    </row>
    <row r="398" spans="130:173">
      <c r="DZ398" s="72">
        <v>395</v>
      </c>
      <c r="EA398" s="73" t="str">
        <v>Tampa Bay</v>
      </c>
      <c r="EB398" s="75" t="str">
        <v>Winnipeg</v>
      </c>
      <c r="FP398" s="73">
        <v>396</v>
      </c>
      <c r="FQ398" s="73" t="str">
        <v>Winnipeg</v>
      </c>
    </row>
    <row r="399" spans="130:173">
      <c r="DZ399" s="72">
        <v>396</v>
      </c>
      <c r="EA399" s="73" t="str">
        <v>Tampa Bay</v>
      </c>
      <c r="EB399" s="75" t="str">
        <v>Winnipeg</v>
      </c>
      <c r="FP399" s="73">
        <v>397</v>
      </c>
      <c r="FQ399" s="73" t="str">
        <v>Winnipeg</v>
      </c>
    </row>
    <row r="400" spans="130:173">
      <c r="DZ400" s="72">
        <v>397</v>
      </c>
      <c r="EA400" s="73" t="str">
        <v>Tampa Bay</v>
      </c>
      <c r="EB400" s="75" t="str">
        <v>Winnipeg</v>
      </c>
      <c r="FP400" s="73">
        <v>398</v>
      </c>
      <c r="FQ400" s="73" t="str">
        <v>Winnipeg</v>
      </c>
    </row>
    <row r="401" spans="130:173">
      <c r="DZ401" s="72">
        <v>398</v>
      </c>
      <c r="EA401" s="73" t="str">
        <v>Tampa Bay</v>
      </c>
      <c r="EB401" s="75" t="str">
        <v>Winnipeg</v>
      </c>
      <c r="FP401" s="73">
        <v>399</v>
      </c>
      <c r="FQ401" s="73" t="str">
        <v>Winnipeg</v>
      </c>
    </row>
    <row r="402" spans="130:173">
      <c r="DZ402" s="72">
        <v>399</v>
      </c>
      <c r="EA402" s="73" t="str">
        <v>Tampa Bay</v>
      </c>
      <c r="EB402" s="75" t="str">
        <v>Winnipeg</v>
      </c>
      <c r="FP402" s="73">
        <v>400</v>
      </c>
      <c r="FQ402" s="73" t="str">
        <v>Winnipeg</v>
      </c>
    </row>
    <row r="403" spans="130:173">
      <c r="DZ403" s="72">
        <v>400</v>
      </c>
      <c r="EA403" s="73" t="str">
        <v>NY Islanders</v>
      </c>
      <c r="EB403" s="75" t="str">
        <v>Winnipeg</v>
      </c>
      <c r="FP403" s="73">
        <v>401</v>
      </c>
      <c r="FQ403" s="73" t="str">
        <v>Winnipeg</v>
      </c>
    </row>
    <row r="404" spans="130:173">
      <c r="DZ404" s="72">
        <v>401</v>
      </c>
      <c r="EA404" s="73" t="str">
        <v>Tampa Bay</v>
      </c>
      <c r="EB404" s="75" t="str">
        <v>Winnipeg</v>
      </c>
      <c r="FP404" s="73">
        <v>402</v>
      </c>
      <c r="FQ404" s="73" t="str">
        <v>Winnipeg</v>
      </c>
    </row>
    <row r="405" spans="130:173">
      <c r="DZ405" s="72">
        <v>402</v>
      </c>
      <c r="EA405" s="73" t="str">
        <v>Tampa Bay</v>
      </c>
      <c r="EB405" s="75" t="str">
        <v>Winnipeg</v>
      </c>
      <c r="FP405" s="73">
        <v>403</v>
      </c>
      <c r="FQ405" s="73" t="str">
        <v>Winnipeg</v>
      </c>
    </row>
    <row r="406" spans="130:173">
      <c r="DZ406" s="72">
        <v>403</v>
      </c>
      <c r="EA406" s="73" t="str">
        <v>Boston</v>
      </c>
      <c r="EB406" s="75" t="str">
        <v>Winnipeg</v>
      </c>
      <c r="FP406" s="73">
        <v>404</v>
      </c>
      <c r="FQ406" s="73" t="str">
        <v>Winnipeg</v>
      </c>
    </row>
    <row r="407" spans="130:173">
      <c r="DZ407" s="72">
        <v>404</v>
      </c>
      <c r="EA407" s="73" t="str">
        <v>Montreal</v>
      </c>
      <c r="EB407" s="75" t="str">
        <v>Winnipeg</v>
      </c>
      <c r="FP407" s="73">
        <v>405</v>
      </c>
      <c r="FQ407" s="73" t="str">
        <v>Winnipeg</v>
      </c>
    </row>
    <row r="408" spans="130:173">
      <c r="DZ408" s="72">
        <v>405</v>
      </c>
      <c r="EA408" s="73" t="str">
        <v>Tampa Bay</v>
      </c>
      <c r="EB408" s="75" t="str">
        <v>Winnipeg</v>
      </c>
      <c r="FP408" s="73">
        <v>406</v>
      </c>
      <c r="FQ408" s="73" t="str">
        <v>Winnipeg</v>
      </c>
    </row>
    <row r="409" spans="130:173">
      <c r="DZ409" s="72">
        <v>406</v>
      </c>
      <c r="EA409" s="73" t="str">
        <v>Tampa Bay</v>
      </c>
      <c r="EB409" s="75" t="str">
        <v>Winnipeg</v>
      </c>
      <c r="FP409" s="73">
        <v>407</v>
      </c>
      <c r="FQ409" s="73" t="str">
        <v>Winnipeg</v>
      </c>
    </row>
    <row r="410" spans="130:173">
      <c r="DZ410" s="72">
        <v>407</v>
      </c>
      <c r="EA410" s="73" t="str">
        <v>Tampa Bay</v>
      </c>
      <c r="EB410" s="75" t="str">
        <v>Winnipeg</v>
      </c>
      <c r="FP410" s="73">
        <v>408</v>
      </c>
      <c r="FQ410" s="73" t="str">
        <v>Winnipeg</v>
      </c>
    </row>
    <row r="411" spans="130:173">
      <c r="DZ411" s="72">
        <v>408</v>
      </c>
      <c r="EA411" s="73" t="str">
        <v>Tampa Bay</v>
      </c>
      <c r="EB411" s="75" t="str">
        <v>Winnipeg</v>
      </c>
      <c r="FP411" s="73">
        <v>409</v>
      </c>
      <c r="FQ411" s="73" t="str">
        <v>Winnipeg</v>
      </c>
    </row>
    <row r="412" spans="130:173">
      <c r="DZ412" s="72">
        <v>409</v>
      </c>
      <c r="EA412" s="73" t="str">
        <v>NY Islanders</v>
      </c>
      <c r="EB412" s="75" t="str">
        <v>Winnipeg</v>
      </c>
      <c r="FP412" s="73">
        <v>410</v>
      </c>
      <c r="FQ412" s="73" t="str">
        <v>Winnipeg</v>
      </c>
    </row>
    <row r="413" spans="130:173">
      <c r="DZ413" s="72">
        <v>410</v>
      </c>
      <c r="EA413" s="73" t="str">
        <v>Tampa Bay</v>
      </c>
      <c r="EB413" s="75" t="str">
        <v>Winnipeg</v>
      </c>
      <c r="FP413" s="73">
        <v>411</v>
      </c>
      <c r="FQ413" s="73" t="str">
        <v>Winnipeg</v>
      </c>
    </row>
    <row r="414" spans="130:173">
      <c r="DZ414" s="72">
        <v>411</v>
      </c>
      <c r="EA414" s="73" t="str">
        <v>Tampa Bay</v>
      </c>
      <c r="EB414" s="75" t="str">
        <v>Winnipeg</v>
      </c>
      <c r="FP414" s="73">
        <v>412</v>
      </c>
      <c r="FQ414" s="73" t="str">
        <v>Winnipeg</v>
      </c>
    </row>
    <row r="415" spans="130:173">
      <c r="DZ415" s="72">
        <v>412</v>
      </c>
      <c r="EA415" s="73" t="str">
        <v>Tampa Bay</v>
      </c>
      <c r="EB415" s="75" t="str">
        <v>Winnipeg</v>
      </c>
      <c r="FP415" s="73">
        <v>413</v>
      </c>
      <c r="FQ415" s="73" t="str">
        <v>Winnipeg</v>
      </c>
    </row>
    <row r="416" spans="130:173">
      <c r="DZ416" s="72">
        <v>413</v>
      </c>
      <c r="EA416" s="73" t="str">
        <v>Detroit</v>
      </c>
      <c r="EB416" s="75" t="str">
        <v>Winnipeg</v>
      </c>
      <c r="FP416" s="73">
        <v>414</v>
      </c>
      <c r="FQ416" s="73" t="str">
        <v>Winnipeg</v>
      </c>
    </row>
    <row r="417" spans="130:173">
      <c r="DZ417" s="72">
        <v>414</v>
      </c>
      <c r="EA417" s="73" t="str">
        <v>Tampa Bay</v>
      </c>
      <c r="EB417" s="75" t="str">
        <v>Winnipeg</v>
      </c>
      <c r="FP417" s="73">
        <v>415</v>
      </c>
      <c r="FQ417" s="73" t="str">
        <v>Winnipeg</v>
      </c>
    </row>
    <row r="418" spans="130:173">
      <c r="DZ418" s="72">
        <v>415</v>
      </c>
      <c r="EA418" s="73" t="str">
        <v>Tampa Bay</v>
      </c>
      <c r="EB418" s="75" t="str">
        <v>Winnipeg</v>
      </c>
      <c r="FP418" s="73">
        <v>416</v>
      </c>
      <c r="FQ418" s="73" t="str">
        <v>Winnipeg</v>
      </c>
    </row>
    <row r="419" spans="130:173">
      <c r="DZ419" s="72">
        <v>416</v>
      </c>
      <c r="EA419" s="73" t="str">
        <v>Detroit</v>
      </c>
      <c r="EB419" s="75" t="str">
        <v>Winnipeg</v>
      </c>
      <c r="FP419" s="73">
        <v>417</v>
      </c>
      <c r="FQ419" s="73" t="str">
        <v>Winnipeg</v>
      </c>
    </row>
    <row r="420" spans="130:173">
      <c r="DZ420" s="72">
        <v>417</v>
      </c>
      <c r="EA420" s="73" t="str">
        <v>Tampa Bay</v>
      </c>
      <c r="EB420" s="75" t="str">
        <v>Winnipeg</v>
      </c>
      <c r="FP420" s="73">
        <v>418</v>
      </c>
      <c r="FQ420" s="73" t="str">
        <v>Winnipeg</v>
      </c>
    </row>
    <row r="421" spans="130:173">
      <c r="DZ421" s="72">
        <v>418</v>
      </c>
      <c r="EA421" s="73" t="str">
        <v>Tampa Bay</v>
      </c>
      <c r="EB421" s="75" t="str">
        <v>Winnipeg</v>
      </c>
      <c r="FP421" s="73">
        <v>419</v>
      </c>
      <c r="FQ421" s="73" t="str">
        <v>Winnipeg</v>
      </c>
    </row>
    <row r="422" spans="130:173">
      <c r="DZ422" s="72">
        <v>419</v>
      </c>
      <c r="EA422" s="73" t="str">
        <v>Tampa Bay</v>
      </c>
      <c r="EB422" s="75" t="str">
        <v>Winnipeg</v>
      </c>
      <c r="FP422" s="73">
        <v>420</v>
      </c>
      <c r="FQ422" s="73" t="str">
        <v>Winnipeg</v>
      </c>
    </row>
    <row r="423" spans="130:173">
      <c r="DZ423" s="72">
        <v>420</v>
      </c>
      <c r="EA423" s="73" t="str">
        <v>Tampa Bay</v>
      </c>
      <c r="EB423" s="75" t="str">
        <v>Winnipeg</v>
      </c>
      <c r="FP423" s="73">
        <v>421</v>
      </c>
      <c r="FQ423" s="73" t="str">
        <v>Winnipeg</v>
      </c>
    </row>
    <row r="424" spans="130:173">
      <c r="DZ424" s="72">
        <v>421</v>
      </c>
      <c r="EA424" s="73" t="str">
        <v>Tampa Bay</v>
      </c>
      <c r="EB424" s="75" t="str">
        <v>Winnipeg</v>
      </c>
      <c r="FP424" s="73">
        <v>422</v>
      </c>
      <c r="FQ424" s="73" t="str">
        <v>Winnipeg</v>
      </c>
    </row>
    <row r="425" spans="130:173">
      <c r="DZ425" s="72">
        <v>422</v>
      </c>
      <c r="EA425" s="73" t="str">
        <v>Tampa Bay</v>
      </c>
      <c r="EB425" s="75" t="str">
        <v>Winnipeg</v>
      </c>
      <c r="FP425" s="73">
        <v>423</v>
      </c>
      <c r="FQ425" s="73" t="str">
        <v>Winnipeg</v>
      </c>
    </row>
    <row r="426" spans="130:173">
      <c r="DZ426" s="72">
        <v>423</v>
      </c>
      <c r="EA426" s="73" t="str">
        <v>Tampa Bay</v>
      </c>
      <c r="EB426" s="75" t="str">
        <v>Winnipeg</v>
      </c>
      <c r="FP426" s="73">
        <v>424</v>
      </c>
      <c r="FQ426" s="73" t="str">
        <v>Winnipeg</v>
      </c>
    </row>
    <row r="427" spans="130:173">
      <c r="DZ427" s="72">
        <v>424</v>
      </c>
      <c r="EA427" s="73" t="str">
        <v>Tampa Bay</v>
      </c>
      <c r="EB427" s="75" t="str">
        <v>Winnipeg</v>
      </c>
      <c r="FP427" s="73">
        <v>425</v>
      </c>
      <c r="FQ427" s="73" t="str">
        <v>Winnipeg</v>
      </c>
    </row>
    <row r="428" spans="130:173">
      <c r="DZ428" s="72">
        <v>425</v>
      </c>
      <c r="EA428" s="73" t="str">
        <v>Detroit</v>
      </c>
      <c r="EB428" s="75" t="str">
        <v>Winnipeg</v>
      </c>
      <c r="FP428" s="73">
        <v>426</v>
      </c>
      <c r="FQ428" s="73" t="str">
        <v>Winnipeg</v>
      </c>
    </row>
    <row r="429" spans="130:173">
      <c r="DZ429" s="72">
        <v>426</v>
      </c>
      <c r="EA429" s="73" t="str">
        <v>Tampa Bay</v>
      </c>
      <c r="EB429" s="75" t="str">
        <v>Winnipeg</v>
      </c>
      <c r="FP429" s="73">
        <v>427</v>
      </c>
      <c r="FQ429" s="73" t="str">
        <v>Winnipeg</v>
      </c>
    </row>
    <row r="430" spans="130:173">
      <c r="DZ430" s="72">
        <v>427</v>
      </c>
      <c r="EA430" s="73" t="str">
        <v>Tampa Bay</v>
      </c>
      <c r="EB430" s="75" t="str">
        <v>Winnipeg</v>
      </c>
      <c r="FP430" s="73">
        <v>428</v>
      </c>
      <c r="FQ430" s="73" t="str">
        <v>Winnipeg</v>
      </c>
    </row>
    <row r="431" spans="130:173">
      <c r="DZ431" s="72">
        <v>428</v>
      </c>
      <c r="EA431" s="73" t="str">
        <v>NY Islanders</v>
      </c>
      <c r="EB431" s="75" t="str">
        <v>Winnipeg</v>
      </c>
      <c r="FP431" s="73">
        <v>429</v>
      </c>
      <c r="FQ431" s="73" t="str">
        <v>Winnipeg</v>
      </c>
    </row>
    <row r="432" spans="130:173">
      <c r="DZ432" s="72">
        <v>429</v>
      </c>
      <c r="EA432" s="73" t="str">
        <v>NY Islanders</v>
      </c>
      <c r="EB432" s="75" t="str">
        <v>Winnipeg</v>
      </c>
      <c r="FP432" s="73">
        <v>430</v>
      </c>
      <c r="FQ432" s="73" t="str">
        <v>Winnipeg</v>
      </c>
    </row>
    <row r="433" spans="130:173">
      <c r="DZ433" s="72">
        <v>430</v>
      </c>
      <c r="EA433" s="73" t="str">
        <v>Tampa Bay</v>
      </c>
      <c r="EB433" s="75" t="str">
        <v>Winnipeg</v>
      </c>
      <c r="FP433" s="73">
        <v>431</v>
      </c>
      <c r="FQ433" s="73" t="str">
        <v>Winnipeg</v>
      </c>
    </row>
    <row r="434" spans="130:173">
      <c r="DZ434" s="72">
        <v>431</v>
      </c>
      <c r="EA434" s="73" t="str">
        <v>Tampa Bay</v>
      </c>
      <c r="EB434" s="75" t="str">
        <v>Winnipeg</v>
      </c>
      <c r="FP434" s="73">
        <v>432</v>
      </c>
      <c r="FQ434" s="73" t="str">
        <v>Winnipeg</v>
      </c>
    </row>
    <row r="435" spans="130:173">
      <c r="DZ435" s="72">
        <v>432</v>
      </c>
      <c r="EA435" s="73" t="str">
        <v>Tampa Bay</v>
      </c>
      <c r="EB435" s="75" t="str">
        <v>Winnipeg</v>
      </c>
      <c r="FP435" s="73">
        <v>433</v>
      </c>
      <c r="FQ435" s="73" t="str">
        <v>Winnipeg</v>
      </c>
    </row>
    <row r="436" spans="130:173">
      <c r="DZ436" s="72">
        <v>433</v>
      </c>
      <c r="EA436" s="73" t="str">
        <v>Detroit</v>
      </c>
      <c r="EB436" s="75" t="str">
        <v>Winnipeg</v>
      </c>
      <c r="FP436" s="73">
        <v>434</v>
      </c>
      <c r="FQ436" s="73" t="str">
        <v>Winnipeg</v>
      </c>
    </row>
    <row r="437" spans="130:173">
      <c r="DZ437" s="72">
        <v>434</v>
      </c>
      <c r="EA437" s="73" t="str">
        <v>Tampa Bay</v>
      </c>
      <c r="EB437" s="75" t="str">
        <v>Winnipeg</v>
      </c>
      <c r="FP437" s="73">
        <v>435</v>
      </c>
      <c r="FQ437" s="73" t="str">
        <v>Winnipeg</v>
      </c>
    </row>
    <row r="438" spans="130:173">
      <c r="DZ438" s="72">
        <v>435</v>
      </c>
      <c r="EA438" s="73" t="str">
        <v>Tampa Bay</v>
      </c>
      <c r="EB438" s="75" t="str">
        <v>Winnipeg</v>
      </c>
      <c r="FP438" s="73">
        <v>436</v>
      </c>
      <c r="FQ438" s="73" t="str">
        <v>Winnipeg</v>
      </c>
    </row>
    <row r="439" spans="130:173">
      <c r="DZ439" s="72">
        <v>436</v>
      </c>
      <c r="EA439" s="73" t="str">
        <v>Tampa Bay</v>
      </c>
      <c r="EB439" s="75" t="str">
        <v>Winnipeg</v>
      </c>
      <c r="FP439" s="73">
        <v>437</v>
      </c>
      <c r="FQ439" s="73" t="str">
        <v>Winnipeg</v>
      </c>
    </row>
    <row r="440" spans="130:173">
      <c r="DZ440" s="72">
        <v>437</v>
      </c>
      <c r="EA440" s="73" t="str">
        <v>Pittsburgh</v>
      </c>
      <c r="EB440" s="75" t="str">
        <v>Winnipeg</v>
      </c>
      <c r="FP440" s="73">
        <v>438</v>
      </c>
      <c r="FQ440" s="73" t="str">
        <v>Winnipeg</v>
      </c>
    </row>
    <row r="441" spans="130:173">
      <c r="DZ441" s="72">
        <v>438</v>
      </c>
      <c r="EA441" s="73" t="str">
        <v>Tampa Bay</v>
      </c>
      <c r="EB441" s="75" t="str">
        <v>Winnipeg</v>
      </c>
      <c r="FP441" s="73">
        <v>439</v>
      </c>
      <c r="FQ441" s="73" t="str">
        <v>Winnipeg</v>
      </c>
    </row>
    <row r="442" spans="130:173">
      <c r="DZ442" s="72">
        <v>439</v>
      </c>
      <c r="EA442" s="73" t="str">
        <v>NY Islanders</v>
      </c>
      <c r="EB442" s="75" t="str">
        <v>Winnipeg</v>
      </c>
      <c r="FP442" s="73">
        <v>440</v>
      </c>
      <c r="FQ442" s="73" t="str">
        <v>Winnipeg</v>
      </c>
    </row>
    <row r="443" spans="130:173">
      <c r="DZ443" s="72">
        <v>440</v>
      </c>
      <c r="EA443" s="73" t="str">
        <v>Tampa Bay</v>
      </c>
      <c r="EB443" s="75" t="str">
        <v>Winnipeg</v>
      </c>
      <c r="FP443" s="73">
        <v>441</v>
      </c>
      <c r="FQ443" s="73" t="str">
        <v>Winnipeg</v>
      </c>
    </row>
    <row r="444" spans="130:173">
      <c r="DZ444" s="72">
        <v>441</v>
      </c>
      <c r="EA444" s="73" t="str">
        <v>Tampa Bay</v>
      </c>
      <c r="EB444" s="75" t="str">
        <v>Winnipeg</v>
      </c>
      <c r="FP444" s="73">
        <v>442</v>
      </c>
      <c r="FQ444" s="73" t="str">
        <v>Winnipeg</v>
      </c>
    </row>
    <row r="445" spans="130:173">
      <c r="DZ445" s="72">
        <v>442</v>
      </c>
      <c r="EA445" s="73" t="str">
        <v>Tampa Bay</v>
      </c>
      <c r="EB445" s="75" t="str">
        <v>Winnipeg</v>
      </c>
      <c r="FP445" s="73">
        <v>443</v>
      </c>
      <c r="FQ445" s="73" t="str">
        <v>Winnipeg</v>
      </c>
    </row>
    <row r="446" spans="130:173">
      <c r="DZ446" s="72">
        <v>443</v>
      </c>
      <c r="EA446" s="73" t="str">
        <v>Pittsburgh</v>
      </c>
      <c r="EB446" s="75" t="str">
        <v>Winnipeg</v>
      </c>
      <c r="FP446" s="73">
        <v>444</v>
      </c>
      <c r="FQ446" s="73" t="str">
        <v>Winnipeg</v>
      </c>
    </row>
    <row r="447" spans="130:173">
      <c r="DZ447" s="72">
        <v>444</v>
      </c>
      <c r="EA447" s="73" t="str">
        <v>Tampa Bay</v>
      </c>
      <c r="EB447" s="75" t="str">
        <v>Winnipeg</v>
      </c>
      <c r="FP447" s="73">
        <v>445</v>
      </c>
      <c r="FQ447" s="73" t="str">
        <v>Winnipeg</v>
      </c>
    </row>
    <row r="448" spans="130:173">
      <c r="DZ448" s="72">
        <v>445</v>
      </c>
      <c r="EA448" s="73" t="str">
        <v>Montreal</v>
      </c>
      <c r="EB448" s="75" t="str">
        <v>Winnipeg</v>
      </c>
      <c r="FP448" s="73">
        <v>446</v>
      </c>
      <c r="FQ448" s="73" t="str">
        <v>Winnipeg</v>
      </c>
    </row>
    <row r="449" spans="130:173">
      <c r="DZ449" s="72">
        <v>446</v>
      </c>
      <c r="EA449" s="73" t="str">
        <v>Tampa Bay</v>
      </c>
      <c r="EB449" s="75" t="str">
        <v>Winnipeg</v>
      </c>
      <c r="FP449" s="73">
        <v>447</v>
      </c>
      <c r="FQ449" s="73" t="str">
        <v>Winnipeg</v>
      </c>
    </row>
    <row r="450" spans="130:173">
      <c r="DZ450" s="72">
        <v>447</v>
      </c>
      <c r="EA450" s="73" t="str">
        <v>Tampa Bay</v>
      </c>
      <c r="EB450" s="75" t="str">
        <v>Winnipeg</v>
      </c>
      <c r="FP450" s="73">
        <v>448</v>
      </c>
      <c r="FQ450" s="73" t="str">
        <v>Winnipeg</v>
      </c>
    </row>
    <row r="451" spans="130:173">
      <c r="DZ451" s="72">
        <v>448</v>
      </c>
      <c r="EA451" s="73" t="str">
        <v>Detroit</v>
      </c>
      <c r="EB451" s="75" t="str">
        <v>Winnipeg</v>
      </c>
      <c r="FP451" s="73">
        <v>449</v>
      </c>
      <c r="FQ451" s="73" t="str">
        <v>Winnipeg</v>
      </c>
    </row>
    <row r="452" spans="130:173">
      <c r="DZ452" s="72">
        <v>449</v>
      </c>
      <c r="EA452" s="73" t="str">
        <v>Detroit</v>
      </c>
      <c r="EB452" s="75" t="str">
        <v>Winnipeg</v>
      </c>
      <c r="FP452" s="73">
        <v>450</v>
      </c>
      <c r="FQ452" s="73" t="str">
        <v>Winnipeg</v>
      </c>
    </row>
    <row r="453" spans="130:173">
      <c r="DZ453" s="72">
        <v>450</v>
      </c>
      <c r="EA453" s="73" t="str">
        <v>Tampa Bay</v>
      </c>
      <c r="EB453" s="75" t="str">
        <v>Winnipeg</v>
      </c>
      <c r="FP453" s="73">
        <v>451</v>
      </c>
      <c r="FQ453" s="73" t="str">
        <v>Winnipeg</v>
      </c>
    </row>
    <row r="454" spans="130:173">
      <c r="DZ454" s="72">
        <v>451</v>
      </c>
      <c r="EA454" s="73" t="str">
        <v>Tampa Bay</v>
      </c>
      <c r="EB454" s="75" t="str">
        <v>Winnipeg</v>
      </c>
      <c r="FP454" s="73">
        <v>452</v>
      </c>
      <c r="FQ454" s="73" t="str">
        <v>Winnipeg</v>
      </c>
    </row>
    <row r="455" spans="130:173">
      <c r="DZ455" s="72">
        <v>452</v>
      </c>
      <c r="EA455" s="73" t="str">
        <v>Tampa Bay</v>
      </c>
      <c r="EB455" s="75" t="str">
        <v>Winnipeg</v>
      </c>
      <c r="FP455" s="73">
        <v>453</v>
      </c>
      <c r="FQ455" s="73" t="str">
        <v>Winnipeg</v>
      </c>
    </row>
    <row r="456" spans="130:173">
      <c r="DZ456" s="72">
        <v>453</v>
      </c>
      <c r="EA456" s="73" t="str">
        <v>Tampa Bay</v>
      </c>
      <c r="EB456" s="75" t="str">
        <v>Winnipeg</v>
      </c>
      <c r="FP456" s="73">
        <v>454</v>
      </c>
      <c r="FQ456" s="73" t="str">
        <v>Winnipeg</v>
      </c>
    </row>
    <row r="457" spans="130:173">
      <c r="DZ457" s="72">
        <v>454</v>
      </c>
      <c r="EA457" s="73" t="str">
        <v>Tampa Bay</v>
      </c>
      <c r="EB457" s="75" t="str">
        <v>Winnipeg</v>
      </c>
      <c r="FP457" s="73">
        <v>455</v>
      </c>
      <c r="FQ457" s="73" t="str">
        <v>Winnipeg</v>
      </c>
    </row>
    <row r="458" spans="130:173">
      <c r="DZ458" s="72">
        <v>455</v>
      </c>
      <c r="EA458" s="73" t="str">
        <v>Detroit</v>
      </c>
      <c r="EB458" s="75" t="str">
        <v>Winnipeg</v>
      </c>
      <c r="FP458" s="73">
        <v>456</v>
      </c>
      <c r="FQ458" s="73" t="str">
        <v>Winnipeg</v>
      </c>
    </row>
    <row r="459" spans="130:173">
      <c r="DZ459" s="72">
        <v>456</v>
      </c>
      <c r="EA459" s="73" t="str">
        <v>Tampa Bay</v>
      </c>
      <c r="EB459" s="75" t="str">
        <v>Winnipeg</v>
      </c>
      <c r="FP459" s="73">
        <v>457</v>
      </c>
      <c r="FQ459" s="73" t="str">
        <v>Winnipeg</v>
      </c>
    </row>
    <row r="460" spans="130:173">
      <c r="DZ460" s="72">
        <v>457</v>
      </c>
      <c r="EA460" s="73" t="str">
        <v>Tampa Bay</v>
      </c>
      <c r="EB460" s="75" t="str">
        <v>Winnipeg</v>
      </c>
      <c r="FP460" s="73">
        <v>458</v>
      </c>
      <c r="FQ460" s="73" t="str">
        <v>Winnipeg</v>
      </c>
    </row>
    <row r="461" spans="130:173">
      <c r="DZ461" s="72">
        <v>458</v>
      </c>
      <c r="EA461" s="73" t="str">
        <v>Tampa Bay</v>
      </c>
      <c r="EB461" s="75" t="str">
        <v>Winnipeg</v>
      </c>
      <c r="FP461" s="73">
        <v>459</v>
      </c>
      <c r="FQ461" s="73" t="str">
        <v>Winnipeg</v>
      </c>
    </row>
    <row r="462" spans="130:173">
      <c r="DZ462" s="72">
        <v>459</v>
      </c>
      <c r="EA462" s="73" t="str">
        <v>Tampa Bay</v>
      </c>
      <c r="EB462" s="75" t="str">
        <v>Winnipeg</v>
      </c>
      <c r="FP462" s="73">
        <v>460</v>
      </c>
      <c r="FQ462" s="73" t="str">
        <v>Winnipeg</v>
      </c>
    </row>
    <row r="463" spans="130:173">
      <c r="DZ463" s="72">
        <v>460</v>
      </c>
      <c r="EA463" s="73" t="str">
        <v>Tampa Bay</v>
      </c>
      <c r="EB463" s="75" t="str">
        <v>Winnipeg</v>
      </c>
      <c r="FP463" s="73">
        <v>461</v>
      </c>
      <c r="FQ463" s="73" t="str">
        <v>Winnipeg</v>
      </c>
    </row>
    <row r="464" spans="130:173">
      <c r="DZ464" s="72">
        <v>461</v>
      </c>
      <c r="EA464" s="73" t="str">
        <v>Tampa Bay</v>
      </c>
      <c r="EB464" s="75" t="str">
        <v>Winnipeg</v>
      </c>
      <c r="FP464" s="73">
        <v>462</v>
      </c>
      <c r="FQ464" s="73" t="str">
        <v>Winnipeg</v>
      </c>
    </row>
    <row r="465" spans="130:173">
      <c r="DZ465" s="72">
        <v>462</v>
      </c>
      <c r="EA465" s="73" t="str">
        <v>Montreal</v>
      </c>
      <c r="EB465" s="75" t="str">
        <v>Winnipeg</v>
      </c>
      <c r="FP465" s="73">
        <v>463</v>
      </c>
      <c r="FQ465" s="73" t="str">
        <v>Winnipeg</v>
      </c>
    </row>
    <row r="466" spans="130:173">
      <c r="DZ466" s="72">
        <v>463</v>
      </c>
      <c r="EA466" s="73" t="str">
        <v>Tampa Bay</v>
      </c>
      <c r="EB466" s="75" t="str">
        <v>Winnipeg</v>
      </c>
      <c r="FP466" s="73">
        <v>464</v>
      </c>
      <c r="FQ466" s="73" t="str">
        <v>Winnipeg</v>
      </c>
    </row>
    <row r="467" spans="130:173">
      <c r="DZ467" s="72">
        <v>464</v>
      </c>
      <c r="EA467" s="73" t="str">
        <v>Tampa Bay</v>
      </c>
      <c r="EB467" s="75" t="str">
        <v>Winnipeg</v>
      </c>
      <c r="FP467" s="73">
        <v>465</v>
      </c>
      <c r="FQ467" s="73" t="str">
        <v>Winnipeg</v>
      </c>
    </row>
    <row r="468" spans="130:173">
      <c r="DZ468" s="72">
        <v>465</v>
      </c>
      <c r="EA468" s="73" t="str">
        <v>Tampa Bay</v>
      </c>
      <c r="EB468" s="75" t="str">
        <v>Winnipeg</v>
      </c>
      <c r="FP468" s="73">
        <v>466</v>
      </c>
      <c r="FQ468" s="73" t="str">
        <v>Winnipeg</v>
      </c>
    </row>
    <row r="469" spans="130:173">
      <c r="DZ469" s="72">
        <v>466</v>
      </c>
      <c r="EA469" s="73" t="str">
        <v>Tampa Bay</v>
      </c>
      <c r="EB469" s="75" t="str">
        <v>Winnipeg</v>
      </c>
      <c r="FP469" s="73">
        <v>467</v>
      </c>
      <c r="FQ469" s="73" t="str">
        <v>Winnipeg</v>
      </c>
    </row>
    <row r="470" spans="130:173">
      <c r="DZ470" s="72">
        <v>467</v>
      </c>
      <c r="EA470" s="73" t="str">
        <v>Tampa Bay</v>
      </c>
      <c r="EB470" s="75" t="str">
        <v>Winnipeg</v>
      </c>
      <c r="FP470" s="73">
        <v>468</v>
      </c>
      <c r="FQ470" s="73" t="str">
        <v>Winnipeg</v>
      </c>
    </row>
    <row r="471" spans="130:173">
      <c r="DZ471" s="72">
        <v>468</v>
      </c>
      <c r="EA471" s="73" t="str">
        <v>Tampa Bay</v>
      </c>
      <c r="EB471" s="75" t="str">
        <v>Winnipeg</v>
      </c>
      <c r="FP471" s="73">
        <v>469</v>
      </c>
      <c r="FQ471" s="73" t="str">
        <v>Winnipeg</v>
      </c>
    </row>
    <row r="472" spans="130:173">
      <c r="DZ472" s="72">
        <v>469</v>
      </c>
      <c r="EA472" s="73" t="str">
        <v>Tampa Bay</v>
      </c>
      <c r="EB472" s="75" t="str">
        <v>Winnipeg</v>
      </c>
      <c r="FP472" s="73">
        <v>470</v>
      </c>
      <c r="FQ472" s="73" t="str">
        <v>Winnipeg</v>
      </c>
    </row>
    <row r="473" spans="130:173">
      <c r="DZ473" s="72">
        <v>470</v>
      </c>
      <c r="EA473" s="73" t="str">
        <v>Montreal</v>
      </c>
      <c r="EB473" s="75" t="str">
        <v>Winnipeg</v>
      </c>
      <c r="FP473" s="73">
        <v>471</v>
      </c>
      <c r="FQ473" s="73" t="str">
        <v>Winnipeg</v>
      </c>
    </row>
    <row r="474" spans="130:173">
      <c r="DZ474" s="72">
        <v>471</v>
      </c>
      <c r="EA474" s="73" t="str">
        <v>Detroit</v>
      </c>
      <c r="EB474" s="75" t="str">
        <v>Winnipeg</v>
      </c>
      <c r="FP474" s="73">
        <v>472</v>
      </c>
      <c r="FQ474" s="73" t="str">
        <v>Winnipeg</v>
      </c>
    </row>
    <row r="475" spans="130:173">
      <c r="DZ475" s="72">
        <v>472</v>
      </c>
      <c r="EA475" s="73" t="str">
        <v>Detroit</v>
      </c>
      <c r="EB475" s="75" t="str">
        <v>Winnipeg</v>
      </c>
      <c r="FP475" s="73">
        <v>473</v>
      </c>
      <c r="FQ475" s="73" t="str">
        <v>Winnipeg</v>
      </c>
    </row>
    <row r="476" spans="130:173">
      <c r="DZ476" s="72">
        <v>473</v>
      </c>
      <c r="EA476" s="73" t="str">
        <v>Tampa Bay</v>
      </c>
      <c r="EB476" s="75" t="str">
        <v>Winnipeg</v>
      </c>
      <c r="FP476" s="73">
        <v>474</v>
      </c>
      <c r="FQ476" s="73" t="str">
        <v>Winnipeg</v>
      </c>
    </row>
    <row r="477" spans="130:173">
      <c r="DZ477" s="72">
        <v>474</v>
      </c>
      <c r="EA477" s="73" t="str">
        <v>Tampa Bay</v>
      </c>
      <c r="EB477" s="75" t="str">
        <v>Winnipeg</v>
      </c>
      <c r="FP477" s="73">
        <v>475</v>
      </c>
      <c r="FQ477" s="73" t="str">
        <v>Winnipeg</v>
      </c>
    </row>
    <row r="478" spans="130:173">
      <c r="DZ478" s="72">
        <v>475</v>
      </c>
      <c r="EA478" s="73" t="str">
        <v>NY Rangers</v>
      </c>
      <c r="EB478" s="75" t="str">
        <v>Winnipeg</v>
      </c>
      <c r="FP478" s="73">
        <v>476</v>
      </c>
      <c r="FQ478" s="73" t="str">
        <v>Winnipeg</v>
      </c>
    </row>
    <row r="479" spans="130:173">
      <c r="DZ479" s="72">
        <v>476</v>
      </c>
      <c r="EA479" s="73" t="str">
        <v>Tampa Bay</v>
      </c>
      <c r="EB479" s="75" t="str">
        <v>Winnipeg</v>
      </c>
      <c r="FP479" s="73">
        <v>477</v>
      </c>
      <c r="FQ479" s="73" t="str">
        <v>Winnipeg</v>
      </c>
    </row>
    <row r="480" spans="130:173">
      <c r="DZ480" s="72">
        <v>477</v>
      </c>
      <c r="EA480" s="73" t="str">
        <v>Tampa Bay</v>
      </c>
      <c r="EB480" s="75" t="str">
        <v>Winnipeg</v>
      </c>
      <c r="FP480" s="73">
        <v>478</v>
      </c>
      <c r="FQ480" s="73" t="str">
        <v>Winnipeg</v>
      </c>
    </row>
    <row r="481" spans="130:173">
      <c r="DZ481" s="72">
        <v>478</v>
      </c>
      <c r="EA481" s="73" t="str">
        <v>Tampa Bay</v>
      </c>
      <c r="EB481" s="75" t="str">
        <v>Winnipeg</v>
      </c>
      <c r="FP481" s="73">
        <v>479</v>
      </c>
      <c r="FQ481" s="73" t="str">
        <v>Winnipeg</v>
      </c>
    </row>
    <row r="482" spans="130:173">
      <c r="DZ482" s="72">
        <v>479</v>
      </c>
      <c r="EA482" s="73" t="str">
        <v>Tampa Bay</v>
      </c>
      <c r="EB482" s="75" t="str">
        <v>Winnipeg</v>
      </c>
      <c r="FP482" s="73">
        <v>480</v>
      </c>
      <c r="FQ482" s="73" t="str">
        <v>Winnipeg</v>
      </c>
    </row>
    <row r="483" spans="130:173">
      <c r="DZ483" s="72">
        <v>480</v>
      </c>
      <c r="EA483" s="73" t="str">
        <v>NY Rangers</v>
      </c>
      <c r="EB483" s="75" t="str">
        <v>Winnipeg</v>
      </c>
      <c r="FP483" s="73">
        <v>481</v>
      </c>
      <c r="FQ483" s="73" t="str">
        <v>Winnipeg</v>
      </c>
    </row>
    <row r="484" spans="130:173">
      <c r="DZ484" s="72">
        <v>481</v>
      </c>
      <c r="EA484" s="73" t="str">
        <v>Tampa Bay</v>
      </c>
      <c r="EB484" s="75" t="str">
        <v>Winnipeg</v>
      </c>
      <c r="FP484" s="73">
        <v>482</v>
      </c>
      <c r="FQ484" s="73" t="str">
        <v>Winnipeg</v>
      </c>
    </row>
    <row r="485" spans="130:173">
      <c r="DZ485" s="72">
        <v>482</v>
      </c>
      <c r="EA485" s="73" t="str">
        <v>Pittsburgh</v>
      </c>
      <c r="EB485" s="75" t="str">
        <v>Winnipeg</v>
      </c>
      <c r="FP485" s="73">
        <v>483</v>
      </c>
      <c r="FQ485" s="73" t="str">
        <v>Winnipeg</v>
      </c>
    </row>
    <row r="486" spans="130:173">
      <c r="DZ486" s="72">
        <v>483</v>
      </c>
      <c r="EA486" s="73" t="str">
        <v>Pittsburgh</v>
      </c>
      <c r="EB486" s="75" t="str">
        <v>Winnipeg</v>
      </c>
      <c r="FP486" s="73">
        <v>484</v>
      </c>
      <c r="FQ486" s="73" t="str">
        <v>Winnipeg</v>
      </c>
    </row>
    <row r="487" spans="130:173">
      <c r="DZ487" s="72">
        <v>484</v>
      </c>
      <c r="EA487" s="73" t="str">
        <v>Tampa Bay</v>
      </c>
      <c r="EB487" s="75" t="str">
        <v>Winnipeg</v>
      </c>
      <c r="FP487" s="73">
        <v>485</v>
      </c>
      <c r="FQ487" s="73" t="str">
        <v>Winnipeg</v>
      </c>
    </row>
    <row r="488" spans="130:173">
      <c r="DZ488" s="72">
        <v>485</v>
      </c>
      <c r="EA488" s="73" t="str">
        <v>Tampa Bay</v>
      </c>
      <c r="EB488" s="75" t="str">
        <v>Winnipeg</v>
      </c>
      <c r="FP488" s="73">
        <v>486</v>
      </c>
      <c r="FQ488" s="73" t="str">
        <v>Winnipeg</v>
      </c>
    </row>
    <row r="489" spans="130:173">
      <c r="DZ489" s="72">
        <v>486</v>
      </c>
      <c r="EA489" s="73" t="str">
        <v>Tampa Bay</v>
      </c>
      <c r="EB489" s="75" t="str">
        <v>Winnipeg</v>
      </c>
      <c r="FP489" s="73">
        <v>487</v>
      </c>
      <c r="FQ489" s="73" t="str">
        <v>Winnipeg</v>
      </c>
    </row>
    <row r="490" spans="130:173">
      <c r="DZ490" s="72">
        <v>487</v>
      </c>
      <c r="EA490" s="73" t="str">
        <v>Tampa Bay</v>
      </c>
      <c r="EB490" s="75" t="str">
        <v>Winnipeg</v>
      </c>
      <c r="FP490" s="73">
        <v>488</v>
      </c>
      <c r="FQ490" s="73" t="str">
        <v>Winnipeg</v>
      </c>
    </row>
    <row r="491" spans="130:173">
      <c r="DZ491" s="72">
        <v>488</v>
      </c>
      <c r="EA491" s="73" t="str">
        <v>Tampa Bay</v>
      </c>
      <c r="EB491" s="75" t="str">
        <v>Winnipeg</v>
      </c>
      <c r="FP491" s="73">
        <v>489</v>
      </c>
      <c r="FQ491" s="73" t="str">
        <v>Winnipeg</v>
      </c>
    </row>
    <row r="492" spans="130:173">
      <c r="DZ492" s="72">
        <v>489</v>
      </c>
      <c r="EA492" s="73" t="str">
        <v>NY Islanders</v>
      </c>
      <c r="EB492" s="75" t="str">
        <v>Winnipeg</v>
      </c>
      <c r="FP492" s="73">
        <v>490</v>
      </c>
      <c r="FQ492" s="73" t="str">
        <v>Winnipeg</v>
      </c>
    </row>
    <row r="493" spans="130:173">
      <c r="DZ493" s="72">
        <v>490</v>
      </c>
      <c r="EA493" s="73" t="str">
        <v>Tampa Bay</v>
      </c>
      <c r="EB493" s="75" t="str">
        <v>Winnipeg</v>
      </c>
      <c r="FP493" s="73">
        <v>491</v>
      </c>
      <c r="FQ493" s="73" t="str">
        <v>Winnipeg</v>
      </c>
    </row>
    <row r="494" spans="130:173">
      <c r="DZ494" s="72">
        <v>491</v>
      </c>
      <c r="EA494" s="73" t="str">
        <v>Tampa Bay</v>
      </c>
      <c r="EB494" s="75" t="str">
        <v>Winnipeg</v>
      </c>
      <c r="FP494" s="73">
        <v>492</v>
      </c>
      <c r="FQ494" s="73" t="str">
        <v>Winnipeg</v>
      </c>
    </row>
    <row r="495" spans="130:173">
      <c r="DZ495" s="72">
        <v>492</v>
      </c>
      <c r="EA495" s="73" t="str">
        <v>Pittsburgh</v>
      </c>
      <c r="EB495" s="75" t="str">
        <v>Winnipeg</v>
      </c>
      <c r="FP495" s="73">
        <v>493</v>
      </c>
      <c r="FQ495" s="73" t="str">
        <v>Winnipeg</v>
      </c>
    </row>
    <row r="496" spans="130:173">
      <c r="DZ496" s="72">
        <v>493</v>
      </c>
      <c r="EA496" s="73" t="str">
        <v>Detroit</v>
      </c>
      <c r="EB496" s="75" t="str">
        <v>Winnipeg</v>
      </c>
      <c r="FP496" s="73">
        <v>494</v>
      </c>
      <c r="FQ496" s="73" t="str">
        <v>Winnipeg</v>
      </c>
    </row>
    <row r="497" spans="130:173">
      <c r="DZ497" s="72">
        <v>494</v>
      </c>
      <c r="EA497" s="73" t="str">
        <v>Tampa Bay</v>
      </c>
      <c r="EB497" s="75" t="str">
        <v>Winnipeg</v>
      </c>
      <c r="FP497" s="73">
        <v>495</v>
      </c>
      <c r="FQ497" s="73" t="str">
        <v>Winnipeg</v>
      </c>
    </row>
    <row r="498" spans="130:173">
      <c r="DZ498" s="72">
        <v>495</v>
      </c>
      <c r="EA498" s="73" t="str">
        <v>Tampa Bay</v>
      </c>
      <c r="EB498" s="75" t="str">
        <v>Winnipeg</v>
      </c>
      <c r="FP498" s="73">
        <v>496</v>
      </c>
      <c r="FQ498" s="73" t="str">
        <v>Winnipeg</v>
      </c>
    </row>
    <row r="499" spans="130:173">
      <c r="DZ499" s="72">
        <v>496</v>
      </c>
      <c r="EA499" s="73" t="str">
        <v>Tampa Bay</v>
      </c>
      <c r="EB499" s="75" t="str">
        <v>Winnipeg</v>
      </c>
      <c r="FP499" s="73">
        <v>497</v>
      </c>
      <c r="FQ499" s="73" t="str">
        <v>Winnipeg</v>
      </c>
    </row>
    <row r="500" spans="130:173">
      <c r="DZ500" s="72">
        <v>497</v>
      </c>
      <c r="EA500" s="73" t="str">
        <v>Detroit</v>
      </c>
      <c r="EB500" s="75" t="str">
        <v>Winnipeg</v>
      </c>
      <c r="FP500" s="73">
        <v>498</v>
      </c>
      <c r="FQ500" s="73" t="str">
        <v>Winnipeg</v>
      </c>
    </row>
    <row r="501" spans="130:173">
      <c r="DZ501" s="72">
        <v>498</v>
      </c>
      <c r="EA501" s="73" t="str">
        <v>NY Islanders</v>
      </c>
      <c r="EB501" s="75" t="str">
        <v>Winnipeg</v>
      </c>
      <c r="FP501" s="73">
        <v>499</v>
      </c>
      <c r="FQ501" s="73" t="str">
        <v>Winnipeg</v>
      </c>
    </row>
    <row r="502" spans="130:173">
      <c r="DZ502" s="72">
        <v>499</v>
      </c>
      <c r="EA502" s="73" t="str">
        <v>Tampa Bay</v>
      </c>
      <c r="EB502" s="75" t="str">
        <v>Winnipeg</v>
      </c>
      <c r="FP502" s="73">
        <v>500</v>
      </c>
      <c r="FQ502" s="73" t="str">
        <v>Winnipeg</v>
      </c>
    </row>
    <row r="503" spans="130:173" ht="15.75" thickBot="1">
      <c r="DZ503" s="71">
        <v>500</v>
      </c>
      <c r="EA503" s="76" t="str">
        <v>Tampa Bay</v>
      </c>
      <c r="EB503" s="77" t="str">
        <v>Winnipeg</v>
      </c>
    </row>
  </sheetData>
  <sortState ref="ER12:ES41">
    <sortCondition descending="1" ref="ES12:ES41"/>
  </sortState>
  <mergeCells count="63">
    <mergeCell ref="EK1:FL1"/>
    <mergeCell ref="EK2:EN2"/>
    <mergeCell ref="EO2:ES2"/>
    <mergeCell ref="ET2:EW2"/>
    <mergeCell ref="EX2:FA2"/>
    <mergeCell ref="FB2:FE2"/>
    <mergeCell ref="FF2:FI2"/>
    <mergeCell ref="FJ2:FL2"/>
    <mergeCell ref="CU14:DV14"/>
    <mergeCell ref="CU15:CX15"/>
    <mergeCell ref="CY15:DB15"/>
    <mergeCell ref="DC15:DF15"/>
    <mergeCell ref="DG15:DJ15"/>
    <mergeCell ref="DK15:DN15"/>
    <mergeCell ref="DO15:DR15"/>
    <mergeCell ref="DS15:DV15"/>
    <mergeCell ref="CU1:DV1"/>
    <mergeCell ref="CU2:CX2"/>
    <mergeCell ref="CY2:DB2"/>
    <mergeCell ref="DC2:DF2"/>
    <mergeCell ref="DG2:DJ2"/>
    <mergeCell ref="DK2:DN2"/>
    <mergeCell ref="DO2:DR2"/>
    <mergeCell ref="DS2:DV2"/>
    <mergeCell ref="BF14:CG14"/>
    <mergeCell ref="BF15:BI15"/>
    <mergeCell ref="BJ15:BM15"/>
    <mergeCell ref="BN15:BQ15"/>
    <mergeCell ref="BR15:BU15"/>
    <mergeCell ref="BV15:BY15"/>
    <mergeCell ref="BZ15:CC15"/>
    <mergeCell ref="CD15:CG15"/>
    <mergeCell ref="AK15:AN15"/>
    <mergeCell ref="M1:AN1"/>
    <mergeCell ref="M14:AN14"/>
    <mergeCell ref="BF1:CG1"/>
    <mergeCell ref="BF2:BI2"/>
    <mergeCell ref="BJ2:BM2"/>
    <mergeCell ref="BN2:BQ2"/>
    <mergeCell ref="BR2:BU2"/>
    <mergeCell ref="BV2:BY2"/>
    <mergeCell ref="BZ2:CC2"/>
    <mergeCell ref="AC2:AF2"/>
    <mergeCell ref="AG2:AJ2"/>
    <mergeCell ref="AK2:AN2"/>
    <mergeCell ref="M15:P15"/>
    <mergeCell ref="Q15:T15"/>
    <mergeCell ref="U15:X15"/>
    <mergeCell ref="Y15:AB15"/>
    <mergeCell ref="AC15:AF15"/>
    <mergeCell ref="AG15:AJ15"/>
    <mergeCell ref="M2:P2"/>
    <mergeCell ref="Q2:T2"/>
    <mergeCell ref="U2:X2"/>
    <mergeCell ref="Y2:AB2"/>
    <mergeCell ref="EE11:EI11"/>
    <mergeCell ref="EK11:EO11"/>
    <mergeCell ref="AR2:AV2"/>
    <mergeCell ref="AW2:BA2"/>
    <mergeCell ref="CK2:CM2"/>
    <mergeCell ref="CN2:CP2"/>
    <mergeCell ref="CD2:CG2"/>
    <mergeCell ref="EA2:EB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992"/>
  <sheetViews>
    <sheetView workbookViewId="0">
      <selection activeCell="A2" sqref="A2"/>
    </sheetView>
  </sheetViews>
  <sheetFormatPr defaultRowHeight="15"/>
  <sheetData>
    <row r="1" spans="1:1">
      <c r="A1" t="s">
        <v>525</v>
      </c>
    </row>
    <row r="2" spans="1:1">
      <c r="A2">
        <v>0.01</v>
      </c>
    </row>
    <row r="3" spans="1:1">
      <c r="A3">
        <v>1.0999999999999999E-2</v>
      </c>
    </row>
    <row r="4" spans="1:1">
      <c r="A4">
        <v>1.2E-2</v>
      </c>
    </row>
    <row r="5" spans="1:1">
      <c r="A5">
        <v>1.3000000000000001E-2</v>
      </c>
    </row>
    <row r="6" spans="1:1">
      <c r="A6">
        <v>1.4E-2</v>
      </c>
    </row>
    <row r="7" spans="1:1">
      <c r="A7">
        <v>1.4999999999999999E-2</v>
      </c>
    </row>
    <row r="8" spans="1:1">
      <c r="A8">
        <v>1.6E-2</v>
      </c>
    </row>
    <row r="9" spans="1:1">
      <c r="A9">
        <v>1.7000000000000001E-2</v>
      </c>
    </row>
    <row r="10" spans="1:1">
      <c r="A10">
        <v>1.8000000000000002E-2</v>
      </c>
    </row>
    <row r="11" spans="1:1">
      <c r="A11">
        <v>1.9000000000000003E-2</v>
      </c>
    </row>
    <row r="12" spans="1:1">
      <c r="A12">
        <v>0.02</v>
      </c>
    </row>
    <row r="13" spans="1:1">
      <c r="A13">
        <v>2.0999999999999998E-2</v>
      </c>
    </row>
    <row r="14" spans="1:1">
      <c r="A14">
        <v>2.1999999999999999E-2</v>
      </c>
    </row>
    <row r="15" spans="1:1">
      <c r="A15">
        <v>2.3E-2</v>
      </c>
    </row>
    <row r="16" spans="1:1">
      <c r="A16">
        <v>2.4E-2</v>
      </c>
    </row>
    <row r="17" spans="1:1">
      <c r="A17">
        <v>2.5000000000000001E-2</v>
      </c>
    </row>
    <row r="18" spans="1:1">
      <c r="A18">
        <v>2.6000000000000002E-2</v>
      </c>
    </row>
    <row r="19" spans="1:1">
      <c r="A19">
        <v>2.7000000000000003E-2</v>
      </c>
    </row>
    <row r="20" spans="1:1">
      <c r="A20">
        <v>2.8000000000000004E-2</v>
      </c>
    </row>
    <row r="21" spans="1:1">
      <c r="A21">
        <v>2.8999999999999998E-2</v>
      </c>
    </row>
    <row r="22" spans="1:1">
      <c r="A22">
        <v>0.03</v>
      </c>
    </row>
    <row r="23" spans="1:1">
      <c r="A23">
        <v>3.1E-2</v>
      </c>
    </row>
    <row r="24" spans="1:1">
      <c r="A24">
        <v>3.2000000000000001E-2</v>
      </c>
    </row>
    <row r="25" spans="1:1">
      <c r="A25">
        <v>3.3000000000000002E-2</v>
      </c>
    </row>
    <row r="26" spans="1:1">
      <c r="A26">
        <v>3.4000000000000002E-2</v>
      </c>
    </row>
    <row r="27" spans="1:1">
      <c r="A27">
        <v>3.5000000000000003E-2</v>
      </c>
    </row>
    <row r="28" spans="1:1">
      <c r="A28">
        <v>3.6000000000000004E-2</v>
      </c>
    </row>
    <row r="29" spans="1:1">
      <c r="A29">
        <v>3.6999999999999998E-2</v>
      </c>
    </row>
    <row r="30" spans="1:1">
      <c r="A30">
        <v>3.7999999999999999E-2</v>
      </c>
    </row>
    <row r="31" spans="1:1">
      <c r="A31">
        <v>3.9E-2</v>
      </c>
    </row>
    <row r="32" spans="1:1">
      <c r="A32">
        <v>0.04</v>
      </c>
    </row>
    <row r="33" spans="1:1">
      <c r="A33">
        <v>4.1000000000000002E-2</v>
      </c>
    </row>
    <row r="34" spans="1:1">
      <c r="A34">
        <v>4.2000000000000003E-2</v>
      </c>
    </row>
    <row r="35" spans="1:1">
      <c r="A35">
        <v>4.3000000000000003E-2</v>
      </c>
    </row>
    <row r="36" spans="1:1">
      <c r="A36">
        <v>4.4000000000000004E-2</v>
      </c>
    </row>
    <row r="37" spans="1:1">
      <c r="A37">
        <v>4.5000000000000005E-2</v>
      </c>
    </row>
    <row r="38" spans="1:1">
      <c r="A38">
        <v>4.6000000000000006E-2</v>
      </c>
    </row>
    <row r="39" spans="1:1">
      <c r="A39">
        <v>4.7E-2</v>
      </c>
    </row>
    <row r="40" spans="1:1">
      <c r="A40">
        <v>4.8000000000000001E-2</v>
      </c>
    </row>
    <row r="41" spans="1:1">
      <c r="A41">
        <v>4.9000000000000002E-2</v>
      </c>
    </row>
    <row r="42" spans="1:1">
      <c r="A42">
        <v>0.05</v>
      </c>
    </row>
    <row r="43" spans="1:1">
      <c r="A43">
        <v>5.1000000000000004E-2</v>
      </c>
    </row>
    <row r="44" spans="1:1">
      <c r="A44">
        <v>5.2000000000000005E-2</v>
      </c>
    </row>
    <row r="45" spans="1:1">
      <c r="A45">
        <v>5.3000000000000005E-2</v>
      </c>
    </row>
    <row r="46" spans="1:1">
      <c r="A46">
        <v>5.3999999999999999E-2</v>
      </c>
    </row>
    <row r="47" spans="1:1">
      <c r="A47">
        <v>5.5E-2</v>
      </c>
    </row>
    <row r="48" spans="1:1">
      <c r="A48">
        <v>5.6000000000000001E-2</v>
      </c>
    </row>
    <row r="49" spans="1:1">
      <c r="A49">
        <v>5.7000000000000002E-2</v>
      </c>
    </row>
    <row r="50" spans="1:1">
      <c r="A50">
        <v>5.8000000000000003E-2</v>
      </c>
    </row>
    <row r="51" spans="1:1">
      <c r="A51">
        <v>5.9000000000000004E-2</v>
      </c>
    </row>
    <row r="52" spans="1:1">
      <c r="A52">
        <v>6.0000000000000005E-2</v>
      </c>
    </row>
    <row r="53" spans="1:1">
      <c r="A53">
        <v>6.1000000000000006E-2</v>
      </c>
    </row>
    <row r="54" spans="1:1">
      <c r="A54">
        <v>6.2000000000000006E-2</v>
      </c>
    </row>
    <row r="55" spans="1:1">
      <c r="A55">
        <v>6.3E-2</v>
      </c>
    </row>
    <row r="56" spans="1:1">
      <c r="A56">
        <v>6.4000000000000001E-2</v>
      </c>
    </row>
    <row r="57" spans="1:1">
      <c r="A57">
        <v>6.5000000000000002E-2</v>
      </c>
    </row>
    <row r="58" spans="1:1">
      <c r="A58">
        <v>6.6000000000000003E-2</v>
      </c>
    </row>
    <row r="59" spans="1:1">
      <c r="A59">
        <v>6.7000000000000004E-2</v>
      </c>
    </row>
    <row r="60" spans="1:1">
      <c r="A60">
        <v>6.8000000000000005E-2</v>
      </c>
    </row>
    <row r="61" spans="1:1">
      <c r="A61">
        <v>6.9000000000000006E-2</v>
      </c>
    </row>
    <row r="62" spans="1:1">
      <c r="A62">
        <v>6.9999999999999993E-2</v>
      </c>
    </row>
    <row r="63" spans="1:1">
      <c r="A63">
        <v>7.0999999999999994E-2</v>
      </c>
    </row>
    <row r="64" spans="1:1">
      <c r="A64">
        <v>7.1999999999999995E-2</v>
      </c>
    </row>
    <row r="65" spans="1:1">
      <c r="A65">
        <v>7.2999999999999995E-2</v>
      </c>
    </row>
    <row r="66" spans="1:1">
      <c r="A66">
        <v>7.3999999999999996E-2</v>
      </c>
    </row>
    <row r="67" spans="1:1">
      <c r="A67">
        <v>7.4999999999999997E-2</v>
      </c>
    </row>
    <row r="68" spans="1:1">
      <c r="A68">
        <v>7.5999999999999998E-2</v>
      </c>
    </row>
    <row r="69" spans="1:1">
      <c r="A69">
        <v>7.6999999999999999E-2</v>
      </c>
    </row>
    <row r="70" spans="1:1">
      <c r="A70">
        <v>7.8E-2</v>
      </c>
    </row>
    <row r="71" spans="1:1">
      <c r="A71">
        <v>7.9000000000000001E-2</v>
      </c>
    </row>
    <row r="72" spans="1:1">
      <c r="A72">
        <v>0.08</v>
      </c>
    </row>
    <row r="73" spans="1:1">
      <c r="A73">
        <v>8.1000000000000003E-2</v>
      </c>
    </row>
    <row r="74" spans="1:1">
      <c r="A74">
        <v>8.2000000000000003E-2</v>
      </c>
    </row>
    <row r="75" spans="1:1">
      <c r="A75">
        <v>8.299999999999999E-2</v>
      </c>
    </row>
    <row r="76" spans="1:1">
      <c r="A76">
        <v>8.3999999999999991E-2</v>
      </c>
    </row>
    <row r="77" spans="1:1">
      <c r="A77">
        <v>8.4999999999999992E-2</v>
      </c>
    </row>
    <row r="78" spans="1:1">
      <c r="A78">
        <v>8.5999999999999993E-2</v>
      </c>
    </row>
    <row r="79" spans="1:1">
      <c r="A79">
        <v>8.6999999999999994E-2</v>
      </c>
    </row>
    <row r="80" spans="1:1">
      <c r="A80">
        <v>8.7999999999999995E-2</v>
      </c>
    </row>
    <row r="81" spans="1:1">
      <c r="A81">
        <v>8.8999999999999996E-2</v>
      </c>
    </row>
    <row r="82" spans="1:1">
      <c r="A82">
        <v>0.09</v>
      </c>
    </row>
    <row r="83" spans="1:1">
      <c r="A83">
        <v>9.0999999999999998E-2</v>
      </c>
    </row>
    <row r="84" spans="1:1">
      <c r="A84">
        <v>9.1999999999999998E-2</v>
      </c>
    </row>
    <row r="85" spans="1:1">
      <c r="A85">
        <v>9.2999999999999999E-2</v>
      </c>
    </row>
    <row r="86" spans="1:1">
      <c r="A86">
        <v>9.4E-2</v>
      </c>
    </row>
    <row r="87" spans="1:1">
      <c r="A87">
        <v>9.5000000000000001E-2</v>
      </c>
    </row>
    <row r="88" spans="1:1">
      <c r="A88">
        <v>9.6000000000000002E-2</v>
      </c>
    </row>
    <row r="89" spans="1:1">
      <c r="A89">
        <v>9.7000000000000003E-2</v>
      </c>
    </row>
    <row r="90" spans="1:1">
      <c r="A90">
        <v>9.799999999999999E-2</v>
      </c>
    </row>
    <row r="91" spans="1:1">
      <c r="A91">
        <v>9.8999999999999991E-2</v>
      </c>
    </row>
    <row r="92" spans="1:1">
      <c r="A92">
        <v>9.9999999999999992E-2</v>
      </c>
    </row>
    <row r="93" spans="1:1">
      <c r="A93">
        <v>0.10099999999999999</v>
      </c>
    </row>
    <row r="94" spans="1:1">
      <c r="A94">
        <v>0.10199999999999999</v>
      </c>
    </row>
    <row r="95" spans="1:1">
      <c r="A95">
        <v>0.10299999999999999</v>
      </c>
    </row>
    <row r="96" spans="1:1">
      <c r="A96">
        <v>0.104</v>
      </c>
    </row>
    <row r="97" spans="1:1">
      <c r="A97">
        <v>0.105</v>
      </c>
    </row>
    <row r="98" spans="1:1">
      <c r="A98">
        <v>0.106</v>
      </c>
    </row>
    <row r="99" spans="1:1">
      <c r="A99">
        <v>0.107</v>
      </c>
    </row>
    <row r="100" spans="1:1">
      <c r="A100">
        <v>0.108</v>
      </c>
    </row>
    <row r="101" spans="1:1">
      <c r="A101">
        <v>0.109</v>
      </c>
    </row>
    <row r="102" spans="1:1">
      <c r="A102">
        <v>0.11</v>
      </c>
    </row>
    <row r="103" spans="1:1">
      <c r="A103">
        <v>0.111</v>
      </c>
    </row>
    <row r="104" spans="1:1">
      <c r="A104">
        <v>0.112</v>
      </c>
    </row>
    <row r="105" spans="1:1">
      <c r="A105">
        <v>0.113</v>
      </c>
    </row>
    <row r="106" spans="1:1">
      <c r="A106">
        <v>0.114</v>
      </c>
    </row>
    <row r="107" spans="1:1">
      <c r="A107">
        <v>0.11499999999999999</v>
      </c>
    </row>
    <row r="108" spans="1:1">
      <c r="A108">
        <v>0.11599999999999999</v>
      </c>
    </row>
    <row r="109" spans="1:1">
      <c r="A109">
        <v>0.11699999999999999</v>
      </c>
    </row>
    <row r="110" spans="1:1">
      <c r="A110">
        <v>0.11799999999999999</v>
      </c>
    </row>
    <row r="111" spans="1:1">
      <c r="A111">
        <v>0.11899999999999999</v>
      </c>
    </row>
    <row r="112" spans="1:1">
      <c r="A112">
        <v>0.12</v>
      </c>
    </row>
    <row r="113" spans="1:1">
      <c r="A113">
        <v>0.121</v>
      </c>
    </row>
    <row r="114" spans="1:1">
      <c r="A114">
        <v>0.122</v>
      </c>
    </row>
    <row r="115" spans="1:1">
      <c r="A115">
        <v>0.123</v>
      </c>
    </row>
    <row r="116" spans="1:1">
      <c r="A116">
        <v>0.124</v>
      </c>
    </row>
    <row r="117" spans="1:1">
      <c r="A117">
        <v>0.125</v>
      </c>
    </row>
    <row r="118" spans="1:1">
      <c r="A118">
        <v>0.126</v>
      </c>
    </row>
    <row r="119" spans="1:1">
      <c r="A119">
        <v>0.127</v>
      </c>
    </row>
    <row r="120" spans="1:1">
      <c r="A120">
        <v>0.128</v>
      </c>
    </row>
    <row r="121" spans="1:1">
      <c r="A121">
        <v>0.129</v>
      </c>
    </row>
    <row r="122" spans="1:1">
      <c r="A122">
        <v>0.13</v>
      </c>
    </row>
    <row r="123" spans="1:1">
      <c r="A123">
        <v>0.13100000000000001</v>
      </c>
    </row>
    <row r="124" spans="1:1">
      <c r="A124">
        <v>0.13200000000000001</v>
      </c>
    </row>
    <row r="125" spans="1:1">
      <c r="A125">
        <v>0.13300000000000001</v>
      </c>
    </row>
    <row r="126" spans="1:1">
      <c r="A126">
        <v>0.13400000000000001</v>
      </c>
    </row>
    <row r="127" spans="1:1">
      <c r="A127">
        <v>0.13500000000000001</v>
      </c>
    </row>
    <row r="128" spans="1:1">
      <c r="A128">
        <v>0.13600000000000001</v>
      </c>
    </row>
    <row r="129" spans="1:1">
      <c r="A129">
        <v>0.13700000000000001</v>
      </c>
    </row>
    <row r="130" spans="1:1">
      <c r="A130">
        <v>0.13800000000000001</v>
      </c>
    </row>
    <row r="131" spans="1:1">
      <c r="A131">
        <v>0.13900000000000001</v>
      </c>
    </row>
    <row r="132" spans="1:1">
      <c r="A132">
        <v>0.14000000000000001</v>
      </c>
    </row>
    <row r="133" spans="1:1">
      <c r="A133">
        <v>0.14100000000000001</v>
      </c>
    </row>
    <row r="134" spans="1:1">
      <c r="A134">
        <v>0.14200000000000002</v>
      </c>
    </row>
    <row r="135" spans="1:1">
      <c r="A135">
        <v>0.14300000000000002</v>
      </c>
    </row>
    <row r="136" spans="1:1">
      <c r="A136">
        <v>0.14400000000000002</v>
      </c>
    </row>
    <row r="137" spans="1:1">
      <c r="A137">
        <v>0.14500000000000002</v>
      </c>
    </row>
    <row r="138" spans="1:1">
      <c r="A138">
        <v>0.14600000000000002</v>
      </c>
    </row>
    <row r="139" spans="1:1">
      <c r="A139">
        <v>0.14700000000000002</v>
      </c>
    </row>
    <row r="140" spans="1:1">
      <c r="A140">
        <v>0.14800000000000002</v>
      </c>
    </row>
    <row r="141" spans="1:1">
      <c r="A141">
        <v>0.14900000000000002</v>
      </c>
    </row>
    <row r="142" spans="1:1">
      <c r="A142">
        <v>0.15000000000000002</v>
      </c>
    </row>
    <row r="143" spans="1:1">
      <c r="A143">
        <v>0.15100000000000002</v>
      </c>
    </row>
    <row r="144" spans="1:1">
      <c r="A144">
        <v>0.15200000000000002</v>
      </c>
    </row>
    <row r="145" spans="1:1">
      <c r="A145">
        <v>0.15300000000000002</v>
      </c>
    </row>
    <row r="146" spans="1:1">
      <c r="A146">
        <v>0.15400000000000003</v>
      </c>
    </row>
    <row r="147" spans="1:1">
      <c r="A147">
        <v>0.155</v>
      </c>
    </row>
    <row r="148" spans="1:1">
      <c r="A148">
        <v>0.156</v>
      </c>
    </row>
    <row r="149" spans="1:1">
      <c r="A149">
        <v>0.157</v>
      </c>
    </row>
    <row r="150" spans="1:1">
      <c r="A150">
        <v>0.158</v>
      </c>
    </row>
    <row r="151" spans="1:1">
      <c r="A151">
        <v>0.159</v>
      </c>
    </row>
    <row r="152" spans="1:1">
      <c r="A152">
        <v>0.16</v>
      </c>
    </row>
    <row r="153" spans="1:1">
      <c r="A153">
        <v>0.161</v>
      </c>
    </row>
    <row r="154" spans="1:1">
      <c r="A154">
        <v>0.16200000000000001</v>
      </c>
    </row>
    <row r="155" spans="1:1">
      <c r="A155">
        <v>0.16300000000000001</v>
      </c>
    </row>
    <row r="156" spans="1:1">
      <c r="A156">
        <v>0.16400000000000001</v>
      </c>
    </row>
    <row r="157" spans="1:1">
      <c r="A157">
        <v>0.16500000000000001</v>
      </c>
    </row>
    <row r="158" spans="1:1">
      <c r="A158">
        <v>0.16600000000000001</v>
      </c>
    </row>
    <row r="159" spans="1:1">
      <c r="A159">
        <v>0.16700000000000001</v>
      </c>
    </row>
    <row r="160" spans="1:1">
      <c r="A160">
        <v>0.16800000000000001</v>
      </c>
    </row>
    <row r="161" spans="1:1">
      <c r="A161">
        <v>0.16900000000000001</v>
      </c>
    </row>
    <row r="162" spans="1:1">
      <c r="A162">
        <v>0.17</v>
      </c>
    </row>
    <row r="163" spans="1:1">
      <c r="A163">
        <v>0.17100000000000001</v>
      </c>
    </row>
    <row r="164" spans="1:1">
      <c r="A164">
        <v>0.17200000000000001</v>
      </c>
    </row>
    <row r="165" spans="1:1">
      <c r="A165">
        <v>0.17300000000000001</v>
      </c>
    </row>
    <row r="166" spans="1:1">
      <c r="A166">
        <v>0.17400000000000002</v>
      </c>
    </row>
    <row r="167" spans="1:1">
      <c r="A167">
        <v>0.17500000000000002</v>
      </c>
    </row>
    <row r="168" spans="1:1">
      <c r="A168">
        <v>0.17600000000000002</v>
      </c>
    </row>
    <row r="169" spans="1:1">
      <c r="A169">
        <v>0.17700000000000002</v>
      </c>
    </row>
    <row r="170" spans="1:1">
      <c r="A170">
        <v>0.17800000000000002</v>
      </c>
    </row>
    <row r="171" spans="1:1">
      <c r="A171">
        <v>0.17900000000000002</v>
      </c>
    </row>
    <row r="172" spans="1:1">
      <c r="A172">
        <v>0.18000000000000002</v>
      </c>
    </row>
    <row r="173" spans="1:1">
      <c r="A173">
        <v>0.18100000000000002</v>
      </c>
    </row>
    <row r="174" spans="1:1">
      <c r="A174">
        <v>0.18200000000000002</v>
      </c>
    </row>
    <row r="175" spans="1:1">
      <c r="A175">
        <v>0.18300000000000002</v>
      </c>
    </row>
    <row r="176" spans="1:1">
      <c r="A176">
        <v>0.18400000000000002</v>
      </c>
    </row>
    <row r="177" spans="1:1">
      <c r="A177">
        <v>0.18500000000000003</v>
      </c>
    </row>
    <row r="178" spans="1:1">
      <c r="A178">
        <v>0.186</v>
      </c>
    </row>
    <row r="179" spans="1:1">
      <c r="A179">
        <v>0.187</v>
      </c>
    </row>
    <row r="180" spans="1:1">
      <c r="A180">
        <v>0.188</v>
      </c>
    </row>
    <row r="181" spans="1:1">
      <c r="A181">
        <v>0.189</v>
      </c>
    </row>
    <row r="182" spans="1:1">
      <c r="A182">
        <v>0.19</v>
      </c>
    </row>
    <row r="183" spans="1:1">
      <c r="A183">
        <v>0.191</v>
      </c>
    </row>
    <row r="184" spans="1:1">
      <c r="A184">
        <v>0.192</v>
      </c>
    </row>
    <row r="185" spans="1:1">
      <c r="A185">
        <v>0.193</v>
      </c>
    </row>
    <row r="186" spans="1:1">
      <c r="A186">
        <v>0.19400000000000001</v>
      </c>
    </row>
    <row r="187" spans="1:1">
      <c r="A187">
        <v>0.19500000000000001</v>
      </c>
    </row>
    <row r="188" spans="1:1">
      <c r="A188">
        <v>0.19600000000000001</v>
      </c>
    </row>
    <row r="189" spans="1:1">
      <c r="A189">
        <v>0.19700000000000001</v>
      </c>
    </row>
    <row r="190" spans="1:1">
      <c r="A190">
        <v>0.19800000000000001</v>
      </c>
    </row>
    <row r="191" spans="1:1">
      <c r="A191">
        <v>0.19900000000000001</v>
      </c>
    </row>
    <row r="192" spans="1:1">
      <c r="A192">
        <v>0.2</v>
      </c>
    </row>
    <row r="193" spans="1:1">
      <c r="A193">
        <v>0.20100000000000001</v>
      </c>
    </row>
    <row r="194" spans="1:1">
      <c r="A194">
        <v>0.20200000000000001</v>
      </c>
    </row>
    <row r="195" spans="1:1">
      <c r="A195">
        <v>0.20300000000000001</v>
      </c>
    </row>
    <row r="196" spans="1:1">
      <c r="A196">
        <v>0.20400000000000001</v>
      </c>
    </row>
    <row r="197" spans="1:1">
      <c r="A197">
        <v>0.20500000000000002</v>
      </c>
    </row>
    <row r="198" spans="1:1">
      <c r="A198">
        <v>0.20600000000000002</v>
      </c>
    </row>
    <row r="199" spans="1:1">
      <c r="A199">
        <v>0.20700000000000002</v>
      </c>
    </row>
    <row r="200" spans="1:1">
      <c r="A200">
        <v>0.20800000000000002</v>
      </c>
    </row>
    <row r="201" spans="1:1">
      <c r="A201">
        <v>0.20900000000000002</v>
      </c>
    </row>
    <row r="202" spans="1:1">
      <c r="A202">
        <v>0.21000000000000002</v>
      </c>
    </row>
    <row r="203" spans="1:1">
      <c r="A203">
        <v>0.21100000000000002</v>
      </c>
    </row>
    <row r="204" spans="1:1">
      <c r="A204">
        <v>0.21200000000000002</v>
      </c>
    </row>
    <row r="205" spans="1:1">
      <c r="A205">
        <v>0.21300000000000002</v>
      </c>
    </row>
    <row r="206" spans="1:1">
      <c r="A206">
        <v>0.21400000000000002</v>
      </c>
    </row>
    <row r="207" spans="1:1">
      <c r="A207">
        <v>0.21500000000000002</v>
      </c>
    </row>
    <row r="208" spans="1:1">
      <c r="A208">
        <v>0.21600000000000003</v>
      </c>
    </row>
    <row r="209" spans="1:1">
      <c r="A209">
        <v>0.21700000000000003</v>
      </c>
    </row>
    <row r="210" spans="1:1">
      <c r="A210">
        <v>0.21800000000000003</v>
      </c>
    </row>
    <row r="211" spans="1:1">
      <c r="A211">
        <v>0.219</v>
      </c>
    </row>
    <row r="212" spans="1:1">
      <c r="A212">
        <v>0.22</v>
      </c>
    </row>
    <row r="213" spans="1:1">
      <c r="A213">
        <v>0.221</v>
      </c>
    </row>
    <row r="214" spans="1:1">
      <c r="A214">
        <v>0.222</v>
      </c>
    </row>
    <row r="215" spans="1:1">
      <c r="A215">
        <v>0.223</v>
      </c>
    </row>
    <row r="216" spans="1:1">
      <c r="A216">
        <v>0.224</v>
      </c>
    </row>
    <row r="217" spans="1:1">
      <c r="A217">
        <v>0.22500000000000001</v>
      </c>
    </row>
    <row r="218" spans="1:1">
      <c r="A218">
        <v>0.22600000000000001</v>
      </c>
    </row>
    <row r="219" spans="1:1">
      <c r="A219">
        <v>0.22700000000000001</v>
      </c>
    </row>
    <row r="220" spans="1:1">
      <c r="A220">
        <v>0.22800000000000001</v>
      </c>
    </row>
    <row r="221" spans="1:1">
      <c r="A221">
        <v>0.22900000000000001</v>
      </c>
    </row>
    <row r="222" spans="1:1">
      <c r="A222">
        <v>0.23</v>
      </c>
    </row>
    <row r="223" spans="1:1">
      <c r="A223">
        <v>0.23100000000000001</v>
      </c>
    </row>
    <row r="224" spans="1:1">
      <c r="A224">
        <v>0.23200000000000001</v>
      </c>
    </row>
    <row r="225" spans="1:1">
      <c r="A225">
        <v>0.23300000000000001</v>
      </c>
    </row>
    <row r="226" spans="1:1">
      <c r="A226">
        <v>0.23400000000000001</v>
      </c>
    </row>
    <row r="227" spans="1:1">
      <c r="A227">
        <v>0.23500000000000001</v>
      </c>
    </row>
    <row r="228" spans="1:1">
      <c r="A228">
        <v>0.23600000000000002</v>
      </c>
    </row>
    <row r="229" spans="1:1">
      <c r="A229">
        <v>0.23700000000000002</v>
      </c>
    </row>
    <row r="230" spans="1:1">
      <c r="A230">
        <v>0.23800000000000002</v>
      </c>
    </row>
    <row r="231" spans="1:1">
      <c r="A231">
        <v>0.23900000000000002</v>
      </c>
    </row>
    <row r="232" spans="1:1">
      <c r="A232">
        <v>0.24000000000000002</v>
      </c>
    </row>
    <row r="233" spans="1:1">
      <c r="A233">
        <v>0.24100000000000002</v>
      </c>
    </row>
    <row r="234" spans="1:1">
      <c r="A234">
        <v>0.24200000000000002</v>
      </c>
    </row>
    <row r="235" spans="1:1">
      <c r="A235">
        <v>0.24300000000000002</v>
      </c>
    </row>
    <row r="236" spans="1:1">
      <c r="A236">
        <v>0.24400000000000002</v>
      </c>
    </row>
    <row r="237" spans="1:1">
      <c r="A237">
        <v>0.24500000000000002</v>
      </c>
    </row>
    <row r="238" spans="1:1">
      <c r="A238">
        <v>0.24600000000000002</v>
      </c>
    </row>
    <row r="239" spans="1:1">
      <c r="A239">
        <v>0.24700000000000003</v>
      </c>
    </row>
    <row r="240" spans="1:1">
      <c r="A240">
        <v>0.24800000000000003</v>
      </c>
    </row>
    <row r="241" spans="1:1">
      <c r="A241">
        <v>0.24900000000000003</v>
      </c>
    </row>
    <row r="242" spans="1:1">
      <c r="A242">
        <v>0.25</v>
      </c>
    </row>
    <row r="243" spans="1:1">
      <c r="A243">
        <v>0.251</v>
      </c>
    </row>
    <row r="244" spans="1:1">
      <c r="A244">
        <v>0.252</v>
      </c>
    </row>
    <row r="245" spans="1:1">
      <c r="A245">
        <v>0.253</v>
      </c>
    </row>
    <row r="246" spans="1:1">
      <c r="A246">
        <v>0.254</v>
      </c>
    </row>
    <row r="247" spans="1:1">
      <c r="A247">
        <v>0.255</v>
      </c>
    </row>
    <row r="248" spans="1:1">
      <c r="A248">
        <v>0.25600000000000001</v>
      </c>
    </row>
    <row r="249" spans="1:1">
      <c r="A249">
        <v>0.25700000000000001</v>
      </c>
    </row>
    <row r="250" spans="1:1">
      <c r="A250">
        <v>0.25800000000000001</v>
      </c>
    </row>
    <row r="251" spans="1:1">
      <c r="A251">
        <v>0.25900000000000001</v>
      </c>
    </row>
    <row r="252" spans="1:1">
      <c r="A252">
        <v>0.26</v>
      </c>
    </row>
    <row r="253" spans="1:1">
      <c r="A253">
        <v>0.26100000000000001</v>
      </c>
    </row>
    <row r="254" spans="1:1">
      <c r="A254">
        <v>0.26200000000000001</v>
      </c>
    </row>
    <row r="255" spans="1:1">
      <c r="A255">
        <v>0.26300000000000001</v>
      </c>
    </row>
    <row r="256" spans="1:1">
      <c r="A256">
        <v>0.26400000000000001</v>
      </c>
    </row>
    <row r="257" spans="1:1">
      <c r="A257">
        <v>0.26500000000000001</v>
      </c>
    </row>
    <row r="258" spans="1:1">
      <c r="A258">
        <v>0.26600000000000001</v>
      </c>
    </row>
    <row r="259" spans="1:1">
      <c r="A259">
        <v>0.26700000000000002</v>
      </c>
    </row>
    <row r="260" spans="1:1">
      <c r="A260">
        <v>0.26800000000000002</v>
      </c>
    </row>
    <row r="261" spans="1:1">
      <c r="A261">
        <v>0.26900000000000002</v>
      </c>
    </row>
    <row r="262" spans="1:1">
      <c r="A262">
        <v>0.27</v>
      </c>
    </row>
    <row r="263" spans="1:1">
      <c r="A263">
        <v>0.27100000000000002</v>
      </c>
    </row>
    <row r="264" spans="1:1">
      <c r="A264">
        <v>0.27200000000000002</v>
      </c>
    </row>
    <row r="265" spans="1:1">
      <c r="A265">
        <v>0.27300000000000002</v>
      </c>
    </row>
    <row r="266" spans="1:1">
      <c r="A266">
        <v>0.27400000000000002</v>
      </c>
    </row>
    <row r="267" spans="1:1">
      <c r="A267">
        <v>0.27500000000000002</v>
      </c>
    </row>
    <row r="268" spans="1:1">
      <c r="A268">
        <v>0.27600000000000002</v>
      </c>
    </row>
    <row r="269" spans="1:1">
      <c r="A269">
        <v>0.27700000000000002</v>
      </c>
    </row>
    <row r="270" spans="1:1">
      <c r="A270">
        <v>0.27800000000000002</v>
      </c>
    </row>
    <row r="271" spans="1:1">
      <c r="A271">
        <v>0.27900000000000003</v>
      </c>
    </row>
    <row r="272" spans="1:1">
      <c r="A272">
        <v>0.28000000000000003</v>
      </c>
    </row>
    <row r="273" spans="1:1">
      <c r="A273">
        <v>0.28100000000000003</v>
      </c>
    </row>
    <row r="274" spans="1:1">
      <c r="A274">
        <v>0.28200000000000003</v>
      </c>
    </row>
    <row r="275" spans="1:1">
      <c r="A275">
        <v>0.28300000000000003</v>
      </c>
    </row>
    <row r="276" spans="1:1">
      <c r="A276">
        <v>0.28400000000000003</v>
      </c>
    </row>
    <row r="277" spans="1:1">
      <c r="A277">
        <v>0.28500000000000003</v>
      </c>
    </row>
    <row r="278" spans="1:1">
      <c r="A278">
        <v>0.28600000000000003</v>
      </c>
    </row>
    <row r="279" spans="1:1">
      <c r="A279">
        <v>0.28700000000000003</v>
      </c>
    </row>
    <row r="280" spans="1:1">
      <c r="A280">
        <v>0.28800000000000003</v>
      </c>
    </row>
    <row r="281" spans="1:1">
      <c r="A281">
        <v>0.28900000000000003</v>
      </c>
    </row>
    <row r="282" spans="1:1">
      <c r="A282">
        <v>0.29000000000000004</v>
      </c>
    </row>
    <row r="283" spans="1:1">
      <c r="A283">
        <v>0.29100000000000004</v>
      </c>
    </row>
    <row r="284" spans="1:1">
      <c r="A284">
        <v>0.29200000000000004</v>
      </c>
    </row>
    <row r="285" spans="1:1">
      <c r="A285">
        <v>0.29300000000000004</v>
      </c>
    </row>
    <row r="286" spans="1:1">
      <c r="A286">
        <v>0.29400000000000004</v>
      </c>
    </row>
    <row r="287" spans="1:1">
      <c r="A287">
        <v>0.29500000000000004</v>
      </c>
    </row>
    <row r="288" spans="1:1">
      <c r="A288">
        <v>0.29600000000000004</v>
      </c>
    </row>
    <row r="289" spans="1:1">
      <c r="A289">
        <v>0.29700000000000004</v>
      </c>
    </row>
    <row r="290" spans="1:1">
      <c r="A290">
        <v>0.29800000000000004</v>
      </c>
    </row>
    <row r="291" spans="1:1">
      <c r="A291">
        <v>0.29899999999999999</v>
      </c>
    </row>
    <row r="292" spans="1:1">
      <c r="A292">
        <v>0.3</v>
      </c>
    </row>
    <row r="293" spans="1:1">
      <c r="A293">
        <v>0.30099999999999999</v>
      </c>
    </row>
    <row r="294" spans="1:1">
      <c r="A294">
        <v>0.30199999999999999</v>
      </c>
    </row>
    <row r="295" spans="1:1">
      <c r="A295">
        <v>0.30299999999999999</v>
      </c>
    </row>
    <row r="296" spans="1:1">
      <c r="A296">
        <v>0.30399999999999999</v>
      </c>
    </row>
    <row r="297" spans="1:1">
      <c r="A297">
        <v>0.30499999999999999</v>
      </c>
    </row>
    <row r="298" spans="1:1">
      <c r="A298">
        <v>0.30599999999999999</v>
      </c>
    </row>
    <row r="299" spans="1:1">
      <c r="A299">
        <v>0.307</v>
      </c>
    </row>
    <row r="300" spans="1:1">
      <c r="A300">
        <v>0.308</v>
      </c>
    </row>
    <row r="301" spans="1:1">
      <c r="A301">
        <v>0.309</v>
      </c>
    </row>
    <row r="302" spans="1:1">
      <c r="A302">
        <v>0.31</v>
      </c>
    </row>
    <row r="303" spans="1:1">
      <c r="A303">
        <v>0.311</v>
      </c>
    </row>
    <row r="304" spans="1:1">
      <c r="A304">
        <v>0.312</v>
      </c>
    </row>
    <row r="305" spans="1:1">
      <c r="A305">
        <v>0.313</v>
      </c>
    </row>
    <row r="306" spans="1:1">
      <c r="A306">
        <v>0.314</v>
      </c>
    </row>
    <row r="307" spans="1:1">
      <c r="A307">
        <v>0.315</v>
      </c>
    </row>
    <row r="308" spans="1:1">
      <c r="A308">
        <v>0.316</v>
      </c>
    </row>
    <row r="309" spans="1:1">
      <c r="A309">
        <v>0.317</v>
      </c>
    </row>
    <row r="310" spans="1:1">
      <c r="A310">
        <v>0.318</v>
      </c>
    </row>
    <row r="311" spans="1:1">
      <c r="A311">
        <v>0.31900000000000001</v>
      </c>
    </row>
    <row r="312" spans="1:1">
      <c r="A312">
        <v>0.32</v>
      </c>
    </row>
    <row r="313" spans="1:1">
      <c r="A313">
        <v>0.32100000000000001</v>
      </c>
    </row>
    <row r="314" spans="1:1">
      <c r="A314">
        <v>0.32200000000000001</v>
      </c>
    </row>
    <row r="315" spans="1:1">
      <c r="A315">
        <v>0.32300000000000001</v>
      </c>
    </row>
    <row r="316" spans="1:1">
      <c r="A316">
        <v>0.32400000000000001</v>
      </c>
    </row>
    <row r="317" spans="1:1">
      <c r="A317">
        <v>0.32500000000000001</v>
      </c>
    </row>
    <row r="318" spans="1:1">
      <c r="A318">
        <v>0.32600000000000001</v>
      </c>
    </row>
    <row r="319" spans="1:1">
      <c r="A319">
        <v>0.32700000000000001</v>
      </c>
    </row>
    <row r="320" spans="1:1">
      <c r="A320">
        <v>0.32800000000000001</v>
      </c>
    </row>
    <row r="321" spans="1:1">
      <c r="A321">
        <v>0.32900000000000001</v>
      </c>
    </row>
    <row r="322" spans="1:1">
      <c r="A322">
        <v>0.33</v>
      </c>
    </row>
    <row r="323" spans="1:1">
      <c r="A323">
        <v>0.33100000000000002</v>
      </c>
    </row>
    <row r="324" spans="1:1">
      <c r="A324">
        <v>0.33200000000000002</v>
      </c>
    </row>
    <row r="325" spans="1:1">
      <c r="A325">
        <v>0.33300000000000002</v>
      </c>
    </row>
    <row r="326" spans="1:1">
      <c r="A326">
        <v>0.33400000000000002</v>
      </c>
    </row>
    <row r="327" spans="1:1">
      <c r="A327">
        <v>0.33500000000000002</v>
      </c>
    </row>
    <row r="328" spans="1:1">
      <c r="A328">
        <v>0.33600000000000002</v>
      </c>
    </row>
    <row r="329" spans="1:1">
      <c r="A329">
        <v>0.33700000000000002</v>
      </c>
    </row>
    <row r="330" spans="1:1">
      <c r="A330">
        <v>0.33800000000000002</v>
      </c>
    </row>
    <row r="331" spans="1:1">
      <c r="A331">
        <v>0.33900000000000002</v>
      </c>
    </row>
    <row r="332" spans="1:1">
      <c r="A332">
        <v>0.34</v>
      </c>
    </row>
    <row r="333" spans="1:1">
      <c r="A333">
        <v>0.34100000000000003</v>
      </c>
    </row>
    <row r="334" spans="1:1">
      <c r="A334">
        <v>0.34200000000000003</v>
      </c>
    </row>
    <row r="335" spans="1:1">
      <c r="A335">
        <v>0.34300000000000003</v>
      </c>
    </row>
    <row r="336" spans="1:1">
      <c r="A336">
        <v>0.34400000000000003</v>
      </c>
    </row>
    <row r="337" spans="1:1">
      <c r="A337">
        <v>0.34500000000000003</v>
      </c>
    </row>
    <row r="338" spans="1:1">
      <c r="A338">
        <v>0.34600000000000003</v>
      </c>
    </row>
    <row r="339" spans="1:1">
      <c r="A339">
        <v>0.34700000000000003</v>
      </c>
    </row>
    <row r="340" spans="1:1">
      <c r="A340">
        <v>0.34800000000000003</v>
      </c>
    </row>
    <row r="341" spans="1:1">
      <c r="A341">
        <v>0.34900000000000003</v>
      </c>
    </row>
    <row r="342" spans="1:1">
      <c r="A342">
        <v>0.35000000000000003</v>
      </c>
    </row>
    <row r="343" spans="1:1">
      <c r="A343">
        <v>0.35100000000000003</v>
      </c>
    </row>
    <row r="344" spans="1:1">
      <c r="A344">
        <v>0.35200000000000004</v>
      </c>
    </row>
    <row r="345" spans="1:1">
      <c r="A345">
        <v>0.35300000000000004</v>
      </c>
    </row>
    <row r="346" spans="1:1">
      <c r="A346">
        <v>0.35400000000000004</v>
      </c>
    </row>
    <row r="347" spans="1:1">
      <c r="A347">
        <v>0.35500000000000004</v>
      </c>
    </row>
    <row r="348" spans="1:1">
      <c r="A348">
        <v>0.35600000000000004</v>
      </c>
    </row>
    <row r="349" spans="1:1">
      <c r="A349">
        <v>0.35700000000000004</v>
      </c>
    </row>
    <row r="350" spans="1:1">
      <c r="A350">
        <v>0.35800000000000004</v>
      </c>
    </row>
    <row r="351" spans="1:1">
      <c r="A351">
        <v>0.35900000000000004</v>
      </c>
    </row>
    <row r="352" spans="1:1">
      <c r="A352">
        <v>0.36000000000000004</v>
      </c>
    </row>
    <row r="353" spans="1:1">
      <c r="A353">
        <v>0.36100000000000004</v>
      </c>
    </row>
    <row r="354" spans="1:1">
      <c r="A354">
        <v>0.36199999999999999</v>
      </c>
    </row>
    <row r="355" spans="1:1">
      <c r="A355">
        <v>0.36299999999999999</v>
      </c>
    </row>
    <row r="356" spans="1:1">
      <c r="A356">
        <v>0.36399999999999999</v>
      </c>
    </row>
    <row r="357" spans="1:1">
      <c r="A357">
        <v>0.36499999999999999</v>
      </c>
    </row>
    <row r="358" spans="1:1">
      <c r="A358">
        <v>0.36599999999999999</v>
      </c>
    </row>
    <row r="359" spans="1:1">
      <c r="A359">
        <v>0.36699999999999999</v>
      </c>
    </row>
    <row r="360" spans="1:1">
      <c r="A360">
        <v>0.36799999999999999</v>
      </c>
    </row>
    <row r="361" spans="1:1">
      <c r="A361">
        <v>0.36899999999999999</v>
      </c>
    </row>
    <row r="362" spans="1:1">
      <c r="A362">
        <v>0.37</v>
      </c>
    </row>
    <row r="363" spans="1:1">
      <c r="A363">
        <v>0.371</v>
      </c>
    </row>
    <row r="364" spans="1:1">
      <c r="A364">
        <v>0.372</v>
      </c>
    </row>
    <row r="365" spans="1:1">
      <c r="A365">
        <v>0.373</v>
      </c>
    </row>
    <row r="366" spans="1:1">
      <c r="A366">
        <v>0.374</v>
      </c>
    </row>
    <row r="367" spans="1:1">
      <c r="A367">
        <v>0.375</v>
      </c>
    </row>
    <row r="368" spans="1:1">
      <c r="A368">
        <v>0.376</v>
      </c>
    </row>
    <row r="369" spans="1:1">
      <c r="A369">
        <v>0.377</v>
      </c>
    </row>
    <row r="370" spans="1:1">
      <c r="A370">
        <v>0.378</v>
      </c>
    </row>
    <row r="371" spans="1:1">
      <c r="A371">
        <v>0.379</v>
      </c>
    </row>
    <row r="372" spans="1:1">
      <c r="A372">
        <v>0.38</v>
      </c>
    </row>
    <row r="373" spans="1:1">
      <c r="A373">
        <v>0.38100000000000001</v>
      </c>
    </row>
    <row r="374" spans="1:1">
      <c r="A374">
        <v>0.38200000000000001</v>
      </c>
    </row>
    <row r="375" spans="1:1">
      <c r="A375">
        <v>0.38300000000000001</v>
      </c>
    </row>
    <row r="376" spans="1:1">
      <c r="A376">
        <v>0.38400000000000001</v>
      </c>
    </row>
    <row r="377" spans="1:1">
      <c r="A377">
        <v>0.38500000000000001</v>
      </c>
    </row>
    <row r="378" spans="1:1">
      <c r="A378">
        <v>0.38600000000000001</v>
      </c>
    </row>
    <row r="379" spans="1:1">
      <c r="A379">
        <v>0.38700000000000001</v>
      </c>
    </row>
    <row r="380" spans="1:1">
      <c r="A380">
        <v>0.38800000000000001</v>
      </c>
    </row>
    <row r="381" spans="1:1">
      <c r="A381">
        <v>0.38900000000000001</v>
      </c>
    </row>
    <row r="382" spans="1:1">
      <c r="A382">
        <v>0.39</v>
      </c>
    </row>
    <row r="383" spans="1:1">
      <c r="A383">
        <v>0.39100000000000001</v>
      </c>
    </row>
    <row r="384" spans="1:1">
      <c r="A384">
        <v>0.39200000000000002</v>
      </c>
    </row>
    <row r="385" spans="1:1">
      <c r="A385">
        <v>0.39300000000000002</v>
      </c>
    </row>
    <row r="386" spans="1:1">
      <c r="A386">
        <v>0.39400000000000002</v>
      </c>
    </row>
    <row r="387" spans="1:1">
      <c r="A387">
        <v>0.39500000000000002</v>
      </c>
    </row>
    <row r="388" spans="1:1">
      <c r="A388">
        <v>0.39600000000000002</v>
      </c>
    </row>
    <row r="389" spans="1:1">
      <c r="A389">
        <v>0.39700000000000002</v>
      </c>
    </row>
    <row r="390" spans="1:1">
      <c r="A390">
        <v>0.39800000000000002</v>
      </c>
    </row>
    <row r="391" spans="1:1">
      <c r="A391">
        <v>0.39900000000000002</v>
      </c>
    </row>
    <row r="392" spans="1:1">
      <c r="A392">
        <v>0.4</v>
      </c>
    </row>
    <row r="393" spans="1:1">
      <c r="A393">
        <v>0.40100000000000002</v>
      </c>
    </row>
    <row r="394" spans="1:1">
      <c r="A394">
        <v>0.40200000000000002</v>
      </c>
    </row>
    <row r="395" spans="1:1">
      <c r="A395">
        <v>0.40300000000000002</v>
      </c>
    </row>
    <row r="396" spans="1:1">
      <c r="A396">
        <v>0.40400000000000003</v>
      </c>
    </row>
    <row r="397" spans="1:1">
      <c r="A397">
        <v>0.40500000000000003</v>
      </c>
    </row>
    <row r="398" spans="1:1">
      <c r="A398">
        <v>0.40600000000000003</v>
      </c>
    </row>
    <row r="399" spans="1:1">
      <c r="A399">
        <v>0.40700000000000003</v>
      </c>
    </row>
    <row r="400" spans="1:1">
      <c r="A400">
        <v>0.40800000000000003</v>
      </c>
    </row>
    <row r="401" spans="1:1">
      <c r="A401">
        <v>0.40900000000000003</v>
      </c>
    </row>
    <row r="402" spans="1:1">
      <c r="A402">
        <v>0.41000000000000003</v>
      </c>
    </row>
    <row r="403" spans="1:1">
      <c r="A403">
        <v>0.41100000000000003</v>
      </c>
    </row>
    <row r="404" spans="1:1">
      <c r="A404">
        <v>0.41200000000000003</v>
      </c>
    </row>
    <row r="405" spans="1:1">
      <c r="A405">
        <v>0.41300000000000003</v>
      </c>
    </row>
    <row r="406" spans="1:1">
      <c r="A406">
        <v>0.41400000000000003</v>
      </c>
    </row>
    <row r="407" spans="1:1">
      <c r="A407">
        <v>0.41500000000000004</v>
      </c>
    </row>
    <row r="408" spans="1:1">
      <c r="A408">
        <v>0.41600000000000004</v>
      </c>
    </row>
    <row r="409" spans="1:1">
      <c r="A409">
        <v>0.41700000000000004</v>
      </c>
    </row>
    <row r="410" spans="1:1">
      <c r="A410">
        <v>0.41800000000000004</v>
      </c>
    </row>
    <row r="411" spans="1:1">
      <c r="A411">
        <v>0.41900000000000004</v>
      </c>
    </row>
    <row r="412" spans="1:1">
      <c r="A412">
        <v>0.42000000000000004</v>
      </c>
    </row>
    <row r="413" spans="1:1">
      <c r="A413">
        <v>0.42100000000000004</v>
      </c>
    </row>
    <row r="414" spans="1:1">
      <c r="A414">
        <v>0.42200000000000004</v>
      </c>
    </row>
    <row r="415" spans="1:1">
      <c r="A415">
        <v>0.42300000000000004</v>
      </c>
    </row>
    <row r="416" spans="1:1">
      <c r="A416">
        <v>0.42400000000000004</v>
      </c>
    </row>
    <row r="417" spans="1:1">
      <c r="A417">
        <v>0.42500000000000004</v>
      </c>
    </row>
    <row r="418" spans="1:1">
      <c r="A418">
        <v>0.42600000000000005</v>
      </c>
    </row>
    <row r="419" spans="1:1">
      <c r="A419">
        <v>0.42699999999999999</v>
      </c>
    </row>
    <row r="420" spans="1:1">
      <c r="A420">
        <v>0.42799999999999999</v>
      </c>
    </row>
    <row r="421" spans="1:1">
      <c r="A421">
        <v>0.42899999999999999</v>
      </c>
    </row>
    <row r="422" spans="1:1">
      <c r="A422">
        <v>0.43</v>
      </c>
    </row>
    <row r="423" spans="1:1">
      <c r="A423">
        <v>0.43099999999999999</v>
      </c>
    </row>
    <row r="424" spans="1:1">
      <c r="A424">
        <v>0.432</v>
      </c>
    </row>
    <row r="425" spans="1:1">
      <c r="A425">
        <v>0.433</v>
      </c>
    </row>
    <row r="426" spans="1:1">
      <c r="A426">
        <v>0.434</v>
      </c>
    </row>
    <row r="427" spans="1:1">
      <c r="A427">
        <v>0.435</v>
      </c>
    </row>
    <row r="428" spans="1:1">
      <c r="A428">
        <v>0.436</v>
      </c>
    </row>
    <row r="429" spans="1:1">
      <c r="A429">
        <v>0.437</v>
      </c>
    </row>
    <row r="430" spans="1:1">
      <c r="A430">
        <v>0.438</v>
      </c>
    </row>
    <row r="431" spans="1:1">
      <c r="A431">
        <v>0.439</v>
      </c>
    </row>
    <row r="432" spans="1:1">
      <c r="A432">
        <v>0.44</v>
      </c>
    </row>
    <row r="433" spans="1:1">
      <c r="A433">
        <v>0.441</v>
      </c>
    </row>
    <row r="434" spans="1:1">
      <c r="A434">
        <v>0.442</v>
      </c>
    </row>
    <row r="435" spans="1:1">
      <c r="A435">
        <v>0.443</v>
      </c>
    </row>
    <row r="436" spans="1:1">
      <c r="A436">
        <v>0.44400000000000001</v>
      </c>
    </row>
    <row r="437" spans="1:1">
      <c r="A437">
        <v>0.44500000000000001</v>
      </c>
    </row>
    <row r="438" spans="1:1">
      <c r="A438">
        <v>0.44600000000000001</v>
      </c>
    </row>
    <row r="439" spans="1:1">
      <c r="A439">
        <v>0.44700000000000001</v>
      </c>
    </row>
    <row r="440" spans="1:1">
      <c r="A440">
        <v>0.44800000000000001</v>
      </c>
    </row>
    <row r="441" spans="1:1">
      <c r="A441">
        <v>0.44900000000000001</v>
      </c>
    </row>
    <row r="442" spans="1:1">
      <c r="A442">
        <v>0.45</v>
      </c>
    </row>
    <row r="443" spans="1:1">
      <c r="A443">
        <v>0.45100000000000001</v>
      </c>
    </row>
    <row r="444" spans="1:1">
      <c r="A444">
        <v>0.45200000000000001</v>
      </c>
    </row>
    <row r="445" spans="1:1">
      <c r="A445">
        <v>0.45300000000000001</v>
      </c>
    </row>
    <row r="446" spans="1:1">
      <c r="A446">
        <v>0.45400000000000001</v>
      </c>
    </row>
    <row r="447" spans="1:1">
      <c r="A447">
        <v>0.45500000000000002</v>
      </c>
    </row>
    <row r="448" spans="1:1">
      <c r="A448">
        <v>0.45600000000000002</v>
      </c>
    </row>
    <row r="449" spans="1:1">
      <c r="A449">
        <v>0.45700000000000002</v>
      </c>
    </row>
    <row r="450" spans="1:1">
      <c r="A450">
        <v>0.45800000000000002</v>
      </c>
    </row>
    <row r="451" spans="1:1">
      <c r="A451">
        <v>0.45900000000000002</v>
      </c>
    </row>
    <row r="452" spans="1:1">
      <c r="A452">
        <v>0.46</v>
      </c>
    </row>
    <row r="453" spans="1:1">
      <c r="A453">
        <v>0.46100000000000002</v>
      </c>
    </row>
    <row r="454" spans="1:1">
      <c r="A454">
        <v>0.46200000000000002</v>
      </c>
    </row>
    <row r="455" spans="1:1">
      <c r="A455">
        <v>0.46300000000000002</v>
      </c>
    </row>
    <row r="456" spans="1:1">
      <c r="A456">
        <v>0.46400000000000002</v>
      </c>
    </row>
    <row r="457" spans="1:1">
      <c r="A457">
        <v>0.46500000000000002</v>
      </c>
    </row>
    <row r="458" spans="1:1">
      <c r="A458">
        <v>0.46600000000000003</v>
      </c>
    </row>
    <row r="459" spans="1:1">
      <c r="A459">
        <v>0.46700000000000003</v>
      </c>
    </row>
    <row r="460" spans="1:1">
      <c r="A460">
        <v>0.46800000000000003</v>
      </c>
    </row>
    <row r="461" spans="1:1">
      <c r="A461">
        <v>0.46900000000000003</v>
      </c>
    </row>
    <row r="462" spans="1:1">
      <c r="A462">
        <v>0.47000000000000003</v>
      </c>
    </row>
    <row r="463" spans="1:1">
      <c r="A463">
        <v>0.47100000000000003</v>
      </c>
    </row>
    <row r="464" spans="1:1">
      <c r="A464">
        <v>0.47200000000000003</v>
      </c>
    </row>
    <row r="465" spans="1:1">
      <c r="A465">
        <v>0.47300000000000003</v>
      </c>
    </row>
    <row r="466" spans="1:1">
      <c r="A466">
        <v>0.47400000000000003</v>
      </c>
    </row>
    <row r="467" spans="1:1">
      <c r="A467">
        <v>0.47500000000000003</v>
      </c>
    </row>
    <row r="468" spans="1:1">
      <c r="A468">
        <v>0.47600000000000003</v>
      </c>
    </row>
    <row r="469" spans="1:1">
      <c r="A469">
        <v>0.47700000000000004</v>
      </c>
    </row>
    <row r="470" spans="1:1">
      <c r="A470">
        <v>0.47800000000000004</v>
      </c>
    </row>
    <row r="471" spans="1:1">
      <c r="A471">
        <v>0.47900000000000004</v>
      </c>
    </row>
    <row r="472" spans="1:1">
      <c r="A472">
        <v>0.48000000000000004</v>
      </c>
    </row>
    <row r="473" spans="1:1">
      <c r="A473">
        <v>0.48100000000000004</v>
      </c>
    </row>
    <row r="474" spans="1:1">
      <c r="A474">
        <v>0.48200000000000004</v>
      </c>
    </row>
    <row r="475" spans="1:1">
      <c r="A475">
        <v>0.48300000000000004</v>
      </c>
    </row>
    <row r="476" spans="1:1">
      <c r="A476">
        <v>0.48400000000000004</v>
      </c>
    </row>
    <row r="477" spans="1:1">
      <c r="A477">
        <v>0.48500000000000004</v>
      </c>
    </row>
    <row r="478" spans="1:1">
      <c r="A478">
        <v>0.48600000000000004</v>
      </c>
    </row>
    <row r="479" spans="1:1">
      <c r="A479">
        <v>0.48700000000000004</v>
      </c>
    </row>
    <row r="480" spans="1:1">
      <c r="A480">
        <v>0.48800000000000004</v>
      </c>
    </row>
    <row r="481" spans="1:1">
      <c r="A481">
        <v>0.48900000000000005</v>
      </c>
    </row>
    <row r="482" spans="1:1">
      <c r="A482">
        <v>0.49</v>
      </c>
    </row>
    <row r="483" spans="1:1">
      <c r="A483">
        <v>0.49099999999999999</v>
      </c>
    </row>
    <row r="484" spans="1:1">
      <c r="A484">
        <v>0.49199999999999999</v>
      </c>
    </row>
    <row r="485" spans="1:1">
      <c r="A485">
        <v>0.49299999999999999</v>
      </c>
    </row>
    <row r="486" spans="1:1">
      <c r="A486">
        <v>0.49399999999999999</v>
      </c>
    </row>
    <row r="487" spans="1:1">
      <c r="A487">
        <v>0.495</v>
      </c>
    </row>
    <row r="488" spans="1:1">
      <c r="A488">
        <v>0.496</v>
      </c>
    </row>
    <row r="489" spans="1:1">
      <c r="A489">
        <v>0.497</v>
      </c>
    </row>
    <row r="490" spans="1:1">
      <c r="A490">
        <v>0.498</v>
      </c>
    </row>
    <row r="491" spans="1:1">
      <c r="A491">
        <v>0.499</v>
      </c>
    </row>
    <row r="492" spans="1:1">
      <c r="A492">
        <v>0.5</v>
      </c>
    </row>
    <row r="493" spans="1:1">
      <c r="A493">
        <v>0.501</v>
      </c>
    </row>
    <row r="494" spans="1:1">
      <c r="A494">
        <v>0.502</v>
      </c>
    </row>
    <row r="495" spans="1:1">
      <c r="A495">
        <v>0.503</v>
      </c>
    </row>
    <row r="496" spans="1:1">
      <c r="A496">
        <v>0.504</v>
      </c>
    </row>
    <row r="497" spans="1:1">
      <c r="A497">
        <v>0.505</v>
      </c>
    </row>
    <row r="498" spans="1:1">
      <c r="A498">
        <v>0.50600000000000001</v>
      </c>
    </row>
    <row r="499" spans="1:1">
      <c r="A499">
        <v>0.50700000000000001</v>
      </c>
    </row>
    <row r="500" spans="1:1">
      <c r="A500">
        <v>0.50800000000000001</v>
      </c>
    </row>
    <row r="501" spans="1:1">
      <c r="A501">
        <v>0.50900000000000001</v>
      </c>
    </row>
    <row r="502" spans="1:1">
      <c r="A502">
        <v>0.51</v>
      </c>
    </row>
    <row r="503" spans="1:1">
      <c r="A503">
        <v>0.51100000000000001</v>
      </c>
    </row>
    <row r="504" spans="1:1">
      <c r="A504">
        <v>0.51200000000000001</v>
      </c>
    </row>
    <row r="505" spans="1:1">
      <c r="A505">
        <v>0.51300000000000001</v>
      </c>
    </row>
    <row r="506" spans="1:1">
      <c r="A506">
        <v>0.51400000000000001</v>
      </c>
    </row>
    <row r="507" spans="1:1">
      <c r="A507">
        <v>0.51500000000000001</v>
      </c>
    </row>
    <row r="508" spans="1:1">
      <c r="A508">
        <v>0.51600000000000001</v>
      </c>
    </row>
    <row r="509" spans="1:1">
      <c r="A509">
        <v>0.51700000000000002</v>
      </c>
    </row>
    <row r="510" spans="1:1">
      <c r="A510">
        <v>0.51800000000000002</v>
      </c>
    </row>
    <row r="511" spans="1:1">
      <c r="A511">
        <v>0.51900000000000002</v>
      </c>
    </row>
    <row r="512" spans="1:1">
      <c r="A512">
        <v>0.52</v>
      </c>
    </row>
    <row r="513" spans="1:1">
      <c r="A513">
        <v>0.52100000000000002</v>
      </c>
    </row>
    <row r="514" spans="1:1">
      <c r="A514">
        <v>0.52200000000000002</v>
      </c>
    </row>
    <row r="515" spans="1:1">
      <c r="A515">
        <v>0.52300000000000002</v>
      </c>
    </row>
    <row r="516" spans="1:1">
      <c r="A516">
        <v>0.52400000000000002</v>
      </c>
    </row>
    <row r="517" spans="1:1">
      <c r="A517">
        <v>0.52500000000000002</v>
      </c>
    </row>
    <row r="518" spans="1:1">
      <c r="A518">
        <v>0.52600000000000002</v>
      </c>
    </row>
    <row r="519" spans="1:1">
      <c r="A519">
        <v>0.52700000000000002</v>
      </c>
    </row>
    <row r="520" spans="1:1">
      <c r="A520">
        <v>0.52800000000000002</v>
      </c>
    </row>
    <row r="521" spans="1:1">
      <c r="A521">
        <v>0.52900000000000003</v>
      </c>
    </row>
    <row r="522" spans="1:1">
      <c r="A522">
        <v>0.53</v>
      </c>
    </row>
    <row r="523" spans="1:1">
      <c r="A523">
        <v>0.53100000000000003</v>
      </c>
    </row>
    <row r="524" spans="1:1">
      <c r="A524">
        <v>0.53200000000000003</v>
      </c>
    </row>
    <row r="525" spans="1:1">
      <c r="A525">
        <v>0.53300000000000003</v>
      </c>
    </row>
    <row r="526" spans="1:1">
      <c r="A526">
        <v>0.53400000000000003</v>
      </c>
    </row>
    <row r="527" spans="1:1">
      <c r="A527">
        <v>0.53500000000000003</v>
      </c>
    </row>
    <row r="528" spans="1:1">
      <c r="A528">
        <v>0.53600000000000003</v>
      </c>
    </row>
    <row r="529" spans="1:1">
      <c r="A529">
        <v>0.53700000000000003</v>
      </c>
    </row>
    <row r="530" spans="1:1">
      <c r="A530">
        <v>0.53800000000000003</v>
      </c>
    </row>
    <row r="531" spans="1:1">
      <c r="A531">
        <v>0.53900000000000003</v>
      </c>
    </row>
    <row r="532" spans="1:1">
      <c r="A532">
        <v>0.54</v>
      </c>
    </row>
    <row r="533" spans="1:1">
      <c r="A533">
        <v>0.54100000000000004</v>
      </c>
    </row>
    <row r="534" spans="1:1">
      <c r="A534">
        <v>0.54200000000000004</v>
      </c>
    </row>
    <row r="535" spans="1:1">
      <c r="A535">
        <v>0.54300000000000004</v>
      </c>
    </row>
    <row r="536" spans="1:1">
      <c r="A536">
        <v>0.54400000000000004</v>
      </c>
    </row>
    <row r="537" spans="1:1">
      <c r="A537">
        <v>0.54500000000000004</v>
      </c>
    </row>
    <row r="538" spans="1:1">
      <c r="A538">
        <v>0.54600000000000004</v>
      </c>
    </row>
    <row r="539" spans="1:1">
      <c r="A539">
        <v>0.54700000000000004</v>
      </c>
    </row>
    <row r="540" spans="1:1">
      <c r="A540">
        <v>0.54800000000000004</v>
      </c>
    </row>
    <row r="541" spans="1:1">
      <c r="A541">
        <v>0.54900000000000004</v>
      </c>
    </row>
    <row r="542" spans="1:1">
      <c r="A542">
        <v>0.55000000000000004</v>
      </c>
    </row>
    <row r="543" spans="1:1">
      <c r="A543">
        <v>0.55100000000000005</v>
      </c>
    </row>
    <row r="544" spans="1:1">
      <c r="A544">
        <v>0.55200000000000005</v>
      </c>
    </row>
    <row r="545" spans="1:1">
      <c r="A545">
        <v>0.55300000000000005</v>
      </c>
    </row>
    <row r="546" spans="1:1">
      <c r="A546">
        <v>0.55400000000000005</v>
      </c>
    </row>
    <row r="547" spans="1:1">
      <c r="A547">
        <v>0.55500000000000005</v>
      </c>
    </row>
    <row r="548" spans="1:1">
      <c r="A548">
        <v>0.55600000000000005</v>
      </c>
    </row>
    <row r="549" spans="1:1">
      <c r="A549">
        <v>0.55700000000000005</v>
      </c>
    </row>
    <row r="550" spans="1:1">
      <c r="A550">
        <v>0.55800000000000005</v>
      </c>
    </row>
    <row r="551" spans="1:1">
      <c r="A551">
        <v>0.55900000000000005</v>
      </c>
    </row>
    <row r="552" spans="1:1">
      <c r="A552">
        <v>0.56000000000000005</v>
      </c>
    </row>
    <row r="553" spans="1:1">
      <c r="A553">
        <v>0.56100000000000005</v>
      </c>
    </row>
    <row r="554" spans="1:1">
      <c r="A554">
        <v>0.56200000000000006</v>
      </c>
    </row>
    <row r="555" spans="1:1">
      <c r="A555">
        <v>0.56300000000000006</v>
      </c>
    </row>
    <row r="556" spans="1:1">
      <c r="A556">
        <v>0.56400000000000006</v>
      </c>
    </row>
    <row r="557" spans="1:1">
      <c r="A557">
        <v>0.56500000000000006</v>
      </c>
    </row>
    <row r="558" spans="1:1">
      <c r="A558">
        <v>0.56600000000000006</v>
      </c>
    </row>
    <row r="559" spans="1:1">
      <c r="A559">
        <v>0.56700000000000006</v>
      </c>
    </row>
    <row r="560" spans="1:1">
      <c r="A560">
        <v>0.56800000000000006</v>
      </c>
    </row>
    <row r="561" spans="1:1">
      <c r="A561">
        <v>0.56900000000000006</v>
      </c>
    </row>
    <row r="562" spans="1:1">
      <c r="A562">
        <v>0.57000000000000006</v>
      </c>
    </row>
    <row r="563" spans="1:1">
      <c r="A563">
        <v>0.57100000000000006</v>
      </c>
    </row>
    <row r="564" spans="1:1">
      <c r="A564">
        <v>0.57200000000000006</v>
      </c>
    </row>
    <row r="565" spans="1:1">
      <c r="A565">
        <v>0.57300000000000006</v>
      </c>
    </row>
    <row r="566" spans="1:1">
      <c r="A566">
        <v>0.57400000000000007</v>
      </c>
    </row>
    <row r="567" spans="1:1">
      <c r="A567">
        <v>0.57500000000000007</v>
      </c>
    </row>
    <row r="568" spans="1:1">
      <c r="A568">
        <v>0.57600000000000007</v>
      </c>
    </row>
    <row r="569" spans="1:1">
      <c r="A569">
        <v>0.57700000000000007</v>
      </c>
    </row>
    <row r="570" spans="1:1">
      <c r="A570">
        <v>0.57800000000000007</v>
      </c>
    </row>
    <row r="571" spans="1:1">
      <c r="A571">
        <v>0.57900000000000007</v>
      </c>
    </row>
    <row r="572" spans="1:1">
      <c r="A572">
        <v>0.58000000000000007</v>
      </c>
    </row>
    <row r="573" spans="1:1">
      <c r="A573">
        <v>0.58100000000000007</v>
      </c>
    </row>
    <row r="574" spans="1:1">
      <c r="A574">
        <v>0.58200000000000007</v>
      </c>
    </row>
    <row r="575" spans="1:1">
      <c r="A575">
        <v>0.58300000000000007</v>
      </c>
    </row>
    <row r="576" spans="1:1">
      <c r="A576">
        <v>0.58400000000000007</v>
      </c>
    </row>
    <row r="577" spans="1:1">
      <c r="A577">
        <v>0.58500000000000008</v>
      </c>
    </row>
    <row r="578" spans="1:1">
      <c r="A578">
        <v>0.58600000000000008</v>
      </c>
    </row>
    <row r="579" spans="1:1">
      <c r="A579">
        <v>0.58699999999999997</v>
      </c>
    </row>
    <row r="580" spans="1:1">
      <c r="A580">
        <v>0.58799999999999997</v>
      </c>
    </row>
    <row r="581" spans="1:1">
      <c r="A581">
        <v>0.58899999999999997</v>
      </c>
    </row>
    <row r="582" spans="1:1">
      <c r="A582">
        <v>0.59</v>
      </c>
    </row>
    <row r="583" spans="1:1">
      <c r="A583">
        <v>0.59099999999999997</v>
      </c>
    </row>
    <row r="584" spans="1:1">
      <c r="A584">
        <v>0.59199999999999997</v>
      </c>
    </row>
    <row r="585" spans="1:1">
      <c r="A585">
        <v>0.59299999999999997</v>
      </c>
    </row>
    <row r="586" spans="1:1">
      <c r="A586">
        <v>0.59399999999999997</v>
      </c>
    </row>
    <row r="587" spans="1:1">
      <c r="A587">
        <v>0.59499999999999997</v>
      </c>
    </row>
    <row r="588" spans="1:1">
      <c r="A588">
        <v>0.59599999999999997</v>
      </c>
    </row>
    <row r="589" spans="1:1">
      <c r="A589">
        <v>0.59699999999999998</v>
      </c>
    </row>
    <row r="590" spans="1:1">
      <c r="A590">
        <v>0.59799999999999998</v>
      </c>
    </row>
    <row r="591" spans="1:1">
      <c r="A591">
        <v>0.59899999999999998</v>
      </c>
    </row>
    <row r="592" spans="1:1">
      <c r="A592">
        <v>0.6</v>
      </c>
    </row>
    <row r="593" spans="1:1">
      <c r="A593">
        <v>0.60099999999999998</v>
      </c>
    </row>
    <row r="594" spans="1:1">
      <c r="A594">
        <v>0.60199999999999998</v>
      </c>
    </row>
    <row r="595" spans="1:1">
      <c r="A595">
        <v>0.60299999999999998</v>
      </c>
    </row>
    <row r="596" spans="1:1">
      <c r="A596">
        <v>0.60399999999999998</v>
      </c>
    </row>
    <row r="597" spans="1:1">
      <c r="A597">
        <v>0.60499999999999998</v>
      </c>
    </row>
    <row r="598" spans="1:1">
      <c r="A598">
        <v>0.60599999999999998</v>
      </c>
    </row>
    <row r="599" spans="1:1">
      <c r="A599">
        <v>0.60699999999999998</v>
      </c>
    </row>
    <row r="600" spans="1:1">
      <c r="A600">
        <v>0.60799999999999998</v>
      </c>
    </row>
    <row r="601" spans="1:1">
      <c r="A601">
        <v>0.60899999999999999</v>
      </c>
    </row>
    <row r="602" spans="1:1">
      <c r="A602">
        <v>0.61</v>
      </c>
    </row>
    <row r="603" spans="1:1">
      <c r="A603">
        <v>0.61099999999999999</v>
      </c>
    </row>
    <row r="604" spans="1:1">
      <c r="A604">
        <v>0.61199999999999999</v>
      </c>
    </row>
    <row r="605" spans="1:1">
      <c r="A605">
        <v>0.61299999999999999</v>
      </c>
    </row>
    <row r="606" spans="1:1">
      <c r="A606">
        <v>0.61399999999999999</v>
      </c>
    </row>
    <row r="607" spans="1:1">
      <c r="A607">
        <v>0.61499999999999999</v>
      </c>
    </row>
    <row r="608" spans="1:1">
      <c r="A608">
        <v>0.61599999999999999</v>
      </c>
    </row>
    <row r="609" spans="1:1">
      <c r="A609">
        <v>0.61699999999999999</v>
      </c>
    </row>
    <row r="610" spans="1:1">
      <c r="A610">
        <v>0.61799999999999999</v>
      </c>
    </row>
    <row r="611" spans="1:1">
      <c r="A611">
        <v>0.61899999999999999</v>
      </c>
    </row>
    <row r="612" spans="1:1">
      <c r="A612">
        <v>0.62</v>
      </c>
    </row>
    <row r="613" spans="1:1">
      <c r="A613">
        <v>0.621</v>
      </c>
    </row>
    <row r="614" spans="1:1">
      <c r="A614">
        <v>0.622</v>
      </c>
    </row>
    <row r="615" spans="1:1">
      <c r="A615">
        <v>0.623</v>
      </c>
    </row>
    <row r="616" spans="1:1">
      <c r="A616">
        <v>0.624</v>
      </c>
    </row>
    <row r="617" spans="1:1">
      <c r="A617">
        <v>0.625</v>
      </c>
    </row>
    <row r="618" spans="1:1">
      <c r="A618">
        <v>0.626</v>
      </c>
    </row>
    <row r="619" spans="1:1">
      <c r="A619">
        <v>0.627</v>
      </c>
    </row>
    <row r="620" spans="1:1">
      <c r="A620">
        <v>0.628</v>
      </c>
    </row>
    <row r="621" spans="1:1">
      <c r="A621">
        <v>0.629</v>
      </c>
    </row>
    <row r="622" spans="1:1">
      <c r="A622">
        <v>0.63</v>
      </c>
    </row>
    <row r="623" spans="1:1">
      <c r="A623">
        <v>0.63100000000000001</v>
      </c>
    </row>
    <row r="624" spans="1:1">
      <c r="A624">
        <v>0.63200000000000001</v>
      </c>
    </row>
    <row r="625" spans="1:1">
      <c r="A625">
        <v>0.63300000000000001</v>
      </c>
    </row>
    <row r="626" spans="1:1">
      <c r="A626">
        <v>0.63400000000000001</v>
      </c>
    </row>
    <row r="627" spans="1:1">
      <c r="A627">
        <v>0.63500000000000001</v>
      </c>
    </row>
    <row r="628" spans="1:1">
      <c r="A628">
        <v>0.63600000000000001</v>
      </c>
    </row>
    <row r="629" spans="1:1">
      <c r="A629">
        <v>0.63700000000000001</v>
      </c>
    </row>
    <row r="630" spans="1:1">
      <c r="A630">
        <v>0.63800000000000001</v>
      </c>
    </row>
    <row r="631" spans="1:1">
      <c r="A631">
        <v>0.63900000000000001</v>
      </c>
    </row>
    <row r="632" spans="1:1">
      <c r="A632">
        <v>0.64</v>
      </c>
    </row>
    <row r="633" spans="1:1">
      <c r="A633">
        <v>0.64100000000000001</v>
      </c>
    </row>
    <row r="634" spans="1:1">
      <c r="A634">
        <v>0.64200000000000002</v>
      </c>
    </row>
    <row r="635" spans="1:1">
      <c r="A635">
        <v>0.64300000000000002</v>
      </c>
    </row>
    <row r="636" spans="1:1">
      <c r="A636">
        <v>0.64400000000000002</v>
      </c>
    </row>
    <row r="637" spans="1:1">
      <c r="A637">
        <v>0.64500000000000002</v>
      </c>
    </row>
    <row r="638" spans="1:1">
      <c r="A638">
        <v>0.64600000000000002</v>
      </c>
    </row>
    <row r="639" spans="1:1">
      <c r="A639">
        <v>0.64700000000000002</v>
      </c>
    </row>
    <row r="640" spans="1:1">
      <c r="A640">
        <v>0.64800000000000002</v>
      </c>
    </row>
    <row r="641" spans="1:1">
      <c r="A641">
        <v>0.64900000000000002</v>
      </c>
    </row>
    <row r="642" spans="1:1">
      <c r="A642">
        <v>0.65</v>
      </c>
    </row>
    <row r="643" spans="1:1">
      <c r="A643">
        <v>0.65100000000000002</v>
      </c>
    </row>
    <row r="644" spans="1:1">
      <c r="A644">
        <v>0.65200000000000002</v>
      </c>
    </row>
    <row r="645" spans="1:1">
      <c r="A645">
        <v>0.65300000000000002</v>
      </c>
    </row>
    <row r="646" spans="1:1">
      <c r="A646">
        <v>0.65400000000000003</v>
      </c>
    </row>
    <row r="647" spans="1:1">
      <c r="A647">
        <v>0.65500000000000003</v>
      </c>
    </row>
    <row r="648" spans="1:1">
      <c r="A648">
        <v>0.65600000000000003</v>
      </c>
    </row>
    <row r="649" spans="1:1">
      <c r="A649">
        <v>0.65700000000000003</v>
      </c>
    </row>
    <row r="650" spans="1:1">
      <c r="A650">
        <v>0.65800000000000003</v>
      </c>
    </row>
    <row r="651" spans="1:1">
      <c r="A651">
        <v>0.65900000000000003</v>
      </c>
    </row>
    <row r="652" spans="1:1">
      <c r="A652">
        <v>0.66</v>
      </c>
    </row>
    <row r="653" spans="1:1">
      <c r="A653">
        <v>0.66100000000000003</v>
      </c>
    </row>
    <row r="654" spans="1:1">
      <c r="A654">
        <v>0.66200000000000003</v>
      </c>
    </row>
    <row r="655" spans="1:1">
      <c r="A655">
        <v>0.66300000000000003</v>
      </c>
    </row>
    <row r="656" spans="1:1">
      <c r="A656">
        <v>0.66400000000000003</v>
      </c>
    </row>
    <row r="657" spans="1:1">
      <c r="A657">
        <v>0.66500000000000004</v>
      </c>
    </row>
    <row r="658" spans="1:1">
      <c r="A658">
        <v>0.66600000000000004</v>
      </c>
    </row>
    <row r="659" spans="1:1">
      <c r="A659">
        <v>0.66700000000000004</v>
      </c>
    </row>
    <row r="660" spans="1:1">
      <c r="A660">
        <v>0.66800000000000004</v>
      </c>
    </row>
    <row r="661" spans="1:1">
      <c r="A661">
        <v>0.66900000000000004</v>
      </c>
    </row>
    <row r="662" spans="1:1">
      <c r="A662">
        <v>0.67</v>
      </c>
    </row>
    <row r="663" spans="1:1">
      <c r="A663">
        <v>0.67100000000000004</v>
      </c>
    </row>
    <row r="664" spans="1:1">
      <c r="A664">
        <v>0.67200000000000004</v>
      </c>
    </row>
    <row r="665" spans="1:1">
      <c r="A665">
        <v>0.67300000000000004</v>
      </c>
    </row>
    <row r="666" spans="1:1">
      <c r="A666">
        <v>0.67400000000000004</v>
      </c>
    </row>
    <row r="667" spans="1:1">
      <c r="A667">
        <v>0.67500000000000004</v>
      </c>
    </row>
    <row r="668" spans="1:1">
      <c r="A668">
        <v>0.67600000000000005</v>
      </c>
    </row>
    <row r="669" spans="1:1">
      <c r="A669">
        <v>0.67700000000000005</v>
      </c>
    </row>
    <row r="670" spans="1:1">
      <c r="A670">
        <v>0.67800000000000005</v>
      </c>
    </row>
    <row r="671" spans="1:1">
      <c r="A671">
        <v>0.67900000000000005</v>
      </c>
    </row>
    <row r="672" spans="1:1">
      <c r="A672">
        <v>0.68</v>
      </c>
    </row>
    <row r="673" spans="1:1">
      <c r="A673">
        <v>0.68100000000000005</v>
      </c>
    </row>
    <row r="674" spans="1:1">
      <c r="A674">
        <v>0.68200000000000005</v>
      </c>
    </row>
    <row r="675" spans="1:1">
      <c r="A675">
        <v>0.68300000000000005</v>
      </c>
    </row>
    <row r="676" spans="1:1">
      <c r="A676">
        <v>0.68400000000000005</v>
      </c>
    </row>
    <row r="677" spans="1:1">
      <c r="A677">
        <v>0.68500000000000005</v>
      </c>
    </row>
    <row r="678" spans="1:1">
      <c r="A678">
        <v>0.68600000000000005</v>
      </c>
    </row>
    <row r="679" spans="1:1">
      <c r="A679">
        <v>0.68700000000000006</v>
      </c>
    </row>
    <row r="680" spans="1:1">
      <c r="A680">
        <v>0.68800000000000006</v>
      </c>
    </row>
    <row r="681" spans="1:1">
      <c r="A681">
        <v>0.68900000000000006</v>
      </c>
    </row>
    <row r="682" spans="1:1">
      <c r="A682">
        <v>0.69000000000000006</v>
      </c>
    </row>
    <row r="683" spans="1:1">
      <c r="A683">
        <v>0.69100000000000006</v>
      </c>
    </row>
    <row r="684" spans="1:1">
      <c r="A684">
        <v>0.69200000000000006</v>
      </c>
    </row>
    <row r="685" spans="1:1">
      <c r="A685">
        <v>0.69300000000000006</v>
      </c>
    </row>
    <row r="686" spans="1:1">
      <c r="A686">
        <v>0.69400000000000006</v>
      </c>
    </row>
    <row r="687" spans="1:1">
      <c r="A687">
        <v>0.69500000000000006</v>
      </c>
    </row>
    <row r="688" spans="1:1">
      <c r="A688">
        <v>0.69600000000000006</v>
      </c>
    </row>
    <row r="689" spans="1:1">
      <c r="A689">
        <v>0.69700000000000006</v>
      </c>
    </row>
    <row r="690" spans="1:1">
      <c r="A690">
        <v>0.69800000000000006</v>
      </c>
    </row>
    <row r="691" spans="1:1">
      <c r="A691">
        <v>0.69900000000000007</v>
      </c>
    </row>
    <row r="692" spans="1:1">
      <c r="A692">
        <v>0.70000000000000007</v>
      </c>
    </row>
    <row r="693" spans="1:1">
      <c r="A693">
        <v>0.70100000000000007</v>
      </c>
    </row>
    <row r="694" spans="1:1">
      <c r="A694">
        <v>0.70200000000000007</v>
      </c>
    </row>
    <row r="695" spans="1:1">
      <c r="A695">
        <v>0.70300000000000007</v>
      </c>
    </row>
    <row r="696" spans="1:1">
      <c r="A696">
        <v>0.70400000000000007</v>
      </c>
    </row>
    <row r="697" spans="1:1">
      <c r="A697">
        <v>0.70500000000000007</v>
      </c>
    </row>
    <row r="698" spans="1:1">
      <c r="A698">
        <v>0.70600000000000007</v>
      </c>
    </row>
    <row r="699" spans="1:1">
      <c r="A699">
        <v>0.70700000000000007</v>
      </c>
    </row>
    <row r="700" spans="1:1">
      <c r="A700">
        <v>0.70800000000000007</v>
      </c>
    </row>
    <row r="701" spans="1:1">
      <c r="A701">
        <v>0.70900000000000007</v>
      </c>
    </row>
    <row r="702" spans="1:1">
      <c r="A702">
        <v>0.71000000000000008</v>
      </c>
    </row>
    <row r="703" spans="1:1">
      <c r="A703">
        <v>0.71100000000000008</v>
      </c>
    </row>
    <row r="704" spans="1:1">
      <c r="A704">
        <v>0.71200000000000008</v>
      </c>
    </row>
    <row r="705" spans="1:1">
      <c r="A705">
        <v>0.71300000000000008</v>
      </c>
    </row>
    <row r="706" spans="1:1">
      <c r="A706">
        <v>0.71399999999999997</v>
      </c>
    </row>
    <row r="707" spans="1:1">
      <c r="A707">
        <v>0.71499999999999997</v>
      </c>
    </row>
    <row r="708" spans="1:1">
      <c r="A708">
        <v>0.71599999999999997</v>
      </c>
    </row>
    <row r="709" spans="1:1">
      <c r="A709">
        <v>0.71699999999999997</v>
      </c>
    </row>
    <row r="710" spans="1:1">
      <c r="A710">
        <v>0.71799999999999997</v>
      </c>
    </row>
    <row r="711" spans="1:1">
      <c r="A711">
        <v>0.71899999999999997</v>
      </c>
    </row>
    <row r="712" spans="1:1">
      <c r="A712">
        <v>0.72</v>
      </c>
    </row>
    <row r="713" spans="1:1">
      <c r="A713">
        <v>0.72099999999999997</v>
      </c>
    </row>
    <row r="714" spans="1:1">
      <c r="A714">
        <v>0.72199999999999998</v>
      </c>
    </row>
    <row r="715" spans="1:1">
      <c r="A715">
        <v>0.72299999999999998</v>
      </c>
    </row>
    <row r="716" spans="1:1">
      <c r="A716">
        <v>0.72399999999999998</v>
      </c>
    </row>
    <row r="717" spans="1:1">
      <c r="A717">
        <v>0.72499999999999998</v>
      </c>
    </row>
    <row r="718" spans="1:1">
      <c r="A718">
        <v>0.72599999999999998</v>
      </c>
    </row>
    <row r="719" spans="1:1">
      <c r="A719">
        <v>0.72699999999999998</v>
      </c>
    </row>
    <row r="720" spans="1:1">
      <c r="A720">
        <v>0.72799999999999998</v>
      </c>
    </row>
    <row r="721" spans="1:1">
      <c r="A721">
        <v>0.72899999999999998</v>
      </c>
    </row>
    <row r="722" spans="1:1">
      <c r="A722">
        <v>0.73</v>
      </c>
    </row>
    <row r="723" spans="1:1">
      <c r="A723">
        <v>0.73099999999999998</v>
      </c>
    </row>
    <row r="724" spans="1:1">
      <c r="A724">
        <v>0.73199999999999998</v>
      </c>
    </row>
    <row r="725" spans="1:1">
      <c r="A725">
        <v>0.73299999999999998</v>
      </c>
    </row>
    <row r="726" spans="1:1">
      <c r="A726">
        <v>0.73399999999999999</v>
      </c>
    </row>
    <row r="727" spans="1:1">
      <c r="A727">
        <v>0.73499999999999999</v>
      </c>
    </row>
    <row r="728" spans="1:1">
      <c r="A728">
        <v>0.73599999999999999</v>
      </c>
    </row>
    <row r="729" spans="1:1">
      <c r="A729">
        <v>0.73699999999999999</v>
      </c>
    </row>
    <row r="730" spans="1:1">
      <c r="A730">
        <v>0.73799999999999999</v>
      </c>
    </row>
    <row r="731" spans="1:1">
      <c r="A731">
        <v>0.73899999999999999</v>
      </c>
    </row>
    <row r="732" spans="1:1">
      <c r="A732">
        <v>0.74</v>
      </c>
    </row>
    <row r="733" spans="1:1">
      <c r="A733">
        <v>0.74099999999999999</v>
      </c>
    </row>
    <row r="734" spans="1:1">
      <c r="A734">
        <v>0.74199999999999999</v>
      </c>
    </row>
    <row r="735" spans="1:1">
      <c r="A735">
        <v>0.74299999999999999</v>
      </c>
    </row>
    <row r="736" spans="1:1">
      <c r="A736">
        <v>0.74399999999999999</v>
      </c>
    </row>
    <row r="737" spans="1:1">
      <c r="A737">
        <v>0.745</v>
      </c>
    </row>
    <row r="738" spans="1:1">
      <c r="A738">
        <v>0.746</v>
      </c>
    </row>
    <row r="739" spans="1:1">
      <c r="A739">
        <v>0.747</v>
      </c>
    </row>
    <row r="740" spans="1:1">
      <c r="A740">
        <v>0.748</v>
      </c>
    </row>
    <row r="741" spans="1:1">
      <c r="A741">
        <v>0.749</v>
      </c>
    </row>
    <row r="742" spans="1:1">
      <c r="A742">
        <v>0.75</v>
      </c>
    </row>
    <row r="743" spans="1:1">
      <c r="A743">
        <v>0.751</v>
      </c>
    </row>
    <row r="744" spans="1:1">
      <c r="A744">
        <v>0.752</v>
      </c>
    </row>
    <row r="745" spans="1:1">
      <c r="A745">
        <v>0.753</v>
      </c>
    </row>
    <row r="746" spans="1:1">
      <c r="A746">
        <v>0.754</v>
      </c>
    </row>
    <row r="747" spans="1:1">
      <c r="A747">
        <v>0.755</v>
      </c>
    </row>
    <row r="748" spans="1:1">
      <c r="A748">
        <v>0.75600000000000001</v>
      </c>
    </row>
    <row r="749" spans="1:1">
      <c r="A749">
        <v>0.75700000000000001</v>
      </c>
    </row>
    <row r="750" spans="1:1">
      <c r="A750">
        <v>0.75800000000000001</v>
      </c>
    </row>
    <row r="751" spans="1:1">
      <c r="A751">
        <v>0.75900000000000001</v>
      </c>
    </row>
    <row r="752" spans="1:1">
      <c r="A752">
        <v>0.76</v>
      </c>
    </row>
    <row r="753" spans="1:1">
      <c r="A753">
        <v>0.76100000000000001</v>
      </c>
    </row>
    <row r="754" spans="1:1">
      <c r="A754">
        <v>0.76200000000000001</v>
      </c>
    </row>
    <row r="755" spans="1:1">
      <c r="A755">
        <v>0.76300000000000001</v>
      </c>
    </row>
    <row r="756" spans="1:1">
      <c r="A756">
        <v>0.76400000000000001</v>
      </c>
    </row>
    <row r="757" spans="1:1">
      <c r="A757">
        <v>0.76500000000000001</v>
      </c>
    </row>
    <row r="758" spans="1:1">
      <c r="A758">
        <v>0.76600000000000001</v>
      </c>
    </row>
    <row r="759" spans="1:1">
      <c r="A759">
        <v>0.76700000000000002</v>
      </c>
    </row>
    <row r="760" spans="1:1">
      <c r="A760">
        <v>0.76800000000000002</v>
      </c>
    </row>
    <row r="761" spans="1:1">
      <c r="A761">
        <v>0.76900000000000002</v>
      </c>
    </row>
    <row r="762" spans="1:1">
      <c r="A762">
        <v>0.77</v>
      </c>
    </row>
    <row r="763" spans="1:1">
      <c r="A763">
        <v>0.77100000000000002</v>
      </c>
    </row>
    <row r="764" spans="1:1">
      <c r="A764">
        <v>0.77200000000000002</v>
      </c>
    </row>
    <row r="765" spans="1:1">
      <c r="A765">
        <v>0.77300000000000002</v>
      </c>
    </row>
    <row r="766" spans="1:1">
      <c r="A766">
        <v>0.77400000000000002</v>
      </c>
    </row>
    <row r="767" spans="1:1">
      <c r="A767">
        <v>0.77500000000000002</v>
      </c>
    </row>
    <row r="768" spans="1:1">
      <c r="A768">
        <v>0.77600000000000002</v>
      </c>
    </row>
    <row r="769" spans="1:1">
      <c r="A769">
        <v>0.77700000000000002</v>
      </c>
    </row>
    <row r="770" spans="1:1">
      <c r="A770">
        <v>0.77800000000000002</v>
      </c>
    </row>
    <row r="771" spans="1:1">
      <c r="A771">
        <v>0.77900000000000003</v>
      </c>
    </row>
    <row r="772" spans="1:1">
      <c r="A772">
        <v>0.78</v>
      </c>
    </row>
    <row r="773" spans="1:1">
      <c r="A773">
        <v>0.78100000000000003</v>
      </c>
    </row>
    <row r="774" spans="1:1">
      <c r="A774">
        <v>0.78200000000000003</v>
      </c>
    </row>
    <row r="775" spans="1:1">
      <c r="A775">
        <v>0.78300000000000003</v>
      </c>
    </row>
    <row r="776" spans="1:1">
      <c r="A776">
        <v>0.78400000000000003</v>
      </c>
    </row>
    <row r="777" spans="1:1">
      <c r="A777">
        <v>0.78500000000000003</v>
      </c>
    </row>
    <row r="778" spans="1:1">
      <c r="A778">
        <v>0.78600000000000003</v>
      </c>
    </row>
    <row r="779" spans="1:1">
      <c r="A779">
        <v>0.78700000000000003</v>
      </c>
    </row>
    <row r="780" spans="1:1">
      <c r="A780">
        <v>0.78800000000000003</v>
      </c>
    </row>
    <row r="781" spans="1:1">
      <c r="A781">
        <v>0.78900000000000003</v>
      </c>
    </row>
    <row r="782" spans="1:1">
      <c r="A782">
        <v>0.79</v>
      </c>
    </row>
    <row r="783" spans="1:1">
      <c r="A783">
        <v>0.79100000000000004</v>
      </c>
    </row>
    <row r="784" spans="1:1">
      <c r="A784">
        <v>0.79200000000000004</v>
      </c>
    </row>
    <row r="785" spans="1:1">
      <c r="A785">
        <v>0.79300000000000004</v>
      </c>
    </row>
    <row r="786" spans="1:1">
      <c r="A786">
        <v>0.79400000000000004</v>
      </c>
    </row>
    <row r="787" spans="1:1">
      <c r="A787">
        <v>0.79500000000000004</v>
      </c>
    </row>
    <row r="788" spans="1:1">
      <c r="A788">
        <v>0.79600000000000004</v>
      </c>
    </row>
    <row r="789" spans="1:1">
      <c r="A789">
        <v>0.79700000000000004</v>
      </c>
    </row>
    <row r="790" spans="1:1">
      <c r="A790">
        <v>0.79800000000000004</v>
      </c>
    </row>
    <row r="791" spans="1:1">
      <c r="A791">
        <v>0.79900000000000004</v>
      </c>
    </row>
    <row r="792" spans="1:1">
      <c r="A792">
        <v>0.8</v>
      </c>
    </row>
    <row r="793" spans="1:1">
      <c r="A793">
        <v>0.80100000000000005</v>
      </c>
    </row>
    <row r="794" spans="1:1">
      <c r="A794">
        <v>0.80200000000000005</v>
      </c>
    </row>
    <row r="795" spans="1:1">
      <c r="A795">
        <v>0.80300000000000005</v>
      </c>
    </row>
    <row r="796" spans="1:1">
      <c r="A796">
        <v>0.80400000000000005</v>
      </c>
    </row>
    <row r="797" spans="1:1">
      <c r="A797">
        <v>0.80500000000000005</v>
      </c>
    </row>
    <row r="798" spans="1:1">
      <c r="A798">
        <v>0.80600000000000005</v>
      </c>
    </row>
    <row r="799" spans="1:1">
      <c r="A799">
        <v>0.80700000000000005</v>
      </c>
    </row>
    <row r="800" spans="1:1">
      <c r="A800">
        <v>0.80800000000000005</v>
      </c>
    </row>
    <row r="801" spans="1:1">
      <c r="A801">
        <v>0.80900000000000005</v>
      </c>
    </row>
    <row r="802" spans="1:1">
      <c r="A802">
        <v>0.81</v>
      </c>
    </row>
    <row r="803" spans="1:1">
      <c r="A803">
        <v>0.81100000000000005</v>
      </c>
    </row>
    <row r="804" spans="1:1">
      <c r="A804">
        <v>0.81200000000000006</v>
      </c>
    </row>
    <row r="805" spans="1:1">
      <c r="A805">
        <v>0.81300000000000006</v>
      </c>
    </row>
    <row r="806" spans="1:1">
      <c r="A806">
        <v>0.81400000000000006</v>
      </c>
    </row>
    <row r="807" spans="1:1">
      <c r="A807">
        <v>0.81500000000000006</v>
      </c>
    </row>
    <row r="808" spans="1:1">
      <c r="A808">
        <v>0.81600000000000006</v>
      </c>
    </row>
    <row r="809" spans="1:1">
      <c r="A809">
        <v>0.81700000000000006</v>
      </c>
    </row>
    <row r="810" spans="1:1">
      <c r="A810">
        <v>0.81800000000000006</v>
      </c>
    </row>
    <row r="811" spans="1:1">
      <c r="A811">
        <v>0.81900000000000006</v>
      </c>
    </row>
    <row r="812" spans="1:1">
      <c r="A812">
        <v>0.82000000000000006</v>
      </c>
    </row>
    <row r="813" spans="1:1">
      <c r="A813">
        <v>0.82100000000000006</v>
      </c>
    </row>
    <row r="814" spans="1:1">
      <c r="A814">
        <v>0.82200000000000006</v>
      </c>
    </row>
    <row r="815" spans="1:1">
      <c r="A815">
        <v>0.82300000000000006</v>
      </c>
    </row>
    <row r="816" spans="1:1">
      <c r="A816">
        <v>0.82400000000000007</v>
      </c>
    </row>
    <row r="817" spans="1:1">
      <c r="A817">
        <v>0.82500000000000007</v>
      </c>
    </row>
    <row r="818" spans="1:1">
      <c r="A818">
        <v>0.82600000000000007</v>
      </c>
    </row>
    <row r="819" spans="1:1">
      <c r="A819">
        <v>0.82700000000000007</v>
      </c>
    </row>
    <row r="820" spans="1:1">
      <c r="A820">
        <v>0.82800000000000007</v>
      </c>
    </row>
    <row r="821" spans="1:1">
      <c r="A821">
        <v>0.82900000000000007</v>
      </c>
    </row>
    <row r="822" spans="1:1">
      <c r="A822">
        <v>0.83000000000000007</v>
      </c>
    </row>
    <row r="823" spans="1:1">
      <c r="A823">
        <v>0.83100000000000007</v>
      </c>
    </row>
    <row r="824" spans="1:1">
      <c r="A824">
        <v>0.83200000000000007</v>
      </c>
    </row>
    <row r="825" spans="1:1">
      <c r="A825">
        <v>0.83300000000000007</v>
      </c>
    </row>
    <row r="826" spans="1:1">
      <c r="A826">
        <v>0.83400000000000007</v>
      </c>
    </row>
    <row r="827" spans="1:1">
      <c r="A827">
        <v>0.83500000000000008</v>
      </c>
    </row>
    <row r="828" spans="1:1">
      <c r="A828">
        <v>0.83600000000000008</v>
      </c>
    </row>
    <row r="829" spans="1:1">
      <c r="A829">
        <v>0.83700000000000008</v>
      </c>
    </row>
    <row r="830" spans="1:1">
      <c r="A830">
        <v>0.83800000000000008</v>
      </c>
    </row>
    <row r="831" spans="1:1">
      <c r="A831">
        <v>0.83900000000000008</v>
      </c>
    </row>
    <row r="832" spans="1:1">
      <c r="A832">
        <v>0.84000000000000008</v>
      </c>
    </row>
    <row r="833" spans="1:1">
      <c r="A833">
        <v>0.84100000000000008</v>
      </c>
    </row>
    <row r="834" spans="1:1">
      <c r="A834">
        <v>0.84200000000000008</v>
      </c>
    </row>
    <row r="835" spans="1:1">
      <c r="A835">
        <v>0.84299999999999997</v>
      </c>
    </row>
    <row r="836" spans="1:1">
      <c r="A836">
        <v>0.84399999999999997</v>
      </c>
    </row>
    <row r="837" spans="1:1">
      <c r="A837">
        <v>0.84499999999999997</v>
      </c>
    </row>
    <row r="838" spans="1:1">
      <c r="A838">
        <v>0.84599999999999997</v>
      </c>
    </row>
    <row r="839" spans="1:1">
      <c r="A839">
        <v>0.84699999999999998</v>
      </c>
    </row>
    <row r="840" spans="1:1">
      <c r="A840">
        <v>0.84799999999999998</v>
      </c>
    </row>
    <row r="841" spans="1:1">
      <c r="A841">
        <v>0.84899999999999998</v>
      </c>
    </row>
    <row r="842" spans="1:1">
      <c r="A842">
        <v>0.85</v>
      </c>
    </row>
    <row r="843" spans="1:1">
      <c r="A843">
        <v>0.85099999999999998</v>
      </c>
    </row>
    <row r="844" spans="1:1">
      <c r="A844">
        <v>0.85199999999999998</v>
      </c>
    </row>
    <row r="845" spans="1:1">
      <c r="A845">
        <v>0.85299999999999998</v>
      </c>
    </row>
    <row r="846" spans="1:1">
      <c r="A846">
        <v>0.85399999999999998</v>
      </c>
    </row>
    <row r="847" spans="1:1">
      <c r="A847">
        <v>0.85499999999999998</v>
      </c>
    </row>
    <row r="848" spans="1:1">
      <c r="A848">
        <v>0.85599999999999998</v>
      </c>
    </row>
    <row r="849" spans="1:1">
      <c r="A849">
        <v>0.85699999999999998</v>
      </c>
    </row>
    <row r="850" spans="1:1">
      <c r="A850">
        <v>0.85799999999999998</v>
      </c>
    </row>
    <row r="851" spans="1:1">
      <c r="A851">
        <v>0.85899999999999999</v>
      </c>
    </row>
    <row r="852" spans="1:1">
      <c r="A852">
        <v>0.86</v>
      </c>
    </row>
    <row r="853" spans="1:1">
      <c r="A853">
        <v>0.86099999999999999</v>
      </c>
    </row>
    <row r="854" spans="1:1">
      <c r="A854">
        <v>0.86199999999999999</v>
      </c>
    </row>
    <row r="855" spans="1:1">
      <c r="A855">
        <v>0.86299999999999999</v>
      </c>
    </row>
    <row r="856" spans="1:1">
      <c r="A856">
        <v>0.86399999999999999</v>
      </c>
    </row>
    <row r="857" spans="1:1">
      <c r="A857">
        <v>0.86499999999999999</v>
      </c>
    </row>
    <row r="858" spans="1:1">
      <c r="A858">
        <v>0.86599999999999999</v>
      </c>
    </row>
    <row r="859" spans="1:1">
      <c r="A859">
        <v>0.86699999999999999</v>
      </c>
    </row>
    <row r="860" spans="1:1">
      <c r="A860">
        <v>0.86799999999999999</v>
      </c>
    </row>
    <row r="861" spans="1:1">
      <c r="A861">
        <v>0.86899999999999999</v>
      </c>
    </row>
    <row r="862" spans="1:1">
      <c r="A862">
        <v>0.87</v>
      </c>
    </row>
    <row r="863" spans="1:1">
      <c r="A863">
        <v>0.871</v>
      </c>
    </row>
    <row r="864" spans="1:1">
      <c r="A864">
        <v>0.872</v>
      </c>
    </row>
    <row r="865" spans="1:1">
      <c r="A865">
        <v>0.873</v>
      </c>
    </row>
    <row r="866" spans="1:1">
      <c r="A866">
        <v>0.874</v>
      </c>
    </row>
    <row r="867" spans="1:1">
      <c r="A867">
        <v>0.875</v>
      </c>
    </row>
    <row r="868" spans="1:1">
      <c r="A868">
        <v>0.876</v>
      </c>
    </row>
    <row r="869" spans="1:1">
      <c r="A869">
        <v>0.877</v>
      </c>
    </row>
    <row r="870" spans="1:1">
      <c r="A870">
        <v>0.878</v>
      </c>
    </row>
    <row r="871" spans="1:1">
      <c r="A871">
        <v>0.879</v>
      </c>
    </row>
    <row r="872" spans="1:1">
      <c r="A872">
        <v>0.88</v>
      </c>
    </row>
    <row r="873" spans="1:1">
      <c r="A873">
        <v>0.88100000000000001</v>
      </c>
    </row>
    <row r="874" spans="1:1">
      <c r="A874">
        <v>0.88200000000000001</v>
      </c>
    </row>
    <row r="875" spans="1:1">
      <c r="A875">
        <v>0.88300000000000001</v>
      </c>
    </row>
    <row r="876" spans="1:1">
      <c r="A876">
        <v>0.88400000000000001</v>
      </c>
    </row>
    <row r="877" spans="1:1">
      <c r="A877">
        <v>0.88500000000000001</v>
      </c>
    </row>
    <row r="878" spans="1:1">
      <c r="A878">
        <v>0.88600000000000001</v>
      </c>
    </row>
    <row r="879" spans="1:1">
      <c r="A879">
        <v>0.88700000000000001</v>
      </c>
    </row>
    <row r="880" spans="1:1">
      <c r="A880">
        <v>0.88800000000000001</v>
      </c>
    </row>
    <row r="881" spans="1:1">
      <c r="A881">
        <v>0.88900000000000001</v>
      </c>
    </row>
    <row r="882" spans="1:1">
      <c r="A882">
        <v>0.89</v>
      </c>
    </row>
    <row r="883" spans="1:1">
      <c r="A883">
        <v>0.89100000000000001</v>
      </c>
    </row>
    <row r="884" spans="1:1">
      <c r="A884">
        <v>0.89200000000000002</v>
      </c>
    </row>
    <row r="885" spans="1:1">
      <c r="A885">
        <v>0.89300000000000002</v>
      </c>
    </row>
    <row r="886" spans="1:1">
      <c r="A886">
        <v>0.89400000000000002</v>
      </c>
    </row>
    <row r="887" spans="1:1">
      <c r="A887">
        <v>0.89500000000000002</v>
      </c>
    </row>
    <row r="888" spans="1:1">
      <c r="A888">
        <v>0.89600000000000002</v>
      </c>
    </row>
    <row r="889" spans="1:1">
      <c r="A889">
        <v>0.89700000000000002</v>
      </c>
    </row>
    <row r="890" spans="1:1">
      <c r="A890">
        <v>0.89800000000000002</v>
      </c>
    </row>
    <row r="891" spans="1:1">
      <c r="A891">
        <v>0.89900000000000002</v>
      </c>
    </row>
    <row r="892" spans="1:1">
      <c r="A892">
        <v>0.9</v>
      </c>
    </row>
    <row r="893" spans="1:1">
      <c r="A893">
        <v>0.90100000000000002</v>
      </c>
    </row>
    <row r="894" spans="1:1">
      <c r="A894">
        <v>0.90200000000000002</v>
      </c>
    </row>
    <row r="895" spans="1:1">
      <c r="A895">
        <v>0.90300000000000002</v>
      </c>
    </row>
    <row r="896" spans="1:1">
      <c r="A896">
        <v>0.90400000000000003</v>
      </c>
    </row>
    <row r="897" spans="1:1">
      <c r="A897">
        <v>0.90500000000000003</v>
      </c>
    </row>
    <row r="898" spans="1:1">
      <c r="A898">
        <v>0.90600000000000003</v>
      </c>
    </row>
    <row r="899" spans="1:1">
      <c r="A899">
        <v>0.90700000000000003</v>
      </c>
    </row>
    <row r="900" spans="1:1">
      <c r="A900">
        <v>0.90800000000000003</v>
      </c>
    </row>
    <row r="901" spans="1:1">
      <c r="A901">
        <v>0.90900000000000003</v>
      </c>
    </row>
    <row r="902" spans="1:1">
      <c r="A902">
        <v>0.91</v>
      </c>
    </row>
    <row r="903" spans="1:1">
      <c r="A903">
        <v>0.91100000000000003</v>
      </c>
    </row>
    <row r="904" spans="1:1">
      <c r="A904">
        <v>0.91200000000000003</v>
      </c>
    </row>
    <row r="905" spans="1:1">
      <c r="A905">
        <v>0.91300000000000003</v>
      </c>
    </row>
    <row r="906" spans="1:1">
      <c r="A906">
        <v>0.91400000000000003</v>
      </c>
    </row>
    <row r="907" spans="1:1">
      <c r="A907">
        <v>0.91500000000000004</v>
      </c>
    </row>
    <row r="908" spans="1:1">
      <c r="A908">
        <v>0.91600000000000004</v>
      </c>
    </row>
    <row r="909" spans="1:1">
      <c r="A909">
        <v>0.91700000000000004</v>
      </c>
    </row>
    <row r="910" spans="1:1">
      <c r="A910">
        <v>0.91800000000000004</v>
      </c>
    </row>
    <row r="911" spans="1:1">
      <c r="A911">
        <v>0.91900000000000004</v>
      </c>
    </row>
    <row r="912" spans="1:1">
      <c r="A912">
        <v>0.92</v>
      </c>
    </row>
    <row r="913" spans="1:1">
      <c r="A913">
        <v>0.92100000000000004</v>
      </c>
    </row>
    <row r="914" spans="1:1">
      <c r="A914">
        <v>0.92200000000000004</v>
      </c>
    </row>
    <row r="915" spans="1:1">
      <c r="A915">
        <v>0.92300000000000004</v>
      </c>
    </row>
    <row r="916" spans="1:1">
      <c r="A916">
        <v>0.92400000000000004</v>
      </c>
    </row>
    <row r="917" spans="1:1">
      <c r="A917">
        <v>0.92500000000000004</v>
      </c>
    </row>
    <row r="918" spans="1:1">
      <c r="A918">
        <v>0.92600000000000005</v>
      </c>
    </row>
    <row r="919" spans="1:1">
      <c r="A919">
        <v>0.92700000000000005</v>
      </c>
    </row>
    <row r="920" spans="1:1">
      <c r="A920">
        <v>0.92800000000000005</v>
      </c>
    </row>
    <row r="921" spans="1:1">
      <c r="A921">
        <v>0.92900000000000005</v>
      </c>
    </row>
    <row r="922" spans="1:1">
      <c r="A922">
        <v>0.93</v>
      </c>
    </row>
    <row r="923" spans="1:1">
      <c r="A923">
        <v>0.93100000000000005</v>
      </c>
    </row>
    <row r="924" spans="1:1">
      <c r="A924">
        <v>0.93200000000000005</v>
      </c>
    </row>
    <row r="925" spans="1:1">
      <c r="A925">
        <v>0.93300000000000005</v>
      </c>
    </row>
    <row r="926" spans="1:1">
      <c r="A926">
        <v>0.93400000000000005</v>
      </c>
    </row>
    <row r="927" spans="1:1">
      <c r="A927">
        <v>0.93500000000000005</v>
      </c>
    </row>
    <row r="928" spans="1:1">
      <c r="A928">
        <v>0.93600000000000005</v>
      </c>
    </row>
    <row r="929" spans="1:1">
      <c r="A929">
        <v>0.93700000000000006</v>
      </c>
    </row>
    <row r="930" spans="1:1">
      <c r="A930">
        <v>0.93800000000000006</v>
      </c>
    </row>
    <row r="931" spans="1:1">
      <c r="A931">
        <v>0.93900000000000006</v>
      </c>
    </row>
    <row r="932" spans="1:1">
      <c r="A932">
        <v>0.94000000000000006</v>
      </c>
    </row>
    <row r="933" spans="1:1">
      <c r="A933">
        <v>0.94100000000000006</v>
      </c>
    </row>
    <row r="934" spans="1:1">
      <c r="A934">
        <v>0.94200000000000006</v>
      </c>
    </row>
    <row r="935" spans="1:1">
      <c r="A935">
        <v>0.94300000000000006</v>
      </c>
    </row>
    <row r="936" spans="1:1">
      <c r="A936">
        <v>0.94400000000000006</v>
      </c>
    </row>
    <row r="937" spans="1:1">
      <c r="A937">
        <v>0.94500000000000006</v>
      </c>
    </row>
    <row r="938" spans="1:1">
      <c r="A938">
        <v>0.94600000000000006</v>
      </c>
    </row>
    <row r="939" spans="1:1">
      <c r="A939">
        <v>0.94700000000000006</v>
      </c>
    </row>
    <row r="940" spans="1:1">
      <c r="A940">
        <v>0.94800000000000006</v>
      </c>
    </row>
    <row r="941" spans="1:1">
      <c r="A941">
        <v>0.94900000000000007</v>
      </c>
    </row>
    <row r="942" spans="1:1">
      <c r="A942">
        <v>0.95000000000000007</v>
      </c>
    </row>
    <row r="943" spans="1:1">
      <c r="A943">
        <v>0.95100000000000007</v>
      </c>
    </row>
    <row r="944" spans="1:1">
      <c r="A944">
        <v>0.95200000000000007</v>
      </c>
    </row>
    <row r="945" spans="1:1">
      <c r="A945">
        <v>0.95300000000000007</v>
      </c>
    </row>
    <row r="946" spans="1:1">
      <c r="A946">
        <v>0.95400000000000007</v>
      </c>
    </row>
    <row r="947" spans="1:1">
      <c r="A947">
        <v>0.95500000000000007</v>
      </c>
    </row>
    <row r="948" spans="1:1">
      <c r="A948">
        <v>0.95600000000000007</v>
      </c>
    </row>
    <row r="949" spans="1:1">
      <c r="A949">
        <v>0.95700000000000007</v>
      </c>
    </row>
    <row r="950" spans="1:1">
      <c r="A950">
        <v>0.95800000000000007</v>
      </c>
    </row>
    <row r="951" spans="1:1">
      <c r="A951">
        <v>0.95900000000000007</v>
      </c>
    </row>
    <row r="952" spans="1:1">
      <c r="A952">
        <v>0.96000000000000008</v>
      </c>
    </row>
    <row r="953" spans="1:1">
      <c r="A953">
        <v>0.96100000000000008</v>
      </c>
    </row>
    <row r="954" spans="1:1">
      <c r="A954">
        <v>0.96200000000000008</v>
      </c>
    </row>
    <row r="955" spans="1:1">
      <c r="A955">
        <v>0.96300000000000008</v>
      </c>
    </row>
    <row r="956" spans="1:1">
      <c r="A956">
        <v>0.96400000000000008</v>
      </c>
    </row>
    <row r="957" spans="1:1">
      <c r="A957">
        <v>0.96500000000000008</v>
      </c>
    </row>
    <row r="958" spans="1:1">
      <c r="A958">
        <v>0.96600000000000008</v>
      </c>
    </row>
    <row r="959" spans="1:1">
      <c r="A959">
        <v>0.96700000000000008</v>
      </c>
    </row>
    <row r="960" spans="1:1">
      <c r="A960">
        <v>0.96800000000000008</v>
      </c>
    </row>
    <row r="961" spans="1:1">
      <c r="A961">
        <v>0.96900000000000008</v>
      </c>
    </row>
    <row r="962" spans="1:1">
      <c r="A962">
        <v>0.97</v>
      </c>
    </row>
    <row r="963" spans="1:1">
      <c r="A963">
        <v>0.97099999999999997</v>
      </c>
    </row>
    <row r="964" spans="1:1">
      <c r="A964">
        <v>0.97199999999999998</v>
      </c>
    </row>
    <row r="965" spans="1:1">
      <c r="A965">
        <v>0.97299999999999998</v>
      </c>
    </row>
    <row r="966" spans="1:1">
      <c r="A966">
        <v>0.97399999999999998</v>
      </c>
    </row>
    <row r="967" spans="1:1">
      <c r="A967">
        <v>0.97499999999999998</v>
      </c>
    </row>
    <row r="968" spans="1:1">
      <c r="A968">
        <v>0.97599999999999998</v>
      </c>
    </row>
    <row r="969" spans="1:1">
      <c r="A969">
        <v>0.97699999999999998</v>
      </c>
    </row>
    <row r="970" spans="1:1">
      <c r="A970">
        <v>0.97799999999999998</v>
      </c>
    </row>
    <row r="971" spans="1:1">
      <c r="A971">
        <v>0.97899999999999998</v>
      </c>
    </row>
    <row r="972" spans="1:1">
      <c r="A972">
        <v>0.98</v>
      </c>
    </row>
    <row r="973" spans="1:1">
      <c r="A973">
        <v>0.98099999999999998</v>
      </c>
    </row>
    <row r="974" spans="1:1">
      <c r="A974">
        <v>0.98199999999999998</v>
      </c>
    </row>
    <row r="975" spans="1:1">
      <c r="A975">
        <v>0.98299999999999998</v>
      </c>
    </row>
    <row r="976" spans="1:1">
      <c r="A976">
        <v>0.98399999999999999</v>
      </c>
    </row>
    <row r="977" spans="1:1">
      <c r="A977">
        <v>0.98499999999999999</v>
      </c>
    </row>
    <row r="978" spans="1:1">
      <c r="A978">
        <v>0.98599999999999999</v>
      </c>
    </row>
    <row r="979" spans="1:1">
      <c r="A979">
        <v>0.98699999999999999</v>
      </c>
    </row>
    <row r="980" spans="1:1">
      <c r="A980">
        <v>0.98799999999999999</v>
      </c>
    </row>
    <row r="981" spans="1:1">
      <c r="A981">
        <v>0.98899999999999999</v>
      </c>
    </row>
    <row r="982" spans="1:1">
      <c r="A982">
        <v>0.99</v>
      </c>
    </row>
    <row r="983" spans="1:1">
      <c r="A983">
        <v>0.99099999999999999</v>
      </c>
    </row>
    <row r="984" spans="1:1">
      <c r="A984">
        <v>0.99199999999999999</v>
      </c>
    </row>
    <row r="985" spans="1:1">
      <c r="A985">
        <v>0.99299999999999999</v>
      </c>
    </row>
    <row r="986" spans="1:1">
      <c r="A986">
        <v>0.99399999999999999</v>
      </c>
    </row>
    <row r="987" spans="1:1">
      <c r="A987">
        <v>0.995</v>
      </c>
    </row>
    <row r="988" spans="1:1">
      <c r="A988">
        <v>0.996</v>
      </c>
    </row>
    <row r="989" spans="1:1">
      <c r="A989">
        <v>0.997</v>
      </c>
    </row>
    <row r="990" spans="1:1">
      <c r="A990">
        <v>0.998</v>
      </c>
    </row>
    <row r="991" spans="1:1">
      <c r="A991">
        <v>0.999</v>
      </c>
    </row>
    <row r="992" spans="1:1">
      <c r="A99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Schedule</vt:lpstr>
      <vt:lpstr>Player Stats</vt:lpstr>
      <vt:lpstr>Team Stats</vt:lpstr>
      <vt:lpstr>Sim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</dc:creator>
  <cp:lastModifiedBy>Test</cp:lastModifiedBy>
  <dcterms:created xsi:type="dcterms:W3CDTF">2015-03-11T14:31:18Z</dcterms:created>
  <dcterms:modified xsi:type="dcterms:W3CDTF">2015-04-09T13:07:28Z</dcterms:modified>
</cp:coreProperties>
</file>